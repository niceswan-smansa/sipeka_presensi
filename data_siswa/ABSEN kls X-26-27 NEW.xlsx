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D:\Kesiswaan 2026\ABSENSI 26-27\"/>
    </mc:Choice>
  </mc:AlternateContent>
  <xr:revisionPtr revIDLastSave="0" documentId="13_ncr:1_{3C8BDB5E-05A3-4700-939C-C82962227D7D}" xr6:coauthVersionLast="46" xr6:coauthVersionMax="47" xr10:uidLastSave="{00000000-0000-0000-0000-000000000000}"/>
  <bookViews>
    <workbookView xWindow="-120" yWindow="-120" windowWidth="29040" windowHeight="15720" activeTab="10" xr2:uid="{00000000-000D-0000-FFFF-FFFF00000000}"/>
  </bookViews>
  <sheets>
    <sheet name="X-1" sheetId="1" r:id="rId1"/>
    <sheet name="X-2" sheetId="5" r:id="rId2"/>
    <sheet name="X-3" sheetId="6" r:id="rId3"/>
    <sheet name="X-4" sheetId="7" r:id="rId4"/>
    <sheet name="X-5" sheetId="8" r:id="rId5"/>
    <sheet name="X-6" sheetId="9" r:id="rId6"/>
    <sheet name="X-7" sheetId="10" r:id="rId7"/>
    <sheet name="X-8" sheetId="11" r:id="rId8"/>
    <sheet name="X-9" sheetId="12" r:id="rId9"/>
    <sheet name="X-10" sheetId="13" r:id="rId10"/>
    <sheet name="Sheet1" sheetId="14" r:id="rId11"/>
  </sheets>
  <definedNames>
    <definedName name="_xlnm.Print_Area" localSheetId="0">'X-1'!$A$1:$AC$49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6" i="7" l="1"/>
  <c r="E47" i="7"/>
  <c r="E46" i="10"/>
  <c r="E47" i="10"/>
  <c r="E48" i="7" l="1"/>
  <c r="AH48" i="10"/>
  <c r="AO11" i="13"/>
  <c r="AO12" i="13"/>
  <c r="AO13" i="13"/>
  <c r="AO14" i="13"/>
  <c r="AO15" i="13"/>
  <c r="AO16" i="13"/>
  <c r="AO17" i="13"/>
  <c r="AO18" i="13"/>
  <c r="AO19" i="13"/>
  <c r="AO20" i="13"/>
  <c r="AO21" i="13"/>
  <c r="AO22" i="13"/>
  <c r="AO23" i="13"/>
  <c r="AO24" i="13"/>
  <c r="AO25" i="13"/>
  <c r="AO26" i="13"/>
  <c r="AO27" i="13"/>
  <c r="AO28" i="13"/>
  <c r="AO29" i="13"/>
  <c r="AO30" i="13"/>
  <c r="AO31" i="13"/>
  <c r="AO32" i="13"/>
  <c r="AO33" i="13"/>
  <c r="AO34" i="13"/>
  <c r="AO35" i="13"/>
  <c r="AO36" i="13"/>
  <c r="AO37" i="13"/>
  <c r="AO38" i="13"/>
  <c r="AO39" i="13"/>
  <c r="AO40" i="13"/>
  <c r="AO41" i="13"/>
  <c r="AO42" i="13"/>
  <c r="AO43" i="13"/>
  <c r="AO44" i="13"/>
  <c r="AO45" i="13"/>
  <c r="AO10" i="13"/>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45" i="8"/>
  <c r="AL10" i="8"/>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10" i="7"/>
  <c r="AM11" i="6"/>
  <c r="AM12" i="6"/>
  <c r="AM13" i="6"/>
  <c r="AM14" i="6"/>
  <c r="AM15" i="6"/>
  <c r="AM16" i="6"/>
  <c r="AM17" i="6"/>
  <c r="AM18" i="6"/>
  <c r="AM19" i="6"/>
  <c r="AM20" i="6"/>
  <c r="AM21" i="6"/>
  <c r="AM22" i="6"/>
  <c r="AM23" i="6"/>
  <c r="AM24" i="6"/>
  <c r="AM25" i="6"/>
  <c r="AM26" i="6"/>
  <c r="AM27" i="6"/>
  <c r="AM28" i="6"/>
  <c r="AM29" i="6"/>
  <c r="AM30" i="6"/>
  <c r="AM31" i="6"/>
  <c r="AM32" i="6"/>
  <c r="AM33" i="6"/>
  <c r="AM34" i="6"/>
  <c r="AM35" i="6"/>
  <c r="AM36" i="6"/>
  <c r="AM37" i="6"/>
  <c r="AM38" i="6"/>
  <c r="AM39" i="6"/>
  <c r="AM40" i="6"/>
  <c r="AM41" i="6"/>
  <c r="AM42" i="6"/>
  <c r="AM43" i="6"/>
  <c r="AM44" i="6"/>
  <c r="AM45" i="6"/>
  <c r="AM10" i="6"/>
  <c r="AL11" i="5"/>
  <c r="AL12" i="5"/>
  <c r="AL13" i="5"/>
  <c r="AL14" i="5"/>
  <c r="AL15" i="5"/>
  <c r="AL16" i="5"/>
  <c r="AL17" i="5"/>
  <c r="AL18" i="5"/>
  <c r="AL19" i="5"/>
  <c r="AL20" i="5"/>
  <c r="AL21" i="5"/>
  <c r="AL22" i="5"/>
  <c r="AL23" i="5"/>
  <c r="AL24" i="5"/>
  <c r="AL25" i="5"/>
  <c r="AL26" i="5"/>
  <c r="AL27" i="5"/>
  <c r="AL28" i="5"/>
  <c r="AL29" i="5"/>
  <c r="AL30" i="5"/>
  <c r="AL31" i="5"/>
  <c r="AL32" i="5"/>
  <c r="AL33" i="5"/>
  <c r="AL34" i="5"/>
  <c r="AL35" i="5"/>
  <c r="AL36" i="5"/>
  <c r="AL37" i="5"/>
  <c r="AL38" i="5"/>
  <c r="AL39" i="5"/>
  <c r="AL40" i="5"/>
  <c r="AL41" i="5"/>
  <c r="AL42" i="5"/>
  <c r="AL43" i="5"/>
  <c r="AL44" i="5"/>
  <c r="AL45" i="5"/>
  <c r="AL10" i="5"/>
  <c r="AJ45" i="1"/>
  <c r="AJ41" i="1"/>
  <c r="AJ37" i="1"/>
  <c r="AJ33" i="1"/>
  <c r="AJ29" i="1"/>
  <c r="AJ25" i="1"/>
  <c r="AJ21" i="1"/>
  <c r="AJ17" i="1"/>
  <c r="AJ13" i="1"/>
  <c r="AJ10" i="1"/>
  <c r="AJ11" i="1"/>
  <c r="AJ12" i="1"/>
  <c r="AJ14" i="1"/>
  <c r="AJ15" i="1"/>
  <c r="AJ16" i="1"/>
  <c r="AJ18" i="1"/>
  <c r="AJ19" i="1"/>
  <c r="AJ20" i="1"/>
  <c r="AJ22" i="1"/>
  <c r="AJ23" i="1"/>
  <c r="AJ24" i="1"/>
  <c r="AJ26" i="1"/>
  <c r="AJ27" i="1"/>
  <c r="AJ28" i="1"/>
  <c r="AJ30" i="1"/>
  <c r="AJ31" i="1"/>
  <c r="AJ32" i="1"/>
  <c r="AJ34" i="1"/>
  <c r="AJ35" i="1"/>
  <c r="AJ36" i="1"/>
  <c r="AJ38" i="1"/>
  <c r="AJ39" i="1"/>
  <c r="AJ40" i="1"/>
  <c r="AJ42" i="1"/>
  <c r="AJ43" i="1"/>
  <c r="AJ44" i="1"/>
  <c r="AJ46" i="1"/>
  <c r="AJ47" i="1"/>
  <c r="E47" i="13"/>
  <c r="E46" i="13"/>
  <c r="E47" i="12"/>
  <c r="E46" i="12"/>
  <c r="E47" i="11"/>
  <c r="E46" i="11"/>
  <c r="E47" i="9"/>
  <c r="E46" i="9"/>
  <c r="E47" i="8"/>
  <c r="E46" i="8"/>
  <c r="E47" i="6"/>
  <c r="E46" i="6"/>
  <c r="E47" i="5"/>
  <c r="E46" i="5"/>
  <c r="E47" i="1"/>
  <c r="E46" i="1"/>
  <c r="E48" i="13" l="1"/>
  <c r="E48" i="12"/>
  <c r="E48" i="11"/>
  <c r="E48" i="9"/>
  <c r="E48" i="8"/>
  <c r="E48" i="6"/>
  <c r="E48" i="5"/>
  <c r="E48" i="1"/>
</calcChain>
</file>

<file path=xl/sharedStrings.xml><?xml version="1.0" encoding="utf-8"?>
<sst xmlns="http://schemas.openxmlformats.org/spreadsheetml/2006/main" count="8455" uniqueCount="2597">
  <si>
    <t>No</t>
  </si>
  <si>
    <t>NISN</t>
  </si>
  <si>
    <t>Nama Siswa</t>
  </si>
  <si>
    <t>L/P</t>
  </si>
  <si>
    <t>Wali Kelas :</t>
  </si>
  <si>
    <t>NIP :</t>
  </si>
  <si>
    <t>P</t>
  </si>
  <si>
    <t>L</t>
  </si>
  <si>
    <t>Paraf</t>
  </si>
  <si>
    <t>L :</t>
  </si>
  <si>
    <t>Guru</t>
  </si>
  <si>
    <t>P :</t>
  </si>
  <si>
    <t>0092932213</t>
  </si>
  <si>
    <t>ISWAHYUDI ARIF SETIAWAN</t>
  </si>
  <si>
    <t>0085570129</t>
  </si>
  <si>
    <t>ELLYSWATY SALSABILA</t>
  </si>
  <si>
    <t>0086615669</t>
  </si>
  <si>
    <t>Oktarina Syawla Putri</t>
  </si>
  <si>
    <t>0082984202</t>
  </si>
  <si>
    <t>MALIKA APRILIA SYAFIUN</t>
  </si>
  <si>
    <t>0095865130</t>
  </si>
  <si>
    <t>AHMAD FARHAN HAKIKI</t>
  </si>
  <si>
    <t>0091667325</t>
  </si>
  <si>
    <t>Naura Wilda Safitri</t>
  </si>
  <si>
    <t>0099249982</t>
  </si>
  <si>
    <t>Selviana Febiyanti</t>
  </si>
  <si>
    <t>0098143746</t>
  </si>
  <si>
    <t>ANDINI PUTRI SUGIONO</t>
  </si>
  <si>
    <t>0096593970</t>
  </si>
  <si>
    <t>HASNAH AL AFIYAH</t>
  </si>
  <si>
    <t>0092443114</t>
  </si>
  <si>
    <t>TRIA DINDA MAULIDIKA</t>
  </si>
  <si>
    <t>0085034059</t>
  </si>
  <si>
    <t>Desvita Anggraini</t>
  </si>
  <si>
    <t>0093513951</t>
  </si>
  <si>
    <t>Sitti Uswatun Hasanah</t>
  </si>
  <si>
    <t>0089933258</t>
  </si>
  <si>
    <t>ANDREA NAUFAL SETIAWAN</t>
  </si>
  <si>
    <t>0085927765</t>
  </si>
  <si>
    <t>NAFIIS DWI PUTRA DESTYAMIN</t>
  </si>
  <si>
    <t>KIP</t>
  </si>
  <si>
    <t>0091835952</t>
  </si>
  <si>
    <t>Merisa Anggi Yulia Putri</t>
  </si>
  <si>
    <t>0088070697</t>
  </si>
  <si>
    <t>R AYU NOURA AZKIA</t>
  </si>
  <si>
    <t>0094952897</t>
  </si>
  <si>
    <t>Khazwa Farih Imtiyaz Mindas</t>
  </si>
  <si>
    <t>0096931249</t>
  </si>
  <si>
    <t>DAVIN PRAMANA PUTRA YULIANTO</t>
  </si>
  <si>
    <t>A.GURU</t>
  </si>
  <si>
    <t>0095516794</t>
  </si>
  <si>
    <t>NATHANIEL HIZKIA PANJAITAN</t>
  </si>
  <si>
    <t>0097690860</t>
  </si>
  <si>
    <t>NAZWA AULIA NUR ROSIDAH</t>
  </si>
  <si>
    <t>0085106484</t>
  </si>
  <si>
    <t>VIRGI AZMI YUSSININGTYAS</t>
  </si>
  <si>
    <t>T.ORTU</t>
  </si>
  <si>
    <t>0088601519</t>
  </si>
  <si>
    <t>HILMAN FUADI</t>
  </si>
  <si>
    <t>0081651505</t>
  </si>
  <si>
    <t>AURIGA SYAFHA FAIRUZ SYAHREZA</t>
  </si>
  <si>
    <t>0095415650</t>
  </si>
  <si>
    <t>APRILIA NURIL QOMARI</t>
  </si>
  <si>
    <t>0092355423</t>
  </si>
  <si>
    <t>NASHIFATUL LAYAL</t>
  </si>
  <si>
    <t>0082501965</t>
  </si>
  <si>
    <t>MOH GILANG MAULANA</t>
  </si>
  <si>
    <t>0087953706</t>
  </si>
  <si>
    <t>MELDA MASTUFIL FADILA</t>
  </si>
  <si>
    <t>0098040950</t>
  </si>
  <si>
    <t>CHRISTOFFER CONSTANTINE SANTOSO</t>
  </si>
  <si>
    <t>0081411031</t>
  </si>
  <si>
    <t>MOHAMMAD ALVI SYAHRIN</t>
  </si>
  <si>
    <t>0098581750</t>
  </si>
  <si>
    <t>Arika Abadia Hamas</t>
  </si>
  <si>
    <t>0083907588</t>
  </si>
  <si>
    <t>RUH SYAFIRA CAHYANING PAWASA</t>
  </si>
  <si>
    <t>0099522649</t>
  </si>
  <si>
    <t>ADLI YUSUF ALIFDI</t>
  </si>
  <si>
    <t>0091162442</t>
  </si>
  <si>
    <t>ADELIA ZAHRA WIEGUNANDA</t>
  </si>
  <si>
    <t>0093455270</t>
  </si>
  <si>
    <t>REFATIA MIRZA VALENSI</t>
  </si>
  <si>
    <t>0083012066</t>
  </si>
  <si>
    <t>REISYA SATYA AYU PRAMESWARI</t>
  </si>
  <si>
    <t>0084754773</t>
  </si>
  <si>
    <t>SITTI ZAHRATUS SIETA</t>
  </si>
  <si>
    <t>0093695374</t>
  </si>
  <si>
    <t>GILANG ALFAHRIZI</t>
  </si>
  <si>
    <t>0083243040</t>
  </si>
  <si>
    <t>MUHAMMAD RAMZY GUNAWAN</t>
  </si>
  <si>
    <t>0097949164</t>
  </si>
  <si>
    <t>FAKHRILLAH HASAN</t>
  </si>
  <si>
    <t>AKDMK</t>
  </si>
  <si>
    <t>0099637523</t>
  </si>
  <si>
    <t>Tulus Firmansyah</t>
  </si>
  <si>
    <t>0089793791</t>
  </si>
  <si>
    <t>SULTAN FARAS AS SIDIK</t>
  </si>
  <si>
    <t>RAFIF KEMAL AZIZI</t>
  </si>
  <si>
    <t>0098882875</t>
  </si>
  <si>
    <t>Sunnita Abadila</t>
  </si>
  <si>
    <t>0085784500</t>
  </si>
  <si>
    <t>MOH ALFAN KURNIAWAN</t>
  </si>
  <si>
    <t>0085551439</t>
  </si>
  <si>
    <t>MUHAMMAD DAVID RIYADI</t>
  </si>
  <si>
    <t>0095745897</t>
  </si>
  <si>
    <t>RIZKIANA INTANSARI</t>
  </si>
  <si>
    <t>0095153508</t>
  </si>
  <si>
    <t>ARSYIL CAHYA WIBISONO</t>
  </si>
  <si>
    <t>0093962965</t>
  </si>
  <si>
    <t>SITI MAISHUROH ASSYIFA</t>
  </si>
  <si>
    <t>0088109228</t>
  </si>
  <si>
    <t>BINTANG ACHMAD FAUZANI</t>
  </si>
  <si>
    <t>0081535841</t>
  </si>
  <si>
    <t>NADHIFA SUCIANI HUWAIDA</t>
  </si>
  <si>
    <t>0086730733</t>
  </si>
  <si>
    <t>DYAH AYU RAMADHANI</t>
  </si>
  <si>
    <t>KHAIRUNNAS ARRASYID</t>
  </si>
  <si>
    <t>0081216364</t>
  </si>
  <si>
    <t>NAUFAL ALWAN HAKIM</t>
  </si>
  <si>
    <t>0082440195</t>
  </si>
  <si>
    <t>ARIF RAHMAN ALFATHIR</t>
  </si>
  <si>
    <t>0096094178</t>
  </si>
  <si>
    <t>RAIS AULIA ATTAMIMY WIJAYA</t>
  </si>
  <si>
    <t>0084473234</t>
  </si>
  <si>
    <t>Vincentius Samuel Candra</t>
  </si>
  <si>
    <t>0087658356</t>
  </si>
  <si>
    <t>BIMA SATRIA PUTRA RISMAWAN</t>
  </si>
  <si>
    <t>NON AKD</t>
  </si>
  <si>
    <t>0102524441</t>
  </si>
  <si>
    <t>Alfisa Syahira Sutikno</t>
  </si>
  <si>
    <t>0109424194</t>
  </si>
  <si>
    <t>SARAH SALSABILA</t>
  </si>
  <si>
    <t>0093908702</t>
  </si>
  <si>
    <t>ADLYANSYAH BUDIMAN</t>
  </si>
  <si>
    <t>0093897835</t>
  </si>
  <si>
    <t>Vina Istiana</t>
  </si>
  <si>
    <t>0082558863</t>
  </si>
  <si>
    <t>Bambang Fariaji</t>
  </si>
  <si>
    <t>0104564202</t>
  </si>
  <si>
    <t>KAYLA AIKO MARITZA</t>
  </si>
  <si>
    <t>0083983673</t>
  </si>
  <si>
    <t>NAUVAL FARIZ RIZALDY AL ARIF</t>
  </si>
  <si>
    <t>0098583778</t>
  </si>
  <si>
    <t>LIVIA AURATUS ORYZA SATIVA</t>
  </si>
  <si>
    <t>0085428877</t>
  </si>
  <si>
    <t>MALIKA ALFATIA PUTRI</t>
  </si>
  <si>
    <t>0096665378</t>
  </si>
  <si>
    <t>ANGGUN KARUNIA PUTRI SASIKIRANA</t>
  </si>
  <si>
    <t>0087180491</t>
  </si>
  <si>
    <t>Aksa Ahmad</t>
  </si>
  <si>
    <t>0083976891</t>
  </si>
  <si>
    <t>NADIA RAHMAWATI</t>
  </si>
  <si>
    <t>0092639463</t>
  </si>
  <si>
    <t>DAFFA MAULIDAN PUTRA LAKSONO</t>
  </si>
  <si>
    <t>0094292897</t>
  </si>
  <si>
    <t>TASNIM KHAIRULLAH HIDAYAT</t>
  </si>
  <si>
    <t>0098566431</t>
  </si>
  <si>
    <t>MARSYANAIRA VANESA CELIA</t>
  </si>
  <si>
    <t>0091755500</t>
  </si>
  <si>
    <t>NAILA AZARINE RADHIA IRDIAWAN</t>
  </si>
  <si>
    <t>0091869182</t>
  </si>
  <si>
    <t>MAJENDRA FAREL RIZKY HARIYANTO</t>
  </si>
  <si>
    <t>0089803534</t>
  </si>
  <si>
    <t>ALYSSA RISMA PARAMITHA</t>
  </si>
  <si>
    <t>0084705460</t>
  </si>
  <si>
    <t>M ABYAN FAITH FAWAZEE</t>
  </si>
  <si>
    <t>0099059716</t>
  </si>
  <si>
    <t>MAISYAR MAULI NABILA FP</t>
  </si>
  <si>
    <t>MULIA ANNISA SETYA WARDANI</t>
  </si>
  <si>
    <t>0093826254</t>
  </si>
  <si>
    <t>AULIA RAHMAWATI</t>
  </si>
  <si>
    <t>0089075246</t>
  </si>
  <si>
    <t>VALENCIA PUTERI SUZANA</t>
  </si>
  <si>
    <t>0082847597</t>
  </si>
  <si>
    <t>FIYHIMA AINANI TAJRIYAN</t>
  </si>
  <si>
    <t>0096137085</t>
  </si>
  <si>
    <t>BIMA SETIAWAN RELA</t>
  </si>
  <si>
    <t>0099607321</t>
  </si>
  <si>
    <t>AUFA FIKRI FIRDAUS</t>
  </si>
  <si>
    <t>0083079329</t>
  </si>
  <si>
    <t>BUNGA EL SABRINA</t>
  </si>
  <si>
    <t>BUMI SUKMAWATI</t>
  </si>
  <si>
    <t>0096776269</t>
  </si>
  <si>
    <t>AISYAH ANA HARIYANTO</t>
  </si>
  <si>
    <t>0091238339</t>
  </si>
  <si>
    <t>AISYAH ANI HARIYANTO</t>
  </si>
  <si>
    <t>0098516635</t>
  </si>
  <si>
    <t>Ahmad Faiz Rahmatillah</t>
  </si>
  <si>
    <t>0087858823</t>
  </si>
  <si>
    <t>MOH SAHRUL MAULIDI</t>
  </si>
  <si>
    <t>0085989808</t>
  </si>
  <si>
    <t>MEIDY ARYANTO WIGUNA</t>
  </si>
  <si>
    <t>0083060697</t>
  </si>
  <si>
    <t>ALLAFA ALYYUS SULTANSYAH WIDJAYA</t>
  </si>
  <si>
    <t>0083337131</t>
  </si>
  <si>
    <t>ARINI ULFA HIDAYATI</t>
  </si>
  <si>
    <t>0081315442</t>
  </si>
  <si>
    <t>SEPTI RAHMADIYANTI</t>
  </si>
  <si>
    <t>0085164886</t>
  </si>
  <si>
    <t>FATHIMAH AZ ZAHRA</t>
  </si>
  <si>
    <t>0095437804</t>
  </si>
  <si>
    <t>Asyra Mardhodillah Shafa</t>
  </si>
  <si>
    <t>0083375001</t>
  </si>
  <si>
    <t>NAZIFA SALSABILA</t>
  </si>
  <si>
    <t>0088166851</t>
  </si>
  <si>
    <t>AULIA FAIZAH</t>
  </si>
  <si>
    <t>0094498632</t>
  </si>
  <si>
    <t>ARYA DEFIAN AL FARABI</t>
  </si>
  <si>
    <t>0099315210</t>
  </si>
  <si>
    <t>MIFTAHUL FADLI DANIAR</t>
  </si>
  <si>
    <t>0088600933</t>
  </si>
  <si>
    <t>CANDRA ADITIYA NURMANSAH</t>
  </si>
  <si>
    <t>NAUFAL RAHMATULLOH N A</t>
  </si>
  <si>
    <t>0095526227</t>
  </si>
  <si>
    <t>MOH REZA FEBRILIYANTO</t>
  </si>
  <si>
    <t>0092554098</t>
  </si>
  <si>
    <t>AKH RASYA EFENDI PUTRA</t>
  </si>
  <si>
    <t>0087693410</t>
  </si>
  <si>
    <t>BETARIA WIFAN AGUSTA</t>
  </si>
  <si>
    <t>RARA QONITA ROYHANI</t>
  </si>
  <si>
    <t>0086660138</t>
  </si>
  <si>
    <t>Juwita Riski Amalia</t>
  </si>
  <si>
    <t>0097064727</t>
  </si>
  <si>
    <t>NAYLA SHAFA AZZAHRA</t>
  </si>
  <si>
    <t>0083494373</t>
  </si>
  <si>
    <t>CARISSA DWI PUTRI LARASATI</t>
  </si>
  <si>
    <t>0098950100</t>
  </si>
  <si>
    <t>NADIYAH ARINDA ALFIYANI</t>
  </si>
  <si>
    <t>0091798089</t>
  </si>
  <si>
    <t>FEBRI NURIA FAJRIN</t>
  </si>
  <si>
    <t>0082864028</t>
  </si>
  <si>
    <t>Dirgantara Fairuz Iftikhori</t>
  </si>
  <si>
    <t>0092111132</t>
  </si>
  <si>
    <t>R NEVAN BASWARA DAUD</t>
  </si>
  <si>
    <t>0089987994</t>
  </si>
  <si>
    <t>FARDAN ABDILLAH NUR FIRDAUS</t>
  </si>
  <si>
    <t>RAPORT</t>
  </si>
  <si>
    <t>0089967146</t>
  </si>
  <si>
    <t>ASSHIFA MAGHFIRAH</t>
  </si>
  <si>
    <t>0092307512</t>
  </si>
  <si>
    <t>MOH ARAFA DWI PURWANTO</t>
  </si>
  <si>
    <t>0082776507</t>
  </si>
  <si>
    <t>MUHAMMAD IKHLASUL AMAL RUKHUS</t>
  </si>
  <si>
    <t>0083566346</t>
  </si>
  <si>
    <t>NADYA AZMI KHAIRUNNISA</t>
  </si>
  <si>
    <t>0096209388</t>
  </si>
  <si>
    <t>RAFIKA PUTRI YUNIAR</t>
  </si>
  <si>
    <t>0092559700</t>
  </si>
  <si>
    <t>ACHMAD AFIM INTI ISTIQAM</t>
  </si>
  <si>
    <t>0089426877</t>
  </si>
  <si>
    <t>SABRINA KIRANA AYU SUPRIYADI</t>
  </si>
  <si>
    <t>0095615344</t>
  </si>
  <si>
    <t>MUHAMMAD FAKHRY HIDAYAT</t>
  </si>
  <si>
    <t>0087610741</t>
  </si>
  <si>
    <t>GUNTUR PRASTYO WIBOWO</t>
  </si>
  <si>
    <t>0087393847</t>
  </si>
  <si>
    <t>SHAHIBUL KAMALI RAHMAT HIDAYAT</t>
  </si>
  <si>
    <t>0094661980</t>
  </si>
  <si>
    <t>MOHAMMAD RIZQI FADILAH</t>
  </si>
  <si>
    <t>0084247358</t>
  </si>
  <si>
    <t>LINDHA SYAFITRI</t>
  </si>
  <si>
    <t>0077777981</t>
  </si>
  <si>
    <t>RAMADANI</t>
  </si>
  <si>
    <t>0087918586</t>
  </si>
  <si>
    <t>NABILA DAVID</t>
  </si>
  <si>
    <t>0088648714</t>
  </si>
  <si>
    <t>ADINDA ZIFANNA OKTAFIA</t>
  </si>
  <si>
    <t>0092560616</t>
  </si>
  <si>
    <t>CICILYA LISTY NABILA S</t>
  </si>
  <si>
    <t>0087880035</t>
  </si>
  <si>
    <t>RAFI FACHRUDIN</t>
  </si>
  <si>
    <t>0083041624</t>
  </si>
  <si>
    <t>SALSABILA PUTRI HIDAYAT</t>
  </si>
  <si>
    <t>0087638152</t>
  </si>
  <si>
    <t>MOH RAFLI AMIRUL IMAN</t>
  </si>
  <si>
    <t>0081076234</t>
  </si>
  <si>
    <t>FAGHIRA CAYLA PUTRI</t>
  </si>
  <si>
    <t>0093197545</t>
  </si>
  <si>
    <t>MILZI ALIFIA MAULIDA</t>
  </si>
  <si>
    <t>0085720766</t>
  </si>
  <si>
    <t>CHIKO HARDELIO TAHER</t>
  </si>
  <si>
    <t>0091521750</t>
  </si>
  <si>
    <t>NAFIL BERYL FAIRUZ</t>
  </si>
  <si>
    <t>0091164419</t>
  </si>
  <si>
    <t>FATIMAH KASYAF FANIE WAHAB</t>
  </si>
  <si>
    <t>0084878097</t>
  </si>
  <si>
    <t>NAURA YASMITA DWI SEPTIANDINA</t>
  </si>
  <si>
    <t>0083172664</t>
  </si>
  <si>
    <t>AL FATIH WAHYU BASALAMAH</t>
  </si>
  <si>
    <t>0089056135</t>
  </si>
  <si>
    <t>AURIEL DWIVANI PUTERA</t>
  </si>
  <si>
    <t>SAYYID AHMAD ALFANSORI</t>
  </si>
  <si>
    <t>0065403876</t>
  </si>
  <si>
    <t>AMIEN FIRDAUS</t>
  </si>
  <si>
    <t>0093162650</t>
  </si>
  <si>
    <t>MOHAMMAD DHORIF AFLAH FAISAL</t>
  </si>
  <si>
    <t>0084713270</t>
  </si>
  <si>
    <t>MUHAMMAD YUSUF ADI PRATAMA</t>
  </si>
  <si>
    <t>0087170874</t>
  </si>
  <si>
    <t>SHERIN ANNISA RAHMANI</t>
  </si>
  <si>
    <t>0089276032</t>
  </si>
  <si>
    <t>MOH AFGAN BARLIYANTO</t>
  </si>
  <si>
    <t>0086255643</t>
  </si>
  <si>
    <t>REVIANA ZAHRA</t>
  </si>
  <si>
    <t>0084346315</t>
  </si>
  <si>
    <t>GILANG AKMAL HIDAYAT</t>
  </si>
  <si>
    <t>0096081695</t>
  </si>
  <si>
    <t>ACH NURUL HIDAYAT</t>
  </si>
  <si>
    <t>0093543547</t>
  </si>
  <si>
    <t>FENI ISTIGHFARINI</t>
  </si>
  <si>
    <t>0099672333</t>
  </si>
  <si>
    <t>RAHMI HUMAIRA</t>
  </si>
  <si>
    <t>0088888355</t>
  </si>
  <si>
    <t>SAVIRA ELDIANA</t>
  </si>
  <si>
    <t>0099773502</t>
  </si>
  <si>
    <t>RIANA MAULIDIA</t>
  </si>
  <si>
    <t>0089957271</t>
  </si>
  <si>
    <t>MOH RANDHIKA ARSY PUTRA</t>
  </si>
  <si>
    <t>0099559196</t>
  </si>
  <si>
    <t>MOH FIKI ALAN FAJRI</t>
  </si>
  <si>
    <t>0084036504</t>
  </si>
  <si>
    <t>NAUFAL PUTRA HARDIANSYAH</t>
  </si>
  <si>
    <t>0082607776</t>
  </si>
  <si>
    <t>ANDI ZAKY DANISH FIRMANSYAH</t>
  </si>
  <si>
    <t>0084641835</t>
  </si>
  <si>
    <t>AKRAM ARKANANTA FIRDAUS</t>
  </si>
  <si>
    <t>0092449638</t>
  </si>
  <si>
    <t>AURA DINDA TRY ZALIANTY</t>
  </si>
  <si>
    <t>0088529897</t>
  </si>
  <si>
    <t>GILANG AKBAR SYAHPUTRA NASSO</t>
  </si>
  <si>
    <t>0095088946</t>
  </si>
  <si>
    <t>ARIANNA FATHIA LATHIEFANI</t>
  </si>
  <si>
    <t>0088629626</t>
  </si>
  <si>
    <t>BELVA PRATISARA DIYAS</t>
  </si>
  <si>
    <t>0089337623</t>
  </si>
  <si>
    <t>KEA APRILIA MEDIANA PUTRI</t>
  </si>
  <si>
    <t>0093440845</t>
  </si>
  <si>
    <t>ALLENA GIOVANNY SUGIARTO</t>
  </si>
  <si>
    <t>0098143816</t>
  </si>
  <si>
    <t>AZIMU NASYWA YATRIN</t>
  </si>
  <si>
    <t>0081404380</t>
  </si>
  <si>
    <t>MAULIDATUL KOFIFAH</t>
  </si>
  <si>
    <t>0085664492</t>
  </si>
  <si>
    <t>MUHAMMAD FAIZAL ALFAJRI</t>
  </si>
  <si>
    <t>0087802844</t>
  </si>
  <si>
    <t>NUR IKHLAS ARIFIN</t>
  </si>
  <si>
    <t>0099057804</t>
  </si>
  <si>
    <t>MOH RIZKY ADITIANSYAH</t>
  </si>
  <si>
    <t>0082986450</t>
  </si>
  <si>
    <t>ACH IMAM MURTADHO</t>
  </si>
  <si>
    <t>0087193172</t>
  </si>
  <si>
    <t>NUR SYARIF</t>
  </si>
  <si>
    <t>0084462888</t>
  </si>
  <si>
    <t>MOHAMMAD IBRA PRATAMA</t>
  </si>
  <si>
    <t>0094168761</t>
  </si>
  <si>
    <t>PUTRI GARANITA ARDALIA WIBOWO</t>
  </si>
  <si>
    <t>0093351007</t>
  </si>
  <si>
    <t>Adintya Djasmine Aulia</t>
  </si>
  <si>
    <t>0086147736</t>
  </si>
  <si>
    <t>JEVIAN STYA PRATAMA</t>
  </si>
  <si>
    <t>0083330053</t>
  </si>
  <si>
    <t>SHELFIA PUTRI RAMADHANI</t>
  </si>
  <si>
    <t>0086479528</t>
  </si>
  <si>
    <t>SELVIA RAMADHANI</t>
  </si>
  <si>
    <t>0081529684</t>
  </si>
  <si>
    <t>YULIATUL QOMARIYAH</t>
  </si>
  <si>
    <t>0087990908</t>
  </si>
  <si>
    <t>MOH RISHAL HIDAYAT</t>
  </si>
  <si>
    <t>0082153282</t>
  </si>
  <si>
    <t>ELMAS SULTHON SALIM</t>
  </si>
  <si>
    <t>0087377583</t>
  </si>
  <si>
    <t>LALA HERMANDA</t>
  </si>
  <si>
    <t>0098382897</t>
  </si>
  <si>
    <t>MOHAMMAD IQBAL RISTRIANTO</t>
  </si>
  <si>
    <t>0086888062</t>
  </si>
  <si>
    <t>HUMAIR DZIKRI SYAHLANA</t>
  </si>
  <si>
    <t>0087109610</t>
  </si>
  <si>
    <t>RASYA YUDHA ADHANDIKA</t>
  </si>
  <si>
    <t>0097637507</t>
  </si>
  <si>
    <t>ACHMAD RAFI AKBAR</t>
  </si>
  <si>
    <t>0097062522</t>
  </si>
  <si>
    <t>ACHMAD RIZQON JANUAR</t>
  </si>
  <si>
    <t>0095986339</t>
  </si>
  <si>
    <t>ALDO SUKMA MAULIDZI</t>
  </si>
  <si>
    <t>0095256057</t>
  </si>
  <si>
    <t>AKBAR RAHMATULLAH RAMADHAN</t>
  </si>
  <si>
    <t>0092567020</t>
  </si>
  <si>
    <t>MOH ADITYA MAULANA PUTRA</t>
  </si>
  <si>
    <t>0082665512</t>
  </si>
  <si>
    <t>BRILLIANT BRAMARGANTARA PM</t>
  </si>
  <si>
    <t>0082833966</t>
  </si>
  <si>
    <t>YULIA MAULIDINA ARIEF</t>
  </si>
  <si>
    <t>0083224313</t>
  </si>
  <si>
    <t>LATIFA SALMA</t>
  </si>
  <si>
    <t>0085516582</t>
  </si>
  <si>
    <t>AIZZA RAHMATIN NUR NADIN</t>
  </si>
  <si>
    <t>0093422775</t>
  </si>
  <si>
    <t>RAFEYFA ZALFA ZAHIRA</t>
  </si>
  <si>
    <t>0098997217</t>
  </si>
  <si>
    <t>R RAIHANUN FEBRIYANA SUGIHARTO</t>
  </si>
  <si>
    <t>0096438872</t>
  </si>
  <si>
    <t>AMELIA HERIYANTO</t>
  </si>
  <si>
    <t>0086865210</t>
  </si>
  <si>
    <t>ANNISA ALMAQFIRA</t>
  </si>
  <si>
    <t>0096575426</t>
  </si>
  <si>
    <t>JIHAN NAILA PUTRI DIKA</t>
  </si>
  <si>
    <t>0085715335</t>
  </si>
  <si>
    <t>AGUNG AULIA AKBAR</t>
  </si>
  <si>
    <t>0096039518</t>
  </si>
  <si>
    <t>MOHMASYRUR</t>
  </si>
  <si>
    <t>0086354265</t>
  </si>
  <si>
    <t>MUHAMMAD IQBAL RAIHANUN</t>
  </si>
  <si>
    <t>0089202875</t>
  </si>
  <si>
    <t>NURISCHA AHDANIA</t>
  </si>
  <si>
    <t>0092301710</t>
  </si>
  <si>
    <t>OLIVIA DAMAYANTI LUQMAN</t>
  </si>
  <si>
    <t>0097102519</t>
  </si>
  <si>
    <t>SHIVA MAULIDYA PRASETIYO</t>
  </si>
  <si>
    <t>0094693693</t>
  </si>
  <si>
    <t>AURA NADHIF HENDRA SYAHPUTRA</t>
  </si>
  <si>
    <t>0095752316</t>
  </si>
  <si>
    <t>AURA NAVIS HENDRA SYAHPUTRA</t>
  </si>
  <si>
    <t>0089501886</t>
  </si>
  <si>
    <t>DHIMAS ADHA TRI SUSANTO</t>
  </si>
  <si>
    <t>0088261483</t>
  </si>
  <si>
    <t>MUHAMMAD IQBAL LISMARTA</t>
  </si>
  <si>
    <t>0094289783</t>
  </si>
  <si>
    <t>Muhammad Nadhif Azaria Putra</t>
  </si>
  <si>
    <t>0096013702</t>
  </si>
  <si>
    <t>ALISHA RAMADHANI POERNOMO</t>
  </si>
  <si>
    <t>0093463371</t>
  </si>
  <si>
    <t>Bennett Wang</t>
  </si>
  <si>
    <t>0085713874</t>
  </si>
  <si>
    <t>TANIA KHANZA FIRNANDA RAMADHANI</t>
  </si>
  <si>
    <t>0097120243</t>
  </si>
  <si>
    <t>SHEBIA KINANTI AURELLUNA</t>
  </si>
  <si>
    <t>0083785128</t>
  </si>
  <si>
    <t>HANIK AWALIYATUN NANDINI</t>
  </si>
  <si>
    <t>0098217448</t>
  </si>
  <si>
    <t>EMIR BRILIAN HARIANTO</t>
  </si>
  <si>
    <t>0087421628</t>
  </si>
  <si>
    <t>Bagas Mahardika Putra</t>
  </si>
  <si>
    <t>0089619651</t>
  </si>
  <si>
    <t>NOER RISQI RAMADHANI</t>
  </si>
  <si>
    <t>Keyzha Lucyana Adhia Rinda</t>
  </si>
  <si>
    <t>0099987267</t>
  </si>
  <si>
    <t>ABD HAMID MANAF</t>
  </si>
  <si>
    <t>0094896372</t>
  </si>
  <si>
    <t>MIRANDA KUSUMA ATMAJA</t>
  </si>
  <si>
    <t>0093901388</t>
  </si>
  <si>
    <t>MOHAMMAD GHAVIN AZZARYA TAMRIN</t>
  </si>
  <si>
    <t>0098573401</t>
  </si>
  <si>
    <t>ARKAN QUVI RAHAGIS</t>
  </si>
  <si>
    <t>0092690551</t>
  </si>
  <si>
    <t>ASRAFUL MIFTAH</t>
  </si>
  <si>
    <t>ZONASI</t>
  </si>
  <si>
    <t>A</t>
  </si>
  <si>
    <t>B</t>
  </si>
  <si>
    <t>C</t>
  </si>
  <si>
    <t>D</t>
  </si>
  <si>
    <t>E</t>
  </si>
  <si>
    <t>F</t>
  </si>
  <si>
    <t>G</t>
  </si>
  <si>
    <t>H</t>
  </si>
  <si>
    <t>I</t>
  </si>
  <si>
    <t>J</t>
  </si>
  <si>
    <t>NIS</t>
  </si>
  <si>
    <t>Tahun Pelajaran 2026 / 2027</t>
  </si>
  <si>
    <t>0108174028</t>
  </si>
  <si>
    <t>AFIFAH</t>
  </si>
  <si>
    <t>SMP negeri 8 pamekasan</t>
  </si>
  <si>
    <t>90.49</t>
  </si>
  <si>
    <t>63.34</t>
  </si>
  <si>
    <t>79.63</t>
  </si>
  <si>
    <t>-</t>
  </si>
  <si>
    <t>0107626584</t>
  </si>
  <si>
    <t>AISYAH FAYYAD MAHIRA EFFENDI</t>
  </si>
  <si>
    <t>SMP NEGERI 2 PAMEKASAN</t>
  </si>
  <si>
    <t>90.51</t>
  </si>
  <si>
    <t>65.00</t>
  </si>
  <si>
    <t>80.31</t>
  </si>
  <si>
    <t>0113992796</t>
  </si>
  <si>
    <t>ALFINA LAILY</t>
  </si>
  <si>
    <t>SMPN 1 PAMEKASAN</t>
  </si>
  <si>
    <t>(-)</t>
  </si>
  <si>
    <t>ALVINO DWI ANDIKA</t>
  </si>
  <si>
    <t>SMP Negeri 5 Pamekasan</t>
  </si>
  <si>
    <t>86.54</t>
  </si>
  <si>
    <t>80.00</t>
  </si>
  <si>
    <t>83.92</t>
  </si>
  <si>
    <t>-Mendali perunggu pada lomba KMSI se kabupaten tahun 2023
-Mendali perak pada lomba KMSI se provinsi tahun 2023
-Mendali perunggu pada lomba KMSI se kabupaten tahun 2024</t>
  </si>
  <si>
    <t>0112191144</t>
  </si>
  <si>
    <t>ALYA AZZAHRA HIDAYAT</t>
  </si>
  <si>
    <t>SMPN 2 PAMEKASAN</t>
  </si>
  <si>
    <t>0114950171</t>
  </si>
  <si>
    <t>ALYSA PUTRI PUSTIKA</t>
  </si>
  <si>
    <t xml:space="preserve">SMPN 1 PADEMAWU </t>
  </si>
  <si>
    <t>0114388600</t>
  </si>
  <si>
    <t>AYEM SULISTYONING TYAS</t>
  </si>
  <si>
    <t xml:space="preserve">SMP NEGERI 2 PADEMAWU </t>
  </si>
  <si>
    <t>91.00</t>
  </si>
  <si>
    <t>60.00</t>
  </si>
  <si>
    <t>78.60</t>
  </si>
  <si>
    <t>Juara 1 dari kelas 7-9
Penghargaan tahfidz juz 30 dan juz 1</t>
  </si>
  <si>
    <t>0116997238</t>
  </si>
  <si>
    <t>AZALIA MAHARATU SANTOSO</t>
  </si>
  <si>
    <t xml:space="preserve">SMPN 1 PAMEKASAN </t>
  </si>
  <si>
    <t>0119050789</t>
  </si>
  <si>
    <t>AZZAHRA MUDANINGRUM WIBOWO</t>
  </si>
  <si>
    <t>SLTP Negeri 1 Pamekasan</t>
  </si>
  <si>
    <t>82.89</t>
  </si>
  <si>
    <t>55.00</t>
  </si>
  <si>
    <t>71.73</t>
  </si>
  <si>
    <t>0117465252</t>
  </si>
  <si>
    <t>BERLIANA ARANIYAH SUBAIRI</t>
  </si>
  <si>
    <t>85.00</t>
  </si>
  <si>
    <t>63.33</t>
  </si>
  <si>
    <t>76.33</t>
  </si>
  <si>
    <t>0102397601</t>
  </si>
  <si>
    <t>DAFA KANA SUWANDI</t>
  </si>
  <si>
    <t>MTsN 2 PAMEKASAN</t>
  </si>
  <si>
    <t>82.37</t>
  </si>
  <si>
    <t>40.00</t>
  </si>
  <si>
    <t>65.42</t>
  </si>
  <si>
    <t>tidak ada</t>
  </si>
  <si>
    <t>0116574266</t>
  </si>
  <si>
    <t>FATHARANI RAJBI WARDANA</t>
  </si>
  <si>
    <t>MTSN 3 PAMEKASAN</t>
  </si>
  <si>
    <t>KIAI juara 2(MA SUMBER BUNGUR PAKONG)</t>
  </si>
  <si>
    <t>0101196604</t>
  </si>
  <si>
    <t>GENDIS RAMADHANI PUTRI H</t>
  </si>
  <si>
    <t>86.51</t>
  </si>
  <si>
    <t>77.24</t>
  </si>
  <si>
    <t>0101218950</t>
  </si>
  <si>
    <t>IKROM ALI</t>
  </si>
  <si>
    <t>89.06</t>
  </si>
  <si>
    <t>76.67</t>
  </si>
  <si>
    <t>84.10</t>
  </si>
  <si>
    <t>- Juara Harapan 1 Pythagoras+22 (2026) Bhs. inggris
- Juara Harapan 2 Amfibi+ (2026) Bhs. Inggris
- Juara 2 AKSI (2026) Bhs. Inggris</t>
  </si>
  <si>
    <t>0105381495</t>
  </si>
  <si>
    <t>ISNA ALVARETA DAMAYANTI</t>
  </si>
  <si>
    <t xml:space="preserve">SMP NEGERI 2 PAMEKASAN </t>
  </si>
  <si>
    <t xml:space="preserve">Juara 1 Olimpiade Bahasa Inggris Catalyst 2026 </t>
  </si>
  <si>
    <t>0102404656</t>
  </si>
  <si>
    <t>KARIM MUSTHOFA BENZEMA RAHMAN</t>
  </si>
  <si>
    <t>SMPN 1 Pamekasan</t>
  </si>
  <si>
    <t>84.34</t>
  </si>
  <si>
    <t>66.67</t>
  </si>
  <si>
    <t>77.27</t>
  </si>
  <si>
    <t>0118050569</t>
  </si>
  <si>
    <t>KHOIRINI AULIANA SODIK</t>
  </si>
  <si>
    <t xml:space="preserve">SMPN 2 Pamekasan </t>
  </si>
  <si>
    <t>88.26</t>
  </si>
  <si>
    <t>79.62</t>
  </si>
  <si>
    <t>0102293794</t>
  </si>
  <si>
    <t>MAGHFIRATUL HAQIQIYAH</t>
  </si>
  <si>
    <t>SMP Negeri 2 Pamekasan</t>
  </si>
  <si>
    <t>0119102326</t>
  </si>
  <si>
    <t>MAISHITA ZALFA ZAHIRA</t>
  </si>
  <si>
    <t>83.17</t>
  </si>
  <si>
    <t>61.67</t>
  </si>
  <si>
    <t>74.57</t>
  </si>
  <si>
    <t>0103517899</t>
  </si>
  <si>
    <t>MEISYA MELINDA PUTRI</t>
  </si>
  <si>
    <t xml:space="preserve">MTSs MATSARATUL HUDA </t>
  </si>
  <si>
    <t>0111386102</t>
  </si>
  <si>
    <t>MEISYA PURNOMO</t>
  </si>
  <si>
    <t>SMPN 4 TANJUNG</t>
  </si>
  <si>
    <t>0104258466</t>
  </si>
  <si>
    <t>MOHAMMAD AZZAM FAKHRULLAH</t>
  </si>
  <si>
    <t>1. Medali perak matematika Final provinsi KMSI 
2. Medali perunggu matematika OSI 15 Nasional
3. Medali perunggu IPA OSI 15 Nasional
4  Juara 2 matematika SMASCOM Se-Jawa timur</t>
  </si>
  <si>
    <t>0111595573</t>
  </si>
  <si>
    <t>MOHAMMAD IBRAN NAWAFIL</t>
  </si>
  <si>
    <t>MTS NEGERI 1 PAMEKASAN</t>
  </si>
  <si>
    <t>86.11</t>
  </si>
  <si>
    <t>0107873733</t>
  </si>
  <si>
    <t>MOREYNO ISWAHYUDI</t>
  </si>
  <si>
    <t>86.63</t>
  </si>
  <si>
    <t>75.00</t>
  </si>
  <si>
    <t>81.98</t>
  </si>
  <si>
    <t>0106853256</t>
  </si>
  <si>
    <t>MUTIARA NOER ISLAMI</t>
  </si>
  <si>
    <t>MTs.Mftahul Qulub Polagan</t>
  </si>
  <si>
    <t>0113084419</t>
  </si>
  <si>
    <t>NAJWA ZAHRA RAYHANA</t>
  </si>
  <si>
    <t>0104676748</t>
  </si>
  <si>
    <t>RAISYA AURELIA JAKSANTO</t>
  </si>
  <si>
    <t>MTs. Ummul Quro Putri</t>
  </si>
  <si>
    <t>Tidak ada</t>
  </si>
  <si>
    <t>RAISYA TRI YUNIAR HERMITA SARI</t>
  </si>
  <si>
    <t>SMPN 3 Pamekasan</t>
  </si>
  <si>
    <t>81.43</t>
  </si>
  <si>
    <t>41.67</t>
  </si>
  <si>
    <t>65.53</t>
  </si>
  <si>
    <t>0113258602</t>
  </si>
  <si>
    <t>RIZKY FEBRIYAN MAULANA</t>
  </si>
  <si>
    <t xml:space="preserve">MTsN 1 PAMEKASAN </t>
  </si>
  <si>
    <t>86.80</t>
  </si>
  <si>
    <t>71.67</t>
  </si>
  <si>
    <t>88.75</t>
  </si>
  <si>
    <t>0102482013</t>
  </si>
  <si>
    <t>SAMARA MAJDA WACHDIN</t>
  </si>
  <si>
    <t>SMP NEGERI 1 PAMEKASAN</t>
  </si>
  <si>
    <t>88.00</t>
  </si>
  <si>
    <t>73.34</t>
  </si>
  <si>
    <t>82.14</t>
  </si>
  <si>
    <t>0118303142</t>
  </si>
  <si>
    <t>SATRIA NOVAN PERWIRA</t>
  </si>
  <si>
    <t>smpn 1 pamekasan</t>
  </si>
  <si>
    <t>82.29</t>
  </si>
  <si>
    <t>71.37</t>
  </si>
  <si>
    <t>0116008886</t>
  </si>
  <si>
    <t>SHABRINA HANDAYANI</t>
  </si>
  <si>
    <t>SMPN2 PAMEKASAN</t>
  </si>
  <si>
    <t>87.69</t>
  </si>
  <si>
    <t>74.61</t>
  </si>
  <si>
    <t>0111519445</t>
  </si>
  <si>
    <t>TALITHA SHAFIYYAH ARGIYANTI</t>
  </si>
  <si>
    <t xml:space="preserve">SMPN 2 PAMEKASAN </t>
  </si>
  <si>
    <t>78.65</t>
  </si>
  <si>
    <t>0106057468</t>
  </si>
  <si>
    <t>YARIS SULISTIO</t>
  </si>
  <si>
    <t>SMPN1PADEMAWU</t>
  </si>
  <si>
    <t>88.43</t>
  </si>
  <si>
    <t>80.39</t>
  </si>
  <si>
    <t>JUARA HARAPAN 3 IPS SEMADURA YANG DI SELENGARAKAN OLEH MGP IPS KABUPATEN PAMEKASAN PADA TANGGAL 12 NOVEMBER 2023, ,JUARA 3 PADA LOMBA CERDAS CERMAT TINGKAT SMP SEDERAJAT SE KABUPATEN PAMEKASAN DALAM APRESI2 YANG DISELENGGARAKAN OLEH REMAS AGUNG ASY-SYUHADA PAMEKASAN TANGGAL 12 OKTOBER 2025</t>
  </si>
  <si>
    <t>0102023406</t>
  </si>
  <si>
    <t>ZAIDANE ASADIL RAFIE ALFAZARI</t>
  </si>
  <si>
    <t>87.11</t>
  </si>
  <si>
    <t>78.93</t>
  </si>
  <si>
    <t>-medali perunggu dan emas sains nasional (puskanas)</t>
  </si>
  <si>
    <t>0128146346</t>
  </si>
  <si>
    <t>ZULFA NURIL MAWADDAH</t>
  </si>
  <si>
    <t>MTsN 3 Pamekasan</t>
  </si>
  <si>
    <t>92.90</t>
  </si>
  <si>
    <t>83.34</t>
  </si>
  <si>
    <t>89.08</t>
  </si>
  <si>
    <t>Top 100 Terbaik – TKA Competition 1.0 Tingkat SMP/MTs se-Jawa Timur – Lembaga Pendidikan Unggulan Amanatul Ummah Surabaya – 8 Februari 2026
Medali Emas – Nusantara Academic Championship Tingkat Nasional Bidang Matematika – Asosiasi Olimpiade Nusantara &amp; LKP Pakar Akademi – 7 September 2025
Medali Emas – Smart Generation Competition Tingkat Nasional Bidang Pendidikan Agama Islam – Lembaga Satu Prestasi &amp; BEM FTIRS ITS – 7 September 2025
Juara Harapan II – Mafikibisa Plus'25 Bidang PAI Tingkat SMP/MTs se-Madura – OSIS MAN 2 Pamekasan – 6 Desember 2025</t>
  </si>
  <si>
    <t>ADINDA R NISYRIN AZZAHRA</t>
  </si>
  <si>
    <t>SMP Nurul Jadid</t>
  </si>
  <si>
    <t>80.66</t>
  </si>
  <si>
    <t>73.06</t>
  </si>
  <si>
    <t>Tahfidz</t>
  </si>
  <si>
    <t>0101969578</t>
  </si>
  <si>
    <t>AVISQI SYAFIRULAH FIRMANSYAH</t>
  </si>
  <si>
    <t>82.23</t>
  </si>
  <si>
    <t>75.34</t>
  </si>
  <si>
    <t xml:space="preserve">(-) </t>
  </si>
  <si>
    <t>‘0117318632</t>
  </si>
  <si>
    <t>AWLIDYA DINDA NABILA</t>
  </si>
  <si>
    <t>SMP Plus Nurul Hikmah Pamekasan</t>
  </si>
  <si>
    <t>88.17</t>
  </si>
  <si>
    <t>43.33</t>
  </si>
  <si>
    <t>70.23</t>
  </si>
  <si>
    <t>0106318464</t>
  </si>
  <si>
    <t>DESI AISYAH ALIFA</t>
  </si>
  <si>
    <t>88.31</t>
  </si>
  <si>
    <t>81.65</t>
  </si>
  <si>
    <t>0119634502</t>
  </si>
  <si>
    <t>DIRA KARTIKA SARI</t>
  </si>
  <si>
    <t>86.46</t>
  </si>
  <si>
    <t>78.33</t>
  </si>
  <si>
    <t>83.21</t>
  </si>
  <si>
    <t>0102200609</t>
  </si>
  <si>
    <t>DZAKIA VANIA AUBERTA JAYADI</t>
  </si>
  <si>
    <t>78.90</t>
  </si>
  <si>
    <t>0111355772</t>
  </si>
  <si>
    <t>FARDA AULIA KURNIA</t>
  </si>
  <si>
    <t xml:space="preserve">SMPN 1 LARANGAN </t>
  </si>
  <si>
    <t>92.03</t>
  </si>
  <si>
    <t>85.89</t>
  </si>
  <si>
    <t xml:space="preserve">1. Meraih juara harapan 1 (4) dalam lomba PHYTAGORAS+22 yang diselenggarakan oleh SMAN 1 Pamekasan 
2. Meraih medali emas tingkat provinsi, medali emas tingkat Kabupaten dan best mapel sejarah tingkat Kabupaten dalam lomba OLIPS ke 2 yang diselenggarakan oleh MGMP IPS Kabupaten Probolinggo 
3. Meraih Juara 1 dalam lomba Olimpiade IPS yang diselenggarakan oleh MGMP IPS Pamekasan
4. Meraih Juara 1 dalam lomba MAFIKIBISA PLUS 25 bidang IPS yang diselenggarakan oleh OSIS MAN 2 Pamekasan (27 april)
5. Meraih Juara 2 dalam lomba MAFIKIBISA PLUS 25 bidang IPS yang diselenggarakan oleh OSIS MAN 2 Pamekasan (6 desember)
6. Meraih Juara 2 dalam lomba GOMA PLUS X 2025 bidang IPS yang diselenggarakan oleh OSIS MA ALFALAH 
7. Meraih Juara 3 dalam lomba AKSI 2026 bidang IPS yang diselenggarakan oleh MAN 1 PAMEKASAN 
8. Meraih Juara 3 dalam lomba AKSI 2025 bidang IPS yang diselenggarakan oleh MAN 1 PAMEKASAN 
9. Meraih Juara harapan 1 (4) dalam lomba GOMA PLUS IX 2025 bidang IPS  yang diselenggarakan oleh OSIS MA ALFALAH </t>
  </si>
  <si>
    <t>0116260978</t>
  </si>
  <si>
    <t>FARHATUS SHOLIHAH</t>
  </si>
  <si>
    <t xml:space="preserve">SMP NEGERI 2 PENGANTENAN </t>
  </si>
  <si>
    <t>88.71</t>
  </si>
  <si>
    <t>70.00</t>
  </si>
  <si>
    <t>81.23</t>
  </si>
  <si>
    <t>0109242753</t>
  </si>
  <si>
    <t>FAYZA FITRI RAMADHANI</t>
  </si>
  <si>
    <t>89.54</t>
  </si>
  <si>
    <t>83.33</t>
  </si>
  <si>
    <t>87.06</t>
  </si>
  <si>
    <t>0113824295</t>
  </si>
  <si>
    <t>FEBRIAN TRISNO PUTRA</t>
  </si>
  <si>
    <t>SMPN 3 PMK</t>
  </si>
  <si>
    <t>81.14</t>
  </si>
  <si>
    <t>78.34</t>
  </si>
  <si>
    <t>80.02</t>
  </si>
  <si>
    <t>0118805990</t>
  </si>
  <si>
    <t>FELICIA LENITA JONATHAN</t>
  </si>
  <si>
    <t xml:space="preserve">MTSN 3 PAMEKASAN </t>
  </si>
  <si>
    <t>0114204433</t>
  </si>
  <si>
    <t>KAIRA BRIANA AQILLA SYUA</t>
  </si>
  <si>
    <t>SMP Negeri 1 Pamekasan</t>
  </si>
  <si>
    <t>89.46</t>
  </si>
  <si>
    <t>58.34</t>
  </si>
  <si>
    <t>77.01</t>
  </si>
  <si>
    <t>1.  Juara 3 Olimpiade Sastra Tingkat SMP/MTS/Sederajat Se Madura yang Diselenggarakan oleh Dinas Pendidikan dan Kebudayaan Kabupaten Pamekasan Pada Tanggal 04 Mei 2025
2. Medali Perunggu Level 4 Square Root Olympiad yang diselenggarakan oleh Omag Sinau Semar pada tanggal 23 Februari 2025</t>
  </si>
  <si>
    <t>0113992432</t>
  </si>
  <si>
    <t>KHOIRUL BARIYAH</t>
  </si>
  <si>
    <t>MTS AL-MUZAKKi</t>
  </si>
  <si>
    <t>0.00</t>
  </si>
  <si>
    <t>50.44</t>
  </si>
  <si>
    <t>0106604350</t>
  </si>
  <si>
    <t>KRISNA ARKARNA</t>
  </si>
  <si>
    <t>82.83</t>
  </si>
  <si>
    <t>75.70</t>
  </si>
  <si>
    <t>0115833274</t>
  </si>
  <si>
    <t>LEISTYVIA MURZIDHA HAZIS</t>
  </si>
  <si>
    <t>0117515615</t>
  </si>
  <si>
    <t>MAULANA DZAKY ALMER</t>
  </si>
  <si>
    <t xml:space="preserve">SMP Negeri 1 Pamekasan </t>
  </si>
  <si>
    <t>1. Juara 1 IPS (COSMIS) tahun 2023
2. Juara 2 IPS (COSMIS) tahun 2024
3. Juara 2 IPS (Bisco) tahun 2025
4. Juara 2 IPS (SMASCOM) tahun 2025
5. Harapan 3 IPS (AKSI) tahun 2026</t>
  </si>
  <si>
    <t>0107323638</t>
  </si>
  <si>
    <t>MERIZA NAILA ROHMAH</t>
  </si>
  <si>
    <t>0109610550</t>
  </si>
  <si>
    <t>MERY INDRIYANI</t>
  </si>
  <si>
    <t>84.60</t>
  </si>
  <si>
    <t>56.67</t>
  </si>
  <si>
    <t>73.43</t>
  </si>
  <si>
    <t>0113580736</t>
  </si>
  <si>
    <t>MOH DZILDJAN ARUNAKAFA DJ</t>
  </si>
  <si>
    <t>87.14</t>
  </si>
  <si>
    <t>78.95</t>
  </si>
  <si>
    <t>0117692097</t>
  </si>
  <si>
    <t>MOH ILHAM UBAIDILAH</t>
  </si>
  <si>
    <t>SMPN 1 Sampang</t>
  </si>
  <si>
    <t>92.17</t>
  </si>
  <si>
    <t>93.34</t>
  </si>
  <si>
    <t>92.64</t>
  </si>
  <si>
    <t>Juara 3 lomba Phytagoras+22 bidang Matematika</t>
  </si>
  <si>
    <t>MOH YERIK HARSHA</t>
  </si>
  <si>
    <t>smpn 1 galis</t>
  </si>
  <si>
    <t>48.34</t>
  </si>
  <si>
    <t>0104392842</t>
  </si>
  <si>
    <t>PRASEPTYAN PUTERA ABSULISTYAWAN</t>
  </si>
  <si>
    <t>0114927577</t>
  </si>
  <si>
    <t>RAFLI WAHYU SETYAWAN</t>
  </si>
  <si>
    <t>84.23</t>
  </si>
  <si>
    <t>68.34</t>
  </si>
  <si>
    <t>77.87</t>
  </si>
  <si>
    <t>0122446477</t>
  </si>
  <si>
    <t>RAISHA PUTRI AYUNINDITA</t>
  </si>
  <si>
    <t>1. Olimpiade Omni Sains Indonesia ( OSI 2) thn 2025 ( Mapel Bahasa Inggris - Tingkat SMP )                                                                                                                                                           2. Olimpiade  matematika, sains, bahasa inggris tahun 2026 (Mapel Bahasa Inggris - Level 4)</t>
  </si>
  <si>
    <t>0103803597</t>
  </si>
  <si>
    <t>RIFQI ALFAIRUS ALHAMDANI</t>
  </si>
  <si>
    <t>SMP NEGERI 1 Pamekasan</t>
  </si>
  <si>
    <t>92.40</t>
  </si>
  <si>
    <t>82.78</t>
  </si>
  <si>
    <t>- Juara 2 Phytagoras +21 Bidang IPS (SMAN 1 PAMEKASAN).
- Juara 3 OLIPS tingkat SLTP/SMP/MTS Se-derajat se Jawa Bali tahun 2025 (HMPS Tadris Ilmu Pengetahuan Sosial Universitas islam Negeri Madura).
- Juara 2 SMASCOM &amp; SSO Bidang IPS tahun  jenjang SMP/MTs sederajat se-Jawa-Bali tahun 2025 (SMAN 1 Trenggalek).
- Juara 3 Olimpiade IPS tingkat SMP/MTS se-Madura tahun 2024 (MGMP IPS Kabupaten Pamekasan).
- Juara 2 MAFIKIBISA PLUS'25 Bidang IPS tingkat SMP/MTs sederajat se-Madura tahun 2025 (MAN 2 PAMEKASAN).
- Juara 2 KOMPAS +15 tahun 2024 (SMAN 1 Pamekasan).
- Juara 2 GOMA PLUS IX 2025 Mapel Agama (MA AL-FALAH Sumber Gayam Kadur Pamekasan).</t>
  </si>
  <si>
    <t>0111790640</t>
  </si>
  <si>
    <t>S QONITA HAMDY R</t>
  </si>
  <si>
    <t xml:space="preserve">SMP Plus Nurul Hikmah </t>
  </si>
  <si>
    <t>86.77</t>
  </si>
  <si>
    <t>80.05</t>
  </si>
  <si>
    <t>0108237820</t>
  </si>
  <si>
    <t>SAFRA HUBBY ELHAKIM</t>
  </si>
  <si>
    <t>MTS Multazam</t>
  </si>
  <si>
    <t>87.40</t>
  </si>
  <si>
    <t>77.78</t>
  </si>
  <si>
    <t>0117202197</t>
  </si>
  <si>
    <t>SAKINATIN NUR LAILA HANAFI</t>
  </si>
  <si>
    <t>MTSn 3 Pamekasan</t>
  </si>
  <si>
    <t>juara 2 lomba IPA se-Kabupaten Pamekasan dalam rangka Hari Guru Nasional</t>
  </si>
  <si>
    <t>0111744586</t>
  </si>
  <si>
    <t>SHABRINA AZKA IMANA</t>
  </si>
  <si>
    <t>83.20</t>
  </si>
  <si>
    <t>51.67</t>
  </si>
  <si>
    <t>70.59</t>
  </si>
  <si>
    <t>0101368280</t>
  </si>
  <si>
    <t>ULFA RAUDHATUS SOLEHAH E</t>
  </si>
  <si>
    <t>0108312959</t>
  </si>
  <si>
    <t>VIDYRA ANNAJWA SYAFITRI</t>
  </si>
  <si>
    <t>89.91</t>
  </si>
  <si>
    <t>79.95</t>
  </si>
  <si>
    <t>0105034607</t>
  </si>
  <si>
    <t>WIDAD RAJEV KENZIE</t>
  </si>
  <si>
    <t>SMPN 2 LARANGAN</t>
  </si>
  <si>
    <t>0119440535</t>
  </si>
  <si>
    <t>WILYARDI DWIKI AZKARIANSYAH</t>
  </si>
  <si>
    <t>0112087908</t>
  </si>
  <si>
    <t>YASMIN RAISA SHABRINA</t>
  </si>
  <si>
    <t>88.14</t>
  </si>
  <si>
    <t>76.88</t>
  </si>
  <si>
    <t>0101673941</t>
  </si>
  <si>
    <t>ZHANDY IEYANK MAHESA</t>
  </si>
  <si>
    <t>28.33</t>
  </si>
  <si>
    <t>59.47</t>
  </si>
  <si>
    <t>0113313365</t>
  </si>
  <si>
    <t>ZIBAR RABBANY YASIR</t>
  </si>
  <si>
    <t xml:space="preserve">MTS DARISSALAM </t>
  </si>
  <si>
    <t>0117318632</t>
  </si>
  <si>
    <t>3104177826</t>
  </si>
  <si>
    <t>0111131164</t>
  </si>
  <si>
    <t>AEZAR KHOIRON ABABYL</t>
  </si>
  <si>
    <t>Smp Plus Nurul Hikmah</t>
  </si>
  <si>
    <t>88.20</t>
  </si>
  <si>
    <t>75.59</t>
  </si>
  <si>
    <t>AIRINI SETIAWATI</t>
  </si>
  <si>
    <t>SMP NEGERI 1 TLANAKAN</t>
  </si>
  <si>
    <t>86.31</t>
  </si>
  <si>
    <t>77.79</t>
  </si>
  <si>
    <t>Peringkat 1 kelas IXC SMP negeri 1 Tlanakan tahun 2025/2026</t>
  </si>
  <si>
    <t>0115599470</t>
  </si>
  <si>
    <t>ALVINA QIRANY</t>
  </si>
  <si>
    <t>smpn 2 pamekasan</t>
  </si>
  <si>
    <t>0105446776</t>
  </si>
  <si>
    <t>ANANDIA AISYAH PUTRI</t>
  </si>
  <si>
    <t>88.03</t>
  </si>
  <si>
    <t>68.33</t>
  </si>
  <si>
    <t>80.15</t>
  </si>
  <si>
    <t>0113805273</t>
  </si>
  <si>
    <t>ANDINI UTAMI ARYPUTRI</t>
  </si>
  <si>
    <t>0117403892</t>
  </si>
  <si>
    <t>AR RAIFA NAJWA DYMAILA P</t>
  </si>
  <si>
    <t>- Juara harapan 3 kompetisi matematika yang diselenggarakan oleh squareroot tahun 2024 tingkat se-Madura
- medali perunggu kompetisi matematika yang diselenggarakan oleh squareroot tahun 2025 tingkat se-Madura
- Juara 3 sekaligus medali emas kompetisi matematika yang diselenggarakan oleh BISCO tahun 2025 tingkat nasional</t>
  </si>
  <si>
    <t>ARINI HERISYA PUTRI</t>
  </si>
  <si>
    <t xml:space="preserve">SMP negeri 2 Pamekasan </t>
  </si>
  <si>
    <t>Phytagoras</t>
  </si>
  <si>
    <t>0107656649</t>
  </si>
  <si>
    <t>ASSHIFA RAMADHANI PERMATA D</t>
  </si>
  <si>
    <t>0106706252</t>
  </si>
  <si>
    <t>AZMIRAJNI RAYYINA BAROROH</t>
  </si>
  <si>
    <t xml:space="preserve">SMP Negeri 2 Pamekasan </t>
  </si>
  <si>
    <t>93.29</t>
  </si>
  <si>
    <t>89.31</t>
  </si>
  <si>
    <t>0103374643</t>
  </si>
  <si>
    <t>BELLA TUSSYAFA RAMADHANI</t>
  </si>
  <si>
    <t xml:space="preserve">SMP AL FALAH </t>
  </si>
  <si>
    <t>86.40</t>
  </si>
  <si>
    <t>77.84</t>
  </si>
  <si>
    <t>Medali emas bidang PAI tingkat Kabupaten
Medali perak bidang IPA tingkat nasional</t>
  </si>
  <si>
    <t>0111414993</t>
  </si>
  <si>
    <t>BILI SETYO WIDODO</t>
  </si>
  <si>
    <t>SMP NEGERI 1 WARU</t>
  </si>
  <si>
    <t>0113604513</t>
  </si>
  <si>
    <t>FAIZ RAFI ABDILLAH</t>
  </si>
  <si>
    <t>0105704640</t>
  </si>
  <si>
    <t>FARAH FAJRIYAH ISTNA HASYIM</t>
  </si>
  <si>
    <t xml:space="preserve">MTsN 3 Pamekasan </t>
  </si>
  <si>
    <t>91.55</t>
  </si>
  <si>
    <t>81.60</t>
  </si>
  <si>
    <t>0111806582</t>
  </si>
  <si>
    <t>FILZA YUSRIFA RIANA</t>
  </si>
  <si>
    <t>90.05</t>
  </si>
  <si>
    <t>73.37</t>
  </si>
  <si>
    <t>Olimpiade generasi emas Nusantara bodang studi IPA SMP. 12 OKTOBER 2025</t>
  </si>
  <si>
    <t>0119722182</t>
  </si>
  <si>
    <t>GENDIS DWI ANINDYA PUTRI</t>
  </si>
  <si>
    <t xml:space="preserve">MTSN 1 PAMEKASAN </t>
  </si>
  <si>
    <t xml:space="preserve">87, 61 </t>
  </si>
  <si>
    <t>0101780059</t>
  </si>
  <si>
    <t>JIHAN AL RINU</t>
  </si>
  <si>
    <t>smpn1pamekasan</t>
  </si>
  <si>
    <t>Karya Tulis Ilmiah Juara 2, Tahun 2025</t>
  </si>
  <si>
    <t>0117468421</t>
  </si>
  <si>
    <t>MAULANA RAIHAN FIRMANSYAH</t>
  </si>
  <si>
    <t>SMP PROGRESIF BUMI SHALAWAT</t>
  </si>
  <si>
    <t>0117350879</t>
  </si>
  <si>
    <t>MAULIDIA ARIFIN</t>
  </si>
  <si>
    <t>SMPN 5 PAMEKASAN</t>
  </si>
  <si>
    <t>86.23</t>
  </si>
  <si>
    <t>73.79</t>
  </si>
  <si>
    <t>JUARA 3 OLIMPIADE BAHASA INDONESIA (OBI) SEMADURA JENJANG SMP/SEDERAJAT 2024</t>
  </si>
  <si>
    <t>0111120867</t>
  </si>
  <si>
    <t>MAULIDZA JACINDA PUTRI S</t>
  </si>
  <si>
    <t>84.89</t>
  </si>
  <si>
    <t>0108371768</t>
  </si>
  <si>
    <t>MELLISA AULYA DAMAYANTI</t>
  </si>
  <si>
    <t>0104378706</t>
  </si>
  <si>
    <t>MOHAMMAD IQBAL FIRMANSYAH</t>
  </si>
  <si>
    <t>0114891544</t>
  </si>
  <si>
    <t>MOHAMMAD ZAKKY AFRIANSYAH</t>
  </si>
  <si>
    <t xml:space="preserve">Smpn 2 Pamekasan </t>
  </si>
  <si>
    <t>77.97</t>
  </si>
  <si>
    <t>31.67</t>
  </si>
  <si>
    <t>59.45</t>
  </si>
  <si>
    <t>0101676977</t>
  </si>
  <si>
    <t>MUH KAFIN AZKA FARIQUL HAQ</t>
  </si>
  <si>
    <t>0106331068</t>
  </si>
  <si>
    <t>MUHAMMAD ALFARABIL NUGRAHA</t>
  </si>
  <si>
    <t>0105443534</t>
  </si>
  <si>
    <t>MUHAMMAD AZRIEL AFIFI PRADANA</t>
  </si>
  <si>
    <t>0109896880</t>
  </si>
  <si>
    <t>MUHAMMAD RAFA NUR SETYAWAN</t>
  </si>
  <si>
    <t xml:space="preserve">SMP NEGERI 1 PAMEKASAN </t>
  </si>
  <si>
    <t>80.77</t>
  </si>
  <si>
    <t>70.46</t>
  </si>
  <si>
    <t>0107396946</t>
  </si>
  <si>
    <t>MUHAMMAD ZAKI ANWAR</t>
  </si>
  <si>
    <t>86.60</t>
  </si>
  <si>
    <t>81.30</t>
  </si>
  <si>
    <t>PUTERA IRJAYANI RAHMAN</t>
  </si>
  <si>
    <t>85.17</t>
  </si>
  <si>
    <t>70.44</t>
  </si>
  <si>
    <t>0112418843</t>
  </si>
  <si>
    <t>RANITA FAYZA PUTRI HERMAWAN</t>
  </si>
  <si>
    <t>88.80</t>
  </si>
  <si>
    <t>0108672870</t>
  </si>
  <si>
    <t>SAFA RAMADANIATUS IZZA</t>
  </si>
  <si>
    <t>SMP PLUS NURUL HIKMAH</t>
  </si>
  <si>
    <t>91.69</t>
  </si>
  <si>
    <t>75.68</t>
  </si>
  <si>
    <t>medali perunggu ipa puspenjar</t>
  </si>
  <si>
    <t>0113781763</t>
  </si>
  <si>
    <t>SAHIRA AZHARIYA NAHDA SURURI</t>
  </si>
  <si>
    <t xml:space="preserve">SMPN 1 tlanakan </t>
  </si>
  <si>
    <t>88.06</t>
  </si>
  <si>
    <t>82.84</t>
  </si>
  <si>
    <t>0115498554</t>
  </si>
  <si>
    <t>YASMINE KIRANA APRILIA</t>
  </si>
  <si>
    <t>87.03</t>
  </si>
  <si>
    <t>76.89</t>
  </si>
  <si>
    <t>0107161917</t>
  </si>
  <si>
    <t>YOLANDA DWI PUTRI</t>
  </si>
  <si>
    <t xml:space="preserve">SMP NEGERI 1 TLANAKAN </t>
  </si>
  <si>
    <t>84.83</t>
  </si>
  <si>
    <t>76.90</t>
  </si>
  <si>
    <t>0113846572</t>
  </si>
  <si>
    <t>ZAHRA KIRANI GUNAWAN</t>
  </si>
  <si>
    <t>- Juara 1 Mapel Bahasa Indonesia (AKSI)</t>
  </si>
  <si>
    <t>0103806854</t>
  </si>
  <si>
    <t>ZAKI AGATHA</t>
  </si>
  <si>
    <t xml:space="preserve">SMP PLUS NURUL HIKMAH </t>
  </si>
  <si>
    <t>90.23</t>
  </si>
  <si>
    <t>82.81</t>
  </si>
  <si>
    <t>0116875613</t>
  </si>
  <si>
    <t>ADIENDA CANTIKA YUDHISTIRA</t>
  </si>
  <si>
    <t>85.37</t>
  </si>
  <si>
    <t>75.22</t>
  </si>
  <si>
    <t>0109084702</t>
  </si>
  <si>
    <t>AFFAN MAULANA ISHAQ</t>
  </si>
  <si>
    <t>SMP NEGRI 1 PAMEKASAN</t>
  </si>
  <si>
    <t>82.17</t>
  </si>
  <si>
    <t>53.34</t>
  </si>
  <si>
    <t>70.64</t>
  </si>
  <si>
    <t>0105523137</t>
  </si>
  <si>
    <t>AFINA FILZAH KHAIRANA RACHMAN</t>
  </si>
  <si>
    <t>0109145031</t>
  </si>
  <si>
    <t>AFUZA GHANIAH KHAIRINA RACHMAN</t>
  </si>
  <si>
    <t>0102511323</t>
  </si>
  <si>
    <t>AHMAD GHAISAN NAVIZ RAMADANI</t>
  </si>
  <si>
    <t>IIS SMP PROGRESSIVE BUMI SHALAWAT</t>
  </si>
  <si>
    <t>JUARA 1 OLIMPIADE BAHASA INDONESIA OLIMPIADE RIHAND CREATIVE BY UNIVERSITAS NEGERI MALANG</t>
  </si>
  <si>
    <t>0114675356</t>
  </si>
  <si>
    <t>ARIQOH SALSABILA RAMADHANI</t>
  </si>
  <si>
    <t>SMP negeri 5 Pamekasan</t>
  </si>
  <si>
    <t>0114593863</t>
  </si>
  <si>
    <t>BEZALEEL KEZIO BUDIJONO</t>
  </si>
  <si>
    <t>0109772634</t>
  </si>
  <si>
    <t>BINANDA SABRINA PUTRI KASYAFANI</t>
  </si>
  <si>
    <t>SMPN 2 Pamekasan</t>
  </si>
  <si>
    <t>91.89</t>
  </si>
  <si>
    <t>85.80</t>
  </si>
  <si>
    <t>0106741833</t>
  </si>
  <si>
    <t>FAIDAH ZALIMAR FUATUNSAKINAH</t>
  </si>
  <si>
    <t xml:space="preserve">SMPN 1 Pamekasan </t>
  </si>
  <si>
    <t>93.20</t>
  </si>
  <si>
    <t>91.67</t>
  </si>
  <si>
    <t>92.59</t>
  </si>
  <si>
    <t>juara 2 MCR dan LRP 2023, juara 1 Leo X Limit Tahun 2023, juara 2 The Competition'9 Mepel Matematika Tahun 2024, juara 3 "COMPASS VII" Tahun 2024, juara 1 OSN-K Mapel Matematika Tahun 2024, juara 3 Kompetisi Sains Madrasah Tahun 2024, juara 3 APOTEMA Tahun 2024, juara 1 Olimpiade Matematika Vektor Nasional 2025, juara 1 Olimpika Exploration V Tingkat SMP/MTS Sederajat Tahun 2024, juara 3 AMFIBI Mapel Matematika Tahun 2025, juara 1 Olimpiade Matematika (Khawarizm Competition) Tahun 2025, juara 1 MAFIKIBISA plus'25 Bidang Matematika Tahun 2025, juara 2 Kegiatan AL Uswah Treasure Hunt (AUSTERN) 2.0 Tahun 2025, juara 1 optima tahun 2026 dan juara 1 sigma unira tahun 2026</t>
  </si>
  <si>
    <t>0115578774</t>
  </si>
  <si>
    <t>FAIRUS HIDAYAH PRAWIDA</t>
  </si>
  <si>
    <t>0106635170</t>
  </si>
  <si>
    <t>FAISHAL BISRI ANSHORY</t>
  </si>
  <si>
    <t>SMP PUNCAK DARUS SALAM</t>
  </si>
  <si>
    <t>0115830566</t>
  </si>
  <si>
    <t>FATHIR PRATAMA ARIEF</t>
  </si>
  <si>
    <t>0107041594</t>
  </si>
  <si>
    <t>GHAYDA AURYNA AZZARIA</t>
  </si>
  <si>
    <t>0113441591</t>
  </si>
  <si>
    <t>GIOVANNI AURELIA FIDI FRONDEDY</t>
  </si>
  <si>
    <t xml:space="preserve">SMPN 1 Sumenep </t>
  </si>
  <si>
    <t>91.20</t>
  </si>
  <si>
    <t>80.06</t>
  </si>
  <si>
    <t>0113481013</t>
  </si>
  <si>
    <t>HUMAIRA A TAUFANI</t>
  </si>
  <si>
    <t xml:space="preserve">SMP plus Nurul Hikmah </t>
  </si>
  <si>
    <t>85.94</t>
  </si>
  <si>
    <t>0114940252</t>
  </si>
  <si>
    <t>MARETA DWI MELANDRI</t>
  </si>
  <si>
    <t>Smpn 1 pademawu</t>
  </si>
  <si>
    <t>83.14</t>
  </si>
  <si>
    <t>50.00</t>
  </si>
  <si>
    <t>69.88</t>
  </si>
  <si>
    <t>Ipa</t>
  </si>
  <si>
    <t>0106532271</t>
  </si>
  <si>
    <t>MAULIDIA NABILA SAFITRI</t>
  </si>
  <si>
    <t>89.00</t>
  </si>
  <si>
    <t>80.07</t>
  </si>
  <si>
    <t>0105246267</t>
  </si>
  <si>
    <t>MEGA PANGESTU</t>
  </si>
  <si>
    <t>88.09</t>
  </si>
  <si>
    <t>76.85</t>
  </si>
  <si>
    <t>0116019188</t>
  </si>
  <si>
    <t>MOH AINUR ROFIQI</t>
  </si>
  <si>
    <t>MTs Nahdliyatul Islamiyah</t>
  </si>
  <si>
    <t>81.37</t>
  </si>
  <si>
    <t>Juara 1 Kompetisi PAI dan Sains (KOMPAS) se-Madura 
Juara 2 HGN MAN 2 Pamekasan
Juara 3 Pidato Bahasa Inggris PORSENI</t>
  </si>
  <si>
    <t>0109107539</t>
  </si>
  <si>
    <t>MOH JULIANTO ALFARIZI</t>
  </si>
  <si>
    <t>SMPN 8 PAMEKASAN</t>
  </si>
  <si>
    <t>85.40</t>
  </si>
  <si>
    <t>77.91</t>
  </si>
  <si>
    <t>MOH RIZKI RADITYA UMAM</t>
  </si>
  <si>
    <t xml:space="preserve">JUARA 1 matematika PHYTAGORAS 2026, JUARA 1 matematika beregu leo×limit 2023, JUARA 1 matematika beregu 2024
,juara 1 matematika beregu leo×limit 2025,
juara harapan 1 metematika beregu  omvn 2025,
juara 2 matematika khawarizm competition 2024,
Juara 3 matematika khawarizm competition 2025,
juara 1 matematika beregu iof,
juara 3 matematika SSO 2024,
juara 3 matematika SSO 2024,
juara 2 matematika sso 2026
Juara 1 Matematika Samed Plus 2025
Juara 2 Matematika Cosmos VII 2023
Juara Harapan 1 Mafikibisa Plus 2025
Juara IV Matematika MACINTOS 2025
Juara Harapan 1 Matematika Khawarizm competition 2026
Juara Harapan 2 Matematika Sigma Units 2024
</t>
  </si>
  <si>
    <t>0116941093</t>
  </si>
  <si>
    <t>NAILA ISTNAINI ZAHRA</t>
  </si>
  <si>
    <t>85.51</t>
  </si>
  <si>
    <t>75.97</t>
  </si>
  <si>
    <t>NAJWA AISSYATI ISMAN</t>
  </si>
  <si>
    <t>MTS DDI Masakambing</t>
  </si>
  <si>
    <t>0102399771</t>
  </si>
  <si>
    <t>NASTAMA TRI ADITYA FASHA</t>
  </si>
  <si>
    <t>30.00</t>
  </si>
  <si>
    <t>60.19</t>
  </si>
  <si>
    <t>0113204752</t>
  </si>
  <si>
    <t>NAZLATUR RAHMAH</t>
  </si>
  <si>
    <t>86.57</t>
  </si>
  <si>
    <t>79.94</t>
  </si>
  <si>
    <t>0118414476</t>
  </si>
  <si>
    <t>NIZAR AHZA ALAZZAM</t>
  </si>
  <si>
    <t>91.14</t>
  </si>
  <si>
    <t>86.68</t>
  </si>
  <si>
    <t>0103189746</t>
  </si>
  <si>
    <t>PURI AYU PUTRI BILQIS</t>
  </si>
  <si>
    <t>- juara harapan 1 mapel ips, cosmis-viii
- juara harapan 1 mapel ips, gamis competition'5</t>
  </si>
  <si>
    <t>0104950261</t>
  </si>
  <si>
    <t>PUTRY DESWIETA LADY AWALIA</t>
  </si>
  <si>
    <t>84.80</t>
  </si>
  <si>
    <t>73.55</t>
  </si>
  <si>
    <t>0117957178</t>
  </si>
  <si>
    <t>R FAKHRI ADLI NASHSHAR</t>
  </si>
  <si>
    <t>86.75</t>
  </si>
  <si>
    <t>56..67</t>
  </si>
  <si>
    <t>72.50</t>
  </si>
  <si>
    <t>0105301606</t>
  </si>
  <si>
    <t>RA SAFARAZ AUFA AZALIA</t>
  </si>
  <si>
    <t>88.37</t>
  </si>
  <si>
    <t>77.02</t>
  </si>
  <si>
    <t>0109047528</t>
  </si>
  <si>
    <t>RAFI AGUNG PRAMANA</t>
  </si>
  <si>
    <t>0118197876</t>
  </si>
  <si>
    <t>SABRINA ATHIFA KESUMA</t>
  </si>
  <si>
    <t>79,85</t>
  </si>
  <si>
    <t>0115265208</t>
  </si>
  <si>
    <t>SHERLY NATASYA NURIMAN</t>
  </si>
  <si>
    <t>SMP Plus Nurul Hikmah</t>
  </si>
  <si>
    <t>88.40</t>
  </si>
  <si>
    <t>77.71</t>
  </si>
  <si>
    <t>0103105963</t>
  </si>
  <si>
    <t>SITI ICHA MIFTAHUL JENNAH</t>
  </si>
  <si>
    <t xml:space="preserve">SMP negeri 8 Pamekasan </t>
  </si>
  <si>
    <t>90.66</t>
  </si>
  <si>
    <t>81.06</t>
  </si>
  <si>
    <t>0104330293</t>
  </si>
  <si>
    <t>TRI MEYSILA ATMANEGARA</t>
  </si>
  <si>
    <t>SMP NEGERI 3 PAMEKASAN</t>
  </si>
  <si>
    <t>87.66</t>
  </si>
  <si>
    <t>83.26</t>
  </si>
  <si>
    <t>0108212780</t>
  </si>
  <si>
    <t>YUNITA CAMELA DEWI</t>
  </si>
  <si>
    <t xml:space="preserve">SMP Negeri 5  Pamekasan </t>
  </si>
  <si>
    <t>juara 2 ilmu pengetahuan sosial</t>
  </si>
  <si>
    <t>0115900723</t>
  </si>
  <si>
    <t>ABDULLAH HAKAM AL GHIFARI</t>
  </si>
  <si>
    <t>0116058220</t>
  </si>
  <si>
    <t>AMELIA PUTRI SRI RAHAYU</t>
  </si>
  <si>
    <t>SMPN 8 Pamekasan</t>
  </si>
  <si>
    <t xml:space="preserve">Juara 2 FTBI Carakan Madura
</t>
  </si>
  <si>
    <t>0108111782</t>
  </si>
  <si>
    <t>ANISA MARATUS SHOLEHAH</t>
  </si>
  <si>
    <t>MtsN 1 Pamekasan</t>
  </si>
  <si>
    <t>88.48</t>
  </si>
  <si>
    <t>75.09</t>
  </si>
  <si>
    <t>0113664330</t>
  </si>
  <si>
    <t>AUDRIA CALYA PUTRI SANTOSO</t>
  </si>
  <si>
    <t>90.86</t>
  </si>
  <si>
    <t>79.85</t>
  </si>
  <si>
    <t>0111948346</t>
  </si>
  <si>
    <t>BAGAS DHELTA SABILA</t>
  </si>
  <si>
    <t>90.09</t>
  </si>
  <si>
    <t>82.72</t>
  </si>
  <si>
    <t>0119037165</t>
  </si>
  <si>
    <t>CHARADINA FALIH UTAMI</t>
  </si>
  <si>
    <t>0106704469</t>
  </si>
  <si>
    <t>DANIEL DWI PRASETYO ARIFIN</t>
  </si>
  <si>
    <t>86.29</t>
  </si>
  <si>
    <t>72.44</t>
  </si>
  <si>
    <t>0106291799</t>
  </si>
  <si>
    <t>DHIMAS AHMAD SULTHONI</t>
  </si>
  <si>
    <t>87.26</t>
  </si>
  <si>
    <t>0108696856</t>
  </si>
  <si>
    <t>ELLISA HABIBAH</t>
  </si>
  <si>
    <t>SMP NEGERI 7 PAMEKASAN</t>
  </si>
  <si>
    <t>83.51</t>
  </si>
  <si>
    <t>76.11</t>
  </si>
  <si>
    <t>0114428936</t>
  </si>
  <si>
    <t>FAIZA AQILA MECCA</t>
  </si>
  <si>
    <t>- Juara 1 Olimpiade Bahasa Indonesia (OBI) Se-Madura yang diselenggarakan oleh Himaba FKIP UNIRA.</t>
  </si>
  <si>
    <t>0104596735</t>
  </si>
  <si>
    <t>FARADIBA CARISSA PUTRI</t>
  </si>
  <si>
    <t>77.67</t>
  </si>
  <si>
    <t>0114795074</t>
  </si>
  <si>
    <t>FIJRI MEIDY ROZITA</t>
  </si>
  <si>
    <t>0119559729</t>
  </si>
  <si>
    <t>FITRI ANNISA SOLIHAH</t>
  </si>
  <si>
    <t>MTS NAHDLIYATUL ISLAMIYAH</t>
  </si>
  <si>
    <t>76.03</t>
  </si>
  <si>
    <t>61.62</t>
  </si>
  <si>
    <t>0118922095</t>
  </si>
  <si>
    <t>FRANDA DIVINA CARISSA TAN</t>
  </si>
  <si>
    <t>79.04</t>
  </si>
  <si>
    <t xml:space="preserve">- </t>
  </si>
  <si>
    <t>0105498999</t>
  </si>
  <si>
    <t>HAFIIZH NURBILLA</t>
  </si>
  <si>
    <t>TIDAK ADA</t>
  </si>
  <si>
    <t>0111772899</t>
  </si>
  <si>
    <t>KAYLA ANUGERAH RAMADHANI</t>
  </si>
  <si>
    <t>90.97</t>
  </si>
  <si>
    <t>86.58</t>
  </si>
  <si>
    <t xml:space="preserve">1. Juara 3 OSN IPS tingkat Kabupaten
2. Peringkat 7 OSN IPS tingkat kabupaten
3. Peringkat 2 Pelatihan Pra- OSN-P 2025  tingkat Provinsi(Erick institut) 
4. Semi-Finalis Phytagoras +21 (IPS) se-Madura(smansa) 
5. Semi-Finalis Phytagoras +22 (Bahasa Inggris) se-Madura (smansa) 
</t>
  </si>
  <si>
    <t>0101928629</t>
  </si>
  <si>
    <t>KEIZA ALMIRA RAMADHANI ROFAN</t>
  </si>
  <si>
    <t>89.34</t>
  </si>
  <si>
    <t>73.60</t>
  </si>
  <si>
    <t>Juara 2 Story Telling Competition, Finalis Provinsi Jawa Timur Matematika LEVEL 4.</t>
  </si>
  <si>
    <t>0119485437</t>
  </si>
  <si>
    <t>KINARA SEPTRI FITRIA</t>
  </si>
  <si>
    <t>76.84</t>
  </si>
  <si>
    <t>0101304244</t>
  </si>
  <si>
    <t>LIVIANA ZAHROTUL AMALIYAH</t>
  </si>
  <si>
    <t>92.06</t>
  </si>
  <si>
    <t>83.24</t>
  </si>
  <si>
    <t>1. JUARA 1 MAPEL FISIKA DALAM AJANG “PEKAN RAYA ILMIAH (PRI)” UIN SYARIF HIDAYATULLAH TK.NASIONAL 2025
2. JUARA 1 MAPEL IPA DALAM AJANG “SCIENCE SALATIGA OLYMPIAD (SSO)” UIN SALATIGA TK.NASIONAL 2025
3. JUARA 3 MAPEL IPA DALAM AJANG “OLIENCE” UIN SUNAN AMPEL SURABAYA TK.PROVINSI 2024
4. JUARA HARAPAN 1 MAPEL IPA DALAM AJANG “CHROMOSOM” UNIVERSITAS TRUNOJOYO MADURA SE-SURABAYA DAN MADURA 2025
5. JUARA HARAPAN 2 IPA DALAM AJANG “CHROMOSOM” UNIVERSITAS TRUNOJOYO MADURA SE-SURABAYA DAN MADURA 2024 
6. MEDALI PERAK IPA DALAM AJANG “OSIRIS” SMAUBP AMANATUL UMMAH TK.NASIONAL 2025
7. JUARA 2 BIOLOGI DALAM AJANG “S2LC”SMALA SE-JAWA DAN BALI 2024
8. JUARA 1 IPA DALAM AJANG “SAMED PLUS” SE-MADURA 2025
9. JUARA 2 IPA DALAM AJANG “SAMED PLUS”SE-MADURA 2024
10. JUARA 2 ESAI TK.KABUPATEN 2024
11. JUARA 2 CERPEN DALAM AJANG FTBI TK.KABUPATEN 2025
12. PERINGKAT 7 OLIMPIADE SAINS NASIONAL (OSN)  MAPEL IPA 2024
13. PERINGKAT 7 LOMBA MENULIS ESAI TK.KABUPATEN 2025
14. JUARA HARAPAN 2 MATHEMATICS AND SCIENCE ON SMADA (MACINTOS) TK.PROVINSI 2025</t>
  </si>
  <si>
    <t>0106943785</t>
  </si>
  <si>
    <t>MAHSYARIS ALVERRO RIZQI SYAHDIANRA</t>
  </si>
  <si>
    <t>93.03</t>
  </si>
  <si>
    <t>90.00</t>
  </si>
  <si>
    <t>91.82</t>
  </si>
  <si>
    <t>Juara 2 PHYTA Bahasa Inggris</t>
  </si>
  <si>
    <t>0109027972</t>
  </si>
  <si>
    <t>MEILINDA PUTRI WIDIANITA</t>
  </si>
  <si>
    <t>0103443988</t>
  </si>
  <si>
    <t>MOH CHOKY AHZANUR KUSNADI</t>
  </si>
  <si>
    <t>82.51</t>
  </si>
  <si>
    <t>69.51</t>
  </si>
  <si>
    <t>0104091877</t>
  </si>
  <si>
    <t>MOHAMMAD ANAS AMRULLAH</t>
  </si>
  <si>
    <t>83.86</t>
  </si>
  <si>
    <t>80.98</t>
  </si>
  <si>
    <t>0127097427</t>
  </si>
  <si>
    <t>MUHAMMAD ARIQ ULWAN</t>
  </si>
  <si>
    <t xml:space="preserve">MTsN 3 PAMEKASAN </t>
  </si>
  <si>
    <t>90.58</t>
  </si>
  <si>
    <t>81.68</t>
  </si>
  <si>
    <t>0118621306</t>
  </si>
  <si>
    <t>NAYLA FITRIYATUL JANNAH</t>
  </si>
  <si>
    <t>83.09</t>
  </si>
  <si>
    <t>0118637597</t>
  </si>
  <si>
    <t>NAZIL QYNAN ALHASAN</t>
  </si>
  <si>
    <t>-juara 3  lomba Olimpiade matematika squareRoot 2024
-juara 2 lomba Olimpiade matematika SMASCOM 2024
-juara harapan 3  lomba Olimpiade matematika COSMIS VIII 2024
-juara medali perak lomba Olimpiade matematika squareRoot 2025
-juara 2 lomba Olimpiade matematika LEO X LIMIT 2025
-juara harapan 1 lomba Olimpiade matematika COSMIS IX 2025
-juara 1 lomba Olimpiade matematika CATALYST+ 2026</t>
  </si>
  <si>
    <t>0122129700</t>
  </si>
  <si>
    <t>QONITATILLAH MARDIYA BAHITA</t>
  </si>
  <si>
    <t>93.37</t>
  </si>
  <si>
    <t>•Siswa 2 tahun di MTsN 3 Pamekasan
•juara 3 OMI dibidang sains/ipa tingkat kabupaten/kota
•juara 1 HGN (hari guru nasional se kabupaten pamekasan) di bidang sains
•juara 2 obor langit di bidang sains level 4
•juara harapan 2 lomba chromosom di bidang sains
•Peraih medali perak dalam ajang Final Nasional OMNAS 14 tahun 2025
•Peraih medali emas di bidang PKN dalam ajang kompetisi tingkat nasional (OAN KP) 
•Peraih medali perak di bidang biologi terpadu dalam ajang kompetisi tingkat nasional(IASC) 
• Peraih medali perak di bidang sains dalam ajang kompetisi tingkat nasional(FOSNAS) 
• Peraih medali perak di bidang `biologi terpadu'dalam ajang kompetisi tingkat nasional(OAN KP) 
•Peraih medali perak di bidang IPA dalam ajang kompetisi tingkat nasional(OAN KP)</t>
  </si>
  <si>
    <t>0113425330</t>
  </si>
  <si>
    <t>RANANDIKA ARFANSYAH PUTRA YUAN</t>
  </si>
  <si>
    <t xml:space="preserve">SMPN 1 SUMENEP </t>
  </si>
  <si>
    <t>0112266212</t>
  </si>
  <si>
    <t>SABRINA ALEESYA NOERDIANSYAH</t>
  </si>
  <si>
    <t xml:space="preserve">2nd place - News Anchor se kabupaten di Universitas Negeri malang
Medali Perunggu Biologi Nasional NSSO (National Smart Student Olympiad) </t>
  </si>
  <si>
    <t>0118925369</t>
  </si>
  <si>
    <t>SHABRIANSYAH KHANSA MAULIDI</t>
  </si>
  <si>
    <t>SMP PUNCAK DARUSSALAM</t>
  </si>
  <si>
    <t>0107268936</t>
  </si>
  <si>
    <t>SITI FAIQOTURROHMAH</t>
  </si>
  <si>
    <t>93.51</t>
  </si>
  <si>
    <t>82.77</t>
  </si>
  <si>
    <t>Juara 2 Olimpiade IPS tingkat SMP/MTs se-Madura yang diselenggarakan oleh MGMP IPS SMP Kabupaten Pamekasan</t>
  </si>
  <si>
    <t>0103514504</t>
  </si>
  <si>
    <t>TRI RAJAB JULIANTA</t>
  </si>
  <si>
    <t>SMP DAARUL UKHUWWH</t>
  </si>
  <si>
    <t>0094707991</t>
  </si>
  <si>
    <t>ULIE BAQIYYATIN</t>
  </si>
  <si>
    <t>MTS SABIILAL HAQ</t>
  </si>
  <si>
    <t>88.51</t>
  </si>
  <si>
    <t>0109432852</t>
  </si>
  <si>
    <t>WILDAN HAFIZ ZAKY</t>
  </si>
  <si>
    <t>0105100313</t>
  </si>
  <si>
    <t>YUDHA PRADITIYA</t>
  </si>
  <si>
    <t>81.20</t>
  </si>
  <si>
    <t>70.72</t>
  </si>
  <si>
    <t>0117826484</t>
  </si>
  <si>
    <t>ZULFA IZZATUDDAINA</t>
  </si>
  <si>
    <t>SMP Negeri 1 tlanakan</t>
  </si>
  <si>
    <t>78.24</t>
  </si>
  <si>
    <t>0112970532</t>
  </si>
  <si>
    <t>ADILAH ALTHAFUNNISA</t>
  </si>
  <si>
    <t>92.37</t>
  </si>
  <si>
    <t>80.09</t>
  </si>
  <si>
    <t>0112798863</t>
  </si>
  <si>
    <t>AFZAAL HENDYA ATHA FADHILA</t>
  </si>
  <si>
    <t xml:space="preserve">1. OLIMPIADE FUTSAL, ATLETIK, TIK, DAN VOLI 2025. Juara 2 CODING SPEED CHALLENGE. 
2. OLIMPIADE FUTSAL, ATLETIK, TIK, DAN VOLI 2026. Juara Harapan 1 CODING SPEED CHALLENGE. </t>
  </si>
  <si>
    <t>0108080753</t>
  </si>
  <si>
    <t>AGYTA KHANSA NAURA</t>
  </si>
  <si>
    <t>AISAH SABRINA SALSABIYLA</t>
  </si>
  <si>
    <t>SMP TAHFIDZ AL-MANSHURIN</t>
  </si>
  <si>
    <t>0107344672</t>
  </si>
  <si>
    <t>ALVIAN AL GHAZALI</t>
  </si>
  <si>
    <t>OMNAS 15 PERAIH (MEDALI PERUNGGU) TINGKAT PROVINSI PENYELENGGARA EMERAD EDUCATION CENTRE TANGGAL SURABAYA, 13-14 DESEMBER 2025</t>
  </si>
  <si>
    <t>0112799560</t>
  </si>
  <si>
    <t>ARKAN ABDURRAHMAN RITONGA</t>
  </si>
  <si>
    <t>SMP PLUS NURUL HIKMAH PAMEKASAN</t>
  </si>
  <si>
    <t>86.97</t>
  </si>
  <si>
    <t>78.85</t>
  </si>
  <si>
    <t>0101327436</t>
  </si>
  <si>
    <t>AURELIA MASHURATUL KAMILAH PURWADI</t>
  </si>
  <si>
    <t>MTS.DARUL ULUM BANYUANYAR</t>
  </si>
  <si>
    <t>0117515310</t>
  </si>
  <si>
    <t>BILQIS AZKAYRA MUMTAZ</t>
  </si>
  <si>
    <t>MTsN 3 PAMEKASAN</t>
  </si>
  <si>
    <t>91.39</t>
  </si>
  <si>
    <t>85.50</t>
  </si>
  <si>
    <t>Lulus 2 Tahun Satuan Kredit Semester (SKS), Terbaik 1 Nilai Madrasah</t>
  </si>
  <si>
    <t>0112194037</t>
  </si>
  <si>
    <t>CHRISTOPHER MATTHEW PRAYITNO</t>
  </si>
  <si>
    <t>78.87</t>
  </si>
  <si>
    <t>0119008076</t>
  </si>
  <si>
    <t>DELTA UNZILA LISFADILAH</t>
  </si>
  <si>
    <t>1. Juara 3 Phytagoras matematika tahun 2024
2. Juara 2 OSN-K matematika tahun 2025
3. Juara 3 OSN-K matematika tahun 2024
4. Juara 1 Amfibi matematika tahun 2024
5. Juara 1 Amfibi matematika tahun 2025
6. Juara 1 Amfibi matematika tahun 2026
7. Juara 1 Goma Plus matematika tahun 2026
8. Juara 1 Aksi matematika tahun 2026
9. Juara 1 Mafikibisa matematika tahun 2025
10. Juara 1 Mafikibisa matematika tahun 2024
11. Juara 1 KOSABA matematika tahun 2025
12. Juara 1 KOSABA matematika tahun 2024
13. Juara 1 Khawarizm competition matematika tahun 2025
14. Juara 3 MCR UNESA matematika tahun 2024
15. Juara 3 OMI matematika tahun 2025
16. Juara 1 OLMUS matematika tahun 2024
17. Juara 2 Aksi matematika tahun 2025
18. Juara 2 Aksara matematika tahun 2024
19. Juara 2 Goma Plus matematika tahun 2024
20. Juara 2 Catalyst matematika tahun 2026
21. Juara 3 Khawarizm competition matematika tahun 2026
22. Juara 3 BIOSMATIKA COMPETITION tahun 2026
23. Juara 3 SIGMA UNIRA matematika tahun 2025
24. Harapan 1 SIGMA UNIRA matematika tahun 2024
25. Medali perak PHI UNISMA matematika tahun 2024
26. Medali perak MCR UNESA matematika tahun 2023</t>
  </si>
  <si>
    <t>0115259023</t>
  </si>
  <si>
    <t>ERSYAFIA KHANSA NUR YULIANA SALIM</t>
  </si>
  <si>
    <t>82.70</t>
  </si>
  <si>
    <t>0119236030</t>
  </si>
  <si>
    <t>FAIZAH AMIRA BATRISYIA</t>
  </si>
  <si>
    <t>0118025465</t>
  </si>
  <si>
    <t>FEBRI AGUSTI MAULIDIYA</t>
  </si>
  <si>
    <t>SMP Negeri 2 pamekasan</t>
  </si>
  <si>
    <t>88.60</t>
  </si>
  <si>
    <t>87.16</t>
  </si>
  <si>
    <t>0111273676</t>
  </si>
  <si>
    <t>FIFIN</t>
  </si>
  <si>
    <t>MTsN 2 Pamekasan</t>
  </si>
  <si>
    <t>87.09</t>
  </si>
  <si>
    <t>78.25</t>
  </si>
  <si>
    <t>Peraih Medali Emas B.Indonesia (FOTON)
Peraih Medali Emas Akidah Akhlak (ISO) 
Peraih Medali Perak Fikih (ISO)</t>
  </si>
  <si>
    <t>0114982909</t>
  </si>
  <si>
    <t>IZZAH MAHA PUTRA EARLY</t>
  </si>
  <si>
    <t>90.43</t>
  </si>
  <si>
    <t>80.93</t>
  </si>
  <si>
    <t xml:space="preserve">-JUARA  2 IPS DALAM AJANG OSN TINGKAT KABUPATEN 2025
-JUARA  1 IPS  DALAM AJANG OMI TINGKAT KABUPATEN 2025
-JUARA  1 IPS DALAM AJANG ARTERI TINGKAT NASIONAL 2026 DI IIBS AL-HIKMAH BATU
-MEDALI EMAS IPS DALAM AJANG BISCO TINGKAT NASIONAL DI BLITAR
-JUARA 1 IPS  DALAM AJANG SMASCOM TINGKAT PROVINSI 2025 DI SMAN 1 TRENGGALEK
-JUARA 1 IPS DALAM AJANG SSO TINGKAT PROVINSI 2025 DI SMAN 1 TRENGGALEK
-JUARA 1 IPS DALAM AJANG COSMIS SEMADURA 2025 DI MA AL-FALAH DEMPO BARAT
</t>
  </si>
  <si>
    <t>0101465622</t>
  </si>
  <si>
    <t>JABRAN MUBAROK</t>
  </si>
  <si>
    <t xml:space="preserve">MTsS Sumber Payung </t>
  </si>
  <si>
    <t>75.02</t>
  </si>
  <si>
    <t>0109938939</t>
  </si>
  <si>
    <t>KAYSA WAHYU WIRATNA PUTRI</t>
  </si>
  <si>
    <t>85.60</t>
  </si>
  <si>
    <t>76.70</t>
  </si>
  <si>
    <t>0112535120</t>
  </si>
  <si>
    <t>KURROTUL AINI</t>
  </si>
  <si>
    <t xml:space="preserve">MTsN 2 PAMEKASAN </t>
  </si>
  <si>
    <t>peraih medali emas b.indo KAIS
peraih medali perak b.indo KSBN
peraih medali emas akilaq ISO 1</t>
  </si>
  <si>
    <t>0111513365</t>
  </si>
  <si>
    <t>M ZAHWAN PUTRA PRATAMA</t>
  </si>
  <si>
    <t>63.39</t>
  </si>
  <si>
    <t>0118011200</t>
  </si>
  <si>
    <t>MAHESA PUTRA MAHENDRA</t>
  </si>
  <si>
    <t>73.33</t>
  </si>
  <si>
    <t>83.39</t>
  </si>
  <si>
    <t>0118151183</t>
  </si>
  <si>
    <t>MEYZA PUTRI AULIA</t>
  </si>
  <si>
    <t>87.97</t>
  </si>
  <si>
    <t>76.12</t>
  </si>
  <si>
    <t>0106451868</t>
  </si>
  <si>
    <t>MOH JEFRI HIFDHON ASSAHI</t>
  </si>
  <si>
    <t>SMP NEGERI 2 LARANGAN</t>
  </si>
  <si>
    <t>85.77</t>
  </si>
  <si>
    <t>70.80</t>
  </si>
  <si>
    <t>0105796237</t>
  </si>
  <si>
    <t>MOHAMMAD NASRULLAH</t>
  </si>
  <si>
    <t>87.31</t>
  </si>
  <si>
    <t>72.39</t>
  </si>
  <si>
    <t>0108494705</t>
  </si>
  <si>
    <t>AZZAM RAMA ABABIL</t>
  </si>
  <si>
    <t>84.31</t>
  </si>
  <si>
    <t>73.25</t>
  </si>
  <si>
    <t>0111788450</t>
  </si>
  <si>
    <t>MUHAMMAD GHAZY AL GHIFFARI</t>
  </si>
  <si>
    <t>SMP Puncak Darussalam</t>
  </si>
  <si>
    <t>79.06</t>
  </si>
  <si>
    <t>1. Juara I Speech Competition Tingkat Nasional (Aterval 2025)
2. Harapan II Lomba Speech Tingkat SLTP Nasional (LEMBARAN Madrasah Aliyah 1 Annuqayah)</t>
  </si>
  <si>
    <t>0104276839</t>
  </si>
  <si>
    <t>MUHAMMAD RAISHA NURIZZAMAN</t>
  </si>
  <si>
    <t>SMP NURUL HIKMAH</t>
  </si>
  <si>
    <t>86.20</t>
  </si>
  <si>
    <t>73.72</t>
  </si>
  <si>
    <t>0113524320</t>
  </si>
  <si>
    <t>NADIVA RAMADANTI ZAINI</t>
  </si>
  <si>
    <t>0101204340</t>
  </si>
  <si>
    <t>NAILATUL NAJWA</t>
  </si>
  <si>
    <t>90.69</t>
  </si>
  <si>
    <t>81.75</t>
  </si>
  <si>
    <t>0112027934</t>
  </si>
  <si>
    <t>QIESYA MEILANI ALFARISI</t>
  </si>
  <si>
    <t>smps al-ittihad</t>
  </si>
  <si>
    <t>82.31</t>
  </si>
  <si>
    <t>69.39</t>
  </si>
  <si>
    <t>0114837737</t>
  </si>
  <si>
    <t>QIRANIA IZZATY</t>
  </si>
  <si>
    <t>0105603774</t>
  </si>
  <si>
    <t>REGINA PUTRI RAHADI</t>
  </si>
  <si>
    <t xml:space="preserve">SMP NEGERI 1 LARANGAN </t>
  </si>
  <si>
    <t>88.29</t>
  </si>
  <si>
    <t>77.64</t>
  </si>
  <si>
    <t>0105934587</t>
  </si>
  <si>
    <t>ROBBY ASROFUL IBAD</t>
  </si>
  <si>
    <t>91.31</t>
  </si>
  <si>
    <t>91.45</t>
  </si>
  <si>
    <t>0119855405</t>
  </si>
  <si>
    <t>SABITAH ANINDYA NEVLIN</t>
  </si>
  <si>
    <t>87.29</t>
  </si>
  <si>
    <t>77.04</t>
  </si>
  <si>
    <t>0119965279</t>
  </si>
  <si>
    <t>SHAFA HESTI AULIA PRATIWI</t>
  </si>
  <si>
    <t>0108853555</t>
  </si>
  <si>
    <t>SITTI HUMAIROTUS SYARIFAH</t>
  </si>
  <si>
    <t>87.77</t>
  </si>
  <si>
    <t>81.67</t>
  </si>
  <si>
    <t>85.33</t>
  </si>
  <si>
    <t>0107200229</t>
  </si>
  <si>
    <t>ZAHIRA ULUL AZMI MULYANA</t>
  </si>
  <si>
    <t>Mts abfa  plus IBS</t>
  </si>
  <si>
    <t>0101796486</t>
  </si>
  <si>
    <t>ACH AGUNG PRIYONO</t>
  </si>
  <si>
    <t>Smpn 8 pamekasan</t>
  </si>
  <si>
    <t>33.34</t>
  </si>
  <si>
    <t>0109032710</t>
  </si>
  <si>
    <t>AGUNG LAKSONO</t>
  </si>
  <si>
    <t>0116877060</t>
  </si>
  <si>
    <t>ALMIRA DEWI MAULIANITA</t>
  </si>
  <si>
    <t>0103364941</t>
  </si>
  <si>
    <t>ARTHA ANANTA MEDISTYO</t>
  </si>
  <si>
    <t>0104405842</t>
  </si>
  <si>
    <t>AURORA ASHILIA DASALWA</t>
  </si>
  <si>
    <t>SMPN2 Pamekasan</t>
  </si>
  <si>
    <t>88.23</t>
  </si>
  <si>
    <t>77.61</t>
  </si>
  <si>
    <t>0111393017</t>
  </si>
  <si>
    <t>CITRA SEPTIANA SOFWAN</t>
  </si>
  <si>
    <t>0115691957</t>
  </si>
  <si>
    <t>ERMA SABRINA ARKAZORA</t>
  </si>
  <si>
    <t>88.63</t>
  </si>
  <si>
    <t>81.85</t>
  </si>
  <si>
    <t>0109166001</t>
  </si>
  <si>
    <t>FAEYZA OKTANURA</t>
  </si>
  <si>
    <t>SMPN 3 PAMEKASAN</t>
  </si>
  <si>
    <t>84.94</t>
  </si>
  <si>
    <t>78.30</t>
  </si>
  <si>
    <t xml:space="preserve">1. Juara 1 Bahasa Inggris Pada Olimpiade Sains Indonesia 2 (OSI 2) 2025-2026 Tingkat Kota/Kabupaten
2. Juara 2 Bahasa Inggris Level 4 Pada Kompetisi Matematika, Sains dan Inggris 2025 Tingkat Kota/Kabupaten
3. Peraih Medali Perak Bahasa Inggris Pada Kompetisi VENUS Ke-3 2025 Tingkat Nasional
4. Peraih 12 Besar Pada Olimpiade Bahasa Inggris Level 4 Obor Langit 2025 Tingkat Kota
5. Peraih Gold Award Bahasa Inggris Level 4 Pada Chaanakya Ekadanta Olympiad 2025 Tingkat Kabupaten
6. Peraih Medali Perunggu Bahasa Inggris Pada Kompetisi Venus-3 Tingkat Kabupaten 2025
</t>
  </si>
  <si>
    <t>0104911484</t>
  </si>
  <si>
    <t>GHAITSANAJWA NURULIKA</t>
  </si>
  <si>
    <t>92.77</t>
  </si>
  <si>
    <t>Juara harapan 2 mapel bahasa Indonesia di AKSI 2026
Juara harapan 2 fisika di NEW AMFIBI PLUS 2025</t>
  </si>
  <si>
    <t>0117521930</t>
  </si>
  <si>
    <t>GRISELDA ZAFIRA FAUSTINA</t>
  </si>
  <si>
    <t>89.20</t>
  </si>
  <si>
    <t>0115166119</t>
  </si>
  <si>
    <t>HAIQAL ATALLAH NARARYA WAHYUDI</t>
  </si>
  <si>
    <t>0103640364</t>
  </si>
  <si>
    <t>HEIDIR ALI SAMUDRA</t>
  </si>
  <si>
    <t>0108988118</t>
  </si>
  <si>
    <t>INGGIT YUNIAR RAMADANI</t>
  </si>
  <si>
    <t xml:space="preserve">Smp Plus Nurul Hikmah </t>
  </si>
  <si>
    <t>0109614843</t>
  </si>
  <si>
    <t>INNA ANA TAQIYA RAMADHAN</t>
  </si>
  <si>
    <t>0114201878</t>
  </si>
  <si>
    <t>JIHAN AULIYA RAMADHANI</t>
  </si>
  <si>
    <t>SMPN 5 Pamekasan</t>
  </si>
  <si>
    <t>90.91</t>
  </si>
  <si>
    <t>79.21</t>
  </si>
  <si>
    <t>0111793725</t>
  </si>
  <si>
    <t>MAGHFIROTUN NAZILAH RAMADANI</t>
  </si>
  <si>
    <t>0106504596</t>
  </si>
  <si>
    <t>MOH ALFASYA AHZA</t>
  </si>
  <si>
    <t>85.54</t>
  </si>
  <si>
    <t>74.66</t>
  </si>
  <si>
    <t>0106655767</t>
  </si>
  <si>
    <t>MOH AMIRIL MUKMININ</t>
  </si>
  <si>
    <t>0114324103</t>
  </si>
  <si>
    <t>MOH FATAN WIRATAMA ABDULLAH</t>
  </si>
  <si>
    <t>86.71</t>
  </si>
  <si>
    <t>76.69</t>
  </si>
  <si>
    <t>0103600168</t>
  </si>
  <si>
    <t>MOH ZARIER AMIEN ALAYUDHA</t>
  </si>
  <si>
    <t>ranking 3</t>
  </si>
  <si>
    <t>0109141664</t>
  </si>
  <si>
    <t>MOHAMAD AGASHA ALIMUAFSAL</t>
  </si>
  <si>
    <t>91.06</t>
  </si>
  <si>
    <t>85.30</t>
  </si>
  <si>
    <t>Juara 1 dalam ajang FOSFAT kategori IMAGE GENERATION CONTEST 2025 SE-MADURA
Juara 1 dalam ajang FOSFAT kategori AI VIDEO GENERATION CONTEST 2026 SE-MADURA 
Juara harapan 2 dalam ajang FOSFAT kategori CODING SPEED CHALLENGE 2026 SE-MADURA</t>
  </si>
  <si>
    <t>0118953884</t>
  </si>
  <si>
    <t>MUHAMMAD SILMI KAFFA</t>
  </si>
  <si>
    <t>SMP NEGERI 5 PAMEKASAN</t>
  </si>
  <si>
    <t>85.06</t>
  </si>
  <si>
    <t>0115319375</t>
  </si>
  <si>
    <t>NADINE AULIA ARIYANTI</t>
  </si>
  <si>
    <t>0112547539</t>
  </si>
  <si>
    <t>NAYLA PUTRI FAHRIESA</t>
  </si>
  <si>
    <t>89.74</t>
  </si>
  <si>
    <t>79.84</t>
  </si>
  <si>
    <t>0106338896</t>
  </si>
  <si>
    <t>NAZWA NOVIANY SYAFITRI</t>
  </si>
  <si>
    <t>80.85</t>
  </si>
  <si>
    <t>0103096883</t>
  </si>
  <si>
    <t>PUTRI MAGHRIBI</t>
  </si>
  <si>
    <t>SMP NEGERI 1 SAMPANG</t>
  </si>
  <si>
    <t>93.11</t>
  </si>
  <si>
    <t>88.34</t>
  </si>
  <si>
    <t>Olimpiade PAI FAIR 2025
Lulusan Terbaik Akademik Ke-3
Lulusan Terbaik Nilai TKA Tertinggi Ke-3</t>
  </si>
  <si>
    <t>0112682194</t>
  </si>
  <si>
    <t>RAISHA NURHALIZA</t>
  </si>
  <si>
    <t>91.11</t>
  </si>
  <si>
    <t>82.67</t>
  </si>
  <si>
    <t>RAJIL GHUFRON</t>
  </si>
  <si>
    <t>SMPN 1 LARANGAN</t>
  </si>
  <si>
    <t>76.13</t>
  </si>
  <si>
    <t>0103500377</t>
  </si>
  <si>
    <t>REGINA INAYA PUTRI ARIFANDI</t>
  </si>
  <si>
    <t>smp negeri 1 pamekasan</t>
  </si>
  <si>
    <t>0104633155</t>
  </si>
  <si>
    <t>RENANDA DHESTA PRAMANA</t>
  </si>
  <si>
    <t>86.66</t>
  </si>
  <si>
    <t>72.00</t>
  </si>
  <si>
    <t>0112264425</t>
  </si>
  <si>
    <t>RESTY AULYA SAFIRA</t>
  </si>
  <si>
    <t>SMP NEGERI 8 PAMEKASAN</t>
  </si>
  <si>
    <t>- juara 1 OSN matematika tingkat kabupaten 2025
- juara harapan 3 SquareRoot Olympiad banyuangi tahun 2024</t>
  </si>
  <si>
    <t>0116418519</t>
  </si>
  <si>
    <t>RORO ANINDYA ZAHIRA HIRAWAN</t>
  </si>
  <si>
    <t>90.34</t>
  </si>
  <si>
    <t>70.87</t>
  </si>
  <si>
    <t>0117817402</t>
  </si>
  <si>
    <t>SISKA MAULA SAKINAH</t>
  </si>
  <si>
    <t>SMP NEGERI 1TLANAKAN</t>
  </si>
  <si>
    <t>83.49</t>
  </si>
  <si>
    <t>43.34</t>
  </si>
  <si>
    <t>67.43</t>
  </si>
  <si>
    <t>0113366067</t>
  </si>
  <si>
    <t>SITI NAYLA ZAHRA MAULIDA</t>
  </si>
  <si>
    <t>90.26</t>
  </si>
  <si>
    <t>0106890725</t>
  </si>
  <si>
    <t>SYAFAATUS SHILMA</t>
  </si>
  <si>
    <t xml:space="preserve">55.00 </t>
  </si>
  <si>
    <t>73.91</t>
  </si>
  <si>
    <t xml:space="preserve">tidak ada </t>
  </si>
  <si>
    <t>0101669426</t>
  </si>
  <si>
    <t>UZLIFATUL JANNAH</t>
  </si>
  <si>
    <t xml:space="preserve">SMPN 4 PAMEKASAN </t>
  </si>
  <si>
    <t>0108156817</t>
  </si>
  <si>
    <t>AIDA DESTIYANA PUTRI</t>
  </si>
  <si>
    <t>Mts Negeri 1 Pamekasan</t>
  </si>
  <si>
    <t>86.14</t>
  </si>
  <si>
    <t>78.35</t>
  </si>
  <si>
    <t>0119782271</t>
  </si>
  <si>
    <t>AISYAH QOTHRUN NADA</t>
  </si>
  <si>
    <t>SMP 3 Pamekasan</t>
  </si>
  <si>
    <t>0114150220</t>
  </si>
  <si>
    <t>ALMIRA BASHITA KURNIAWAN</t>
  </si>
  <si>
    <t>0108474739</t>
  </si>
  <si>
    <t>BAGAS DWI BUSRI YAQIN</t>
  </si>
  <si>
    <t>SMPN 1 PAKONG</t>
  </si>
  <si>
    <t>71.97</t>
  </si>
  <si>
    <t>0106109411</t>
  </si>
  <si>
    <t>CARISA DAFITRI EFFENDI</t>
  </si>
  <si>
    <t>94.86</t>
  </si>
  <si>
    <t>88.25</t>
  </si>
  <si>
    <t>• Juara 1 Goma plus 2026 mapel Pai
• Juara 3 Puspesjar kemerdekaan mapel  Ipa</t>
  </si>
  <si>
    <t>0106595174</t>
  </si>
  <si>
    <t>DAANISH RAFFI ALFARISI</t>
  </si>
  <si>
    <t>0102422190</t>
  </si>
  <si>
    <t>DAFFA NUR ZAKARIYYA</t>
  </si>
  <si>
    <t>91.37</t>
  </si>
  <si>
    <t>90.82</t>
  </si>
  <si>
    <t>Juara harapan 2 MATEMATIKA PHYTAGORAS 2026
Juara 3 MATEMATIKA AMFIBI PLUS 2026
Juara 1 MIPA pada lomba GALAXY 9.0 di mojokerto
Juara 3 MATEMATIKA COSMIS IX 2025
Juara 1 MATEMATIKA COSMIS VII 2023
Juara harapan 2 MATEMATIKA SAMED PLUS 2025
Juara harapan 3 MATEMATIKA AKSI 2026
Juara 2 MATEMATIKA LeoXLimit 2025
Juara 2 BIOSMATIKA 2026
Juara 1 MATEMATIKA SMASCOM 2024</t>
  </si>
  <si>
    <t>0111332366</t>
  </si>
  <si>
    <t>DELISHA SABRINA PUTRI SURYA</t>
  </si>
  <si>
    <t>MTSS UMMUL QURO PUTRI</t>
  </si>
  <si>
    <t>0112580174</t>
  </si>
  <si>
    <t>FAIHA NADA ZALFA</t>
  </si>
  <si>
    <t>SMPN 3 pamekasan</t>
  </si>
  <si>
    <t>0106693132</t>
  </si>
  <si>
    <t>FITRIA ASIFATUS ZAHRO</t>
  </si>
  <si>
    <t>81.83</t>
  </si>
  <si>
    <t>38.34</t>
  </si>
  <si>
    <t>64.43</t>
  </si>
  <si>
    <t>(_)</t>
  </si>
  <si>
    <t>0101836707</t>
  </si>
  <si>
    <t>FITRIYAH</t>
  </si>
  <si>
    <t>SMPN 2 PADEMAWU</t>
  </si>
  <si>
    <t>86.17</t>
  </si>
  <si>
    <t>semifinalis lomba pythagoras dan rank/juara satu (1) kelas</t>
  </si>
  <si>
    <t>0114098301</t>
  </si>
  <si>
    <t>GIBRAN ABDILLAH DHOVAIRY</t>
  </si>
  <si>
    <t>90.89</t>
  </si>
  <si>
    <t>83.87</t>
  </si>
  <si>
    <t>0107928320</t>
  </si>
  <si>
    <t>IZZA SAYRA QIRANI</t>
  </si>
  <si>
    <t>0111602576</t>
  </si>
  <si>
    <t>JUNDIYULHAQ ALMUJADID</t>
  </si>
  <si>
    <t>88.66</t>
  </si>
  <si>
    <t>82.53</t>
  </si>
  <si>
    <t>0112720305</t>
  </si>
  <si>
    <t>KARINA ULYA HARYADI</t>
  </si>
  <si>
    <t>84.74</t>
  </si>
  <si>
    <t>78.84</t>
  </si>
  <si>
    <t>0104245663</t>
  </si>
  <si>
    <t>KHAIZURAN RABBANI AHNAF</t>
  </si>
  <si>
    <t>86.26</t>
  </si>
  <si>
    <t>_</t>
  </si>
  <si>
    <t>0096104325</t>
  </si>
  <si>
    <t>KHANSA AFRA NABILA</t>
  </si>
  <si>
    <t>0103362499</t>
  </si>
  <si>
    <t>LABIB FAQIH ASSHOLIHIN</t>
  </si>
  <si>
    <t>90.20</t>
  </si>
  <si>
    <t>76.16</t>
  </si>
  <si>
    <t>BRILIANT ISLAMIC OLYMPIAD:peraih medali perunggu nasional,bidang bahasa indonesia
KISN:peraih medali perunggu nasional,bidang geografi
KOMPETISI AKADEMIK NASIONAL HARI PANCASILA:peraih perunggu,bidang geografi</t>
  </si>
  <si>
    <t>0101815001</t>
  </si>
  <si>
    <t>LYNA ELZA RAMADANI</t>
  </si>
  <si>
    <t xml:space="preserve">SMP NEGERI 3 PAMEKASAN </t>
  </si>
  <si>
    <t>83.31</t>
  </si>
  <si>
    <t>74.65</t>
  </si>
  <si>
    <t>0105865699</t>
  </si>
  <si>
    <t>M FAUZUL RAHMAN IRDIANSYAH</t>
  </si>
  <si>
    <t>Smpn 2 pamekasan</t>
  </si>
  <si>
    <t>0126226478</t>
  </si>
  <si>
    <t>MAJEEDA AMALINA</t>
  </si>
  <si>
    <t>juara harapan 2 lomba hgn mapel agama 2024,dan ada sebagian lomba online mapel agama dan umum seperti lomba osi tapi sertifikat nya sudah hilang dikarenakan akunnya tidak bisa.</t>
  </si>
  <si>
    <t>0107417750</t>
  </si>
  <si>
    <t>MERCHY ALEXANDRIA</t>
  </si>
  <si>
    <t>87.54</t>
  </si>
  <si>
    <t>85.19</t>
  </si>
  <si>
    <t>juara harapan 3 dalam rangka lomba optima</t>
  </si>
  <si>
    <t>0104111964</t>
  </si>
  <si>
    <t>MOHAMMAD FIQRIYANTO RAKHMAN</t>
  </si>
  <si>
    <t>80.82</t>
  </si>
  <si>
    <t>0104900272</t>
  </si>
  <si>
    <t>MUHAMMAD RAFI ABDULLAH</t>
  </si>
  <si>
    <t>87.49</t>
  </si>
  <si>
    <t>79.83</t>
  </si>
  <si>
    <t>0118019515</t>
  </si>
  <si>
    <t>MUHAMMAD RIZQI ZAMZAMI</t>
  </si>
  <si>
    <t xml:space="preserve">SMP PLUS NURUL HIKMAH PAMEKASAN </t>
  </si>
  <si>
    <t xml:space="preserve">Juara harapan 1 lomba KOMPAS yang diselenggarakan SMA Negeri 1 Pamekasan, Juara 1 lomba mapel PAI MAFIKIBISA yang diselenggarakan MAN 2 Pamekasan </t>
  </si>
  <si>
    <t>0114571037</t>
  </si>
  <si>
    <t>NADIA PUTRI RENATA</t>
  </si>
  <si>
    <t>SMPN 1 WARU</t>
  </si>
  <si>
    <t>0104541591</t>
  </si>
  <si>
    <t>NADITA CITRA PRATIWI</t>
  </si>
  <si>
    <t>87.22</t>
  </si>
  <si>
    <t>79.22</t>
  </si>
  <si>
    <t>RENANG</t>
  </si>
  <si>
    <t>0106468797</t>
  </si>
  <si>
    <t>NAYLA RACHMATUL AZZA</t>
  </si>
  <si>
    <t xml:space="preserve">SMPS SABILILLAH </t>
  </si>
  <si>
    <t>89.80</t>
  </si>
  <si>
    <t>81.88</t>
  </si>
  <si>
    <t>Juara 1 PHYTAGORAS+22 bidang bahasa inggris 2026
2nd Winner in English Olympiade of COME 2024</t>
  </si>
  <si>
    <t>0108159241</t>
  </si>
  <si>
    <t>NUR LAILI RAMADANIA</t>
  </si>
  <si>
    <t>0104382604</t>
  </si>
  <si>
    <t>NURRIYAH BELQIS</t>
  </si>
  <si>
    <t xml:space="preserve">MTsN 3 pamekasan </t>
  </si>
  <si>
    <t>0113019733</t>
  </si>
  <si>
    <t>RIFA NAYSHA QONITA MUSTOFA</t>
  </si>
  <si>
    <t xml:space="preserve">SMP Plus Nurul Hikmah Pamekasan </t>
  </si>
  <si>
    <t>85.34</t>
  </si>
  <si>
    <t>66.54</t>
  </si>
  <si>
    <t xml:space="preserve">Tidak ada </t>
  </si>
  <si>
    <t>0102175481</t>
  </si>
  <si>
    <t>RIVALINA MULYASARI</t>
  </si>
  <si>
    <t>SMPN 2 PAMEKSAN</t>
  </si>
  <si>
    <t>Tidak Ada</t>
  </si>
  <si>
    <t>0118835773</t>
  </si>
  <si>
    <t>SAHIRA AMIRA SUBHANI</t>
  </si>
  <si>
    <t>83.60</t>
  </si>
  <si>
    <t>74.16</t>
  </si>
  <si>
    <t>0114916424</t>
  </si>
  <si>
    <t>SARIFA HIDAYANTI</t>
  </si>
  <si>
    <t>86.83</t>
  </si>
  <si>
    <t>77.43</t>
  </si>
  <si>
    <t>0101809452</t>
  </si>
  <si>
    <t>VIKA NOVIYANTI ARIEF</t>
  </si>
  <si>
    <t>88.89</t>
  </si>
  <si>
    <t>0129193613</t>
  </si>
  <si>
    <t>YANUAR WISHNU PRATAMA</t>
  </si>
  <si>
    <t>82.60</t>
  </si>
  <si>
    <t>70.90</t>
  </si>
  <si>
    <t>0109106998</t>
  </si>
  <si>
    <t>AKHMAD RIFALDIANSYAH</t>
  </si>
  <si>
    <t>81.74</t>
  </si>
  <si>
    <t>74.38</t>
  </si>
  <si>
    <t>0109122065</t>
  </si>
  <si>
    <t>AL HARITS</t>
  </si>
  <si>
    <t xml:space="preserve">SMPS SABILILLAH SAMPANG </t>
  </si>
  <si>
    <t xml:space="preserve">1.Juara 3 lomba PHYTAGORAS bidang Matematika tingkat kabupaten/kota yang diselenggarakan oleh SMAN 1 PAMEKASAN
2.Juara 3 lomba THE COMPETITITON 9 bidang Matematika tingkat Nasional yang diselenggarakan oleh SMAN 9 SURABAYA
3.Juara 2 lomba OMVN bidang Matematika tingkat Nasional yang diselenggarakan oleh Universitas Negeri Malang
4.Juara 1 lomba OKARA bidang Matematika tingkat kabupaten/kota yang diselenggarakan oleh STKIP PGRI SUMENEP
5.Juara 3 lomba GOMA bidang Matematika tingkat kabupaten/kota yang diselenggarakan oleh MA AL-FALAH Pamekasan
6.Juara 2 lomba OMVN bidang Matematika tingkat Nasional yang diselenggarakan oleh Universitas Negeri Malang </t>
  </si>
  <si>
    <t>0101809584</t>
  </si>
  <si>
    <t>ALIFATUL ANISAH</t>
  </si>
  <si>
    <t>80.67</t>
  </si>
  <si>
    <t>0118134623</t>
  </si>
  <si>
    <t>AMIRAH SHAFA HADINANTA</t>
  </si>
  <si>
    <t>78.77</t>
  </si>
  <si>
    <t>JUARA 2 LOMBA DEBAT SMP/MTS Sederajat Se Jawa Timur MOSLEM TEENAGERS COMPETITIONS SMA KHADIJAH SURABAYA</t>
  </si>
  <si>
    <t>0114496217</t>
  </si>
  <si>
    <t>ANINDYA ALIKA RAMADHANI</t>
  </si>
  <si>
    <t>SMPN 2 PMK</t>
  </si>
  <si>
    <t>0118534001</t>
  </si>
  <si>
    <t>ARIBAH NAJWA</t>
  </si>
  <si>
    <t>89.94</t>
  </si>
  <si>
    <t>74.63</t>
  </si>
  <si>
    <t>lomba ipa dan matematika</t>
  </si>
  <si>
    <t>0116886449</t>
  </si>
  <si>
    <t>AULIA NUR ANISA</t>
  </si>
  <si>
    <t>89.90</t>
  </si>
  <si>
    <t>83.88</t>
  </si>
  <si>
    <t xml:space="preserve">•Juara 3 mapel bhs Indonesia (Ajang Kompetisi Siswa Berprestasi (Aksi)) </t>
  </si>
  <si>
    <t>0119497927</t>
  </si>
  <si>
    <t>AZKA MAULANA</t>
  </si>
  <si>
    <t>87.71</t>
  </si>
  <si>
    <t>81.96</t>
  </si>
  <si>
    <t>0103665333</t>
  </si>
  <si>
    <t>BENING MEUTIA OKTAVIANTI</t>
  </si>
  <si>
    <t>87.80</t>
  </si>
  <si>
    <t>77.35</t>
  </si>
  <si>
    <t>0108134448</t>
  </si>
  <si>
    <t>DEWI PUTRI ANGGRAINI</t>
  </si>
  <si>
    <t>88.54</t>
  </si>
  <si>
    <t>79.79</t>
  </si>
  <si>
    <t>0106236441</t>
  </si>
  <si>
    <t>FARHAN SYARIF RAMADHAN</t>
  </si>
  <si>
    <t>UPTD SMPN 1 SAMPANG</t>
  </si>
  <si>
    <t>94.03</t>
  </si>
  <si>
    <t>89.75</t>
  </si>
  <si>
    <t>PHYTAGORAS+22</t>
  </si>
  <si>
    <t>0115110655</t>
  </si>
  <si>
    <t>FEBRINA KAYLILA RAHMAWATI</t>
  </si>
  <si>
    <t>80.26</t>
  </si>
  <si>
    <t>GHAZY AHMAD GUSTY HIDAYAH</t>
  </si>
  <si>
    <t>0113248029</t>
  </si>
  <si>
    <t>ISNY NORA MAULIDYA</t>
  </si>
  <si>
    <t>82.39</t>
  </si>
  <si>
    <t>0107374581</t>
  </si>
  <si>
    <t>IZZAH ZAFIRA</t>
  </si>
  <si>
    <t>83.23</t>
  </si>
  <si>
    <t>71.94</t>
  </si>
  <si>
    <t>0107006348</t>
  </si>
  <si>
    <t>MARIA DEWI LESTARI</t>
  </si>
  <si>
    <t xml:space="preserve">SMPN 1 Larangan </t>
  </si>
  <si>
    <t>91.23</t>
  </si>
  <si>
    <t>1. Juara 2 phytagoras+22
2. Harapan 1 phytagoras+21
3. Memperoleh medali perak di OLIPS 2 Probolinggo
4. Juara 3 OLIPS 2 tingkat kabupaten
5. Harapan 2 OSN-K 2024
6. Harapan 2 OSN-K 2025
7. Juara 1 AKSI 2026 mapel IPS 
8. Juara 1 GOMA 2026 mapel IPS 
9. Juara 2 gamis competition IPS
10. Juara 3 mafikibisa 2026 IPS
11. Harapan 2 mafikibisa 2025 IPS
12. Harapan 2 kosaba 2025 IPS
13. Harapan 2 mgmp IPS 2024</t>
  </si>
  <si>
    <t>0109643674</t>
  </si>
  <si>
    <t>MOH FAJRI RIZQIL AMIN</t>
  </si>
  <si>
    <t>Smp puncak darussalam</t>
  </si>
  <si>
    <t>Bhs indo=73,33 mtk=50,00</t>
  </si>
  <si>
    <t>0115066433</t>
  </si>
  <si>
    <t>MOHAMMAD BAYU DWI SAPUTRA</t>
  </si>
  <si>
    <t>79.31</t>
  </si>
  <si>
    <t>0112827800</t>
  </si>
  <si>
    <t>MUHAMMAD DZIKRULLAH DZAKY PRATAMA</t>
  </si>
  <si>
    <t>MTSS DARUL HIKMAH</t>
  </si>
  <si>
    <t>0108625427</t>
  </si>
  <si>
    <t>MUTHIA AN NADHIFA AZZAARINE</t>
  </si>
  <si>
    <t xml:space="preserve">1.meraih medali perunggu dalang ajang indonesian youth science Olympiad bidang ipa </t>
  </si>
  <si>
    <t>0115434818</t>
  </si>
  <si>
    <t>NAILAH AYESHA PHILBERTHA</t>
  </si>
  <si>
    <t xml:space="preserve">OLIMPIADE SAINS HARI PAHLAWAN INDONESIA (MAPEL IPA, MEDALI PERAK) 
OLIMPIADE SAINS HARI PAHLAWAN INDONESIA (MAPEL SEJARAH, MEDALI EMAS) </t>
  </si>
  <si>
    <t>0112237029</t>
  </si>
  <si>
    <t>NIZAR FAZARI</t>
  </si>
  <si>
    <t>0103231086</t>
  </si>
  <si>
    <t>NOVI WAHYUNINDIA SARI</t>
  </si>
  <si>
    <t>smp qurratul uyun</t>
  </si>
  <si>
    <t>89.63</t>
  </si>
  <si>
    <t>78.45</t>
  </si>
  <si>
    <t>0104175581</t>
  </si>
  <si>
    <t>NUR ATHALLAH ZAKY RR</t>
  </si>
  <si>
    <t xml:space="preserve">SMP plus Nurul hikmah </t>
  </si>
  <si>
    <t>86.43</t>
  </si>
  <si>
    <t>76.53</t>
  </si>
  <si>
    <t>0117090342</t>
  </si>
  <si>
    <t>OFELIA NUR AROFAH</t>
  </si>
  <si>
    <t>0103717114</t>
  </si>
  <si>
    <t>OKTAVIANA RATMININGTYAS CH</t>
  </si>
  <si>
    <t>SMP AR ROHMAH IIBS</t>
  </si>
  <si>
    <t>81.49</t>
  </si>
  <si>
    <t>76.23</t>
  </si>
  <si>
    <t>0109775259</t>
  </si>
  <si>
    <t>PATIH REFDA PUTERA</t>
  </si>
  <si>
    <t>81.03</t>
  </si>
  <si>
    <t>64.62</t>
  </si>
  <si>
    <t>0118832967</t>
  </si>
  <si>
    <t>PUTRI AGUNG RIZQI</t>
  </si>
  <si>
    <t>71, 77</t>
  </si>
  <si>
    <t>0115860101</t>
  </si>
  <si>
    <t>RAFIE AKMAL RAMADHAN</t>
  </si>
  <si>
    <t>0106684418</t>
  </si>
  <si>
    <t>RANI DEWI SASKIA</t>
  </si>
  <si>
    <t>0101036842</t>
  </si>
  <si>
    <t>RIZQINA RAUDHATUL JANNAH</t>
  </si>
  <si>
    <t>58.33</t>
  </si>
  <si>
    <t xml:space="preserve">ISMO 2024 biologi perak
ISMO 2024 IPA perunggu 
OHKN 2024 fisika perunggu 
BIO 2024 bahasa Indonesia emas
OSSN 2024 kedokteran dasar emas
</t>
  </si>
  <si>
    <t>0105904965</t>
  </si>
  <si>
    <t>ROIHAN MUBAROK</t>
  </si>
  <si>
    <t>-harapan 2 ips mafikibisa man2 pamekasan
-harapan 3 ips Pythagoras sman1 pamekasan</t>
  </si>
  <si>
    <t>0119530518</t>
  </si>
  <si>
    <t>SABYLA NURESTER ARTEMISIA</t>
  </si>
  <si>
    <t xml:space="preserve">MTSN 3 Pamekasan </t>
  </si>
  <si>
    <t>87.60</t>
  </si>
  <si>
    <t>77.23</t>
  </si>
  <si>
    <t>0114581198</t>
  </si>
  <si>
    <t>WITRANA GALIH TARMIDI NUR</t>
  </si>
  <si>
    <t>82.11</t>
  </si>
  <si>
    <t>65.93</t>
  </si>
  <si>
    <t>0112933992</t>
  </si>
  <si>
    <t>YASMIN IZZATI HASNA</t>
  </si>
  <si>
    <t>0114975343</t>
  </si>
  <si>
    <t>ZAHIRA HAIKAL</t>
  </si>
  <si>
    <t>0109671210</t>
  </si>
  <si>
    <t>ABDIELLA AFRAZ ATTAURI</t>
  </si>
  <si>
    <t>0116982221</t>
  </si>
  <si>
    <t>AISY AFIQAH</t>
  </si>
  <si>
    <t>93.89</t>
  </si>
  <si>
    <t>93.00</t>
  </si>
  <si>
    <t>harapan 2 Phytagoras ipa 2026</t>
  </si>
  <si>
    <t>0103321181</t>
  </si>
  <si>
    <t>AISYAH BULAN PUTRI DARMAWAN</t>
  </si>
  <si>
    <t>79.32</t>
  </si>
  <si>
    <t>0119154507</t>
  </si>
  <si>
    <t>AISYAH RAHMAWATI</t>
  </si>
  <si>
    <t>77.33</t>
  </si>
  <si>
    <t>0111705604</t>
  </si>
  <si>
    <t>ANISA RADA KIRANA JOHAR</t>
  </si>
  <si>
    <t>88.83</t>
  </si>
  <si>
    <t>81.97</t>
  </si>
  <si>
    <t>0108049561</t>
  </si>
  <si>
    <t>ANNE MARISSA ALKADISTY WINARNO</t>
  </si>
  <si>
    <t>SMP KATHOLIK SANTO THOMAS PAMEKASAN</t>
  </si>
  <si>
    <t>0104800411</t>
  </si>
  <si>
    <t>ATHADHIA ILHAM TSAQIF</t>
  </si>
  <si>
    <t>89.49</t>
  </si>
  <si>
    <t>76.36</t>
  </si>
  <si>
    <t>0108132681</t>
  </si>
  <si>
    <t>AUREL KHANZA ZAHITA</t>
  </si>
  <si>
    <t>88.57</t>
  </si>
  <si>
    <t>80.48</t>
  </si>
  <si>
    <t>0116604252</t>
  </si>
  <si>
    <t>BELLY WIJAYA PRATAMA</t>
  </si>
  <si>
    <t>84.20</t>
  </si>
  <si>
    <t>53.33</t>
  </si>
  <si>
    <t>71.85</t>
  </si>
  <si>
    <t>0119740399</t>
  </si>
  <si>
    <t>BILQIS ISKANDAR</t>
  </si>
  <si>
    <t>0104574209</t>
  </si>
  <si>
    <t>BRIGITHA DELICIA RAMADHANI IRAWAN</t>
  </si>
  <si>
    <t>0108130041</t>
  </si>
  <si>
    <t>DA VINCENT IVAN CHRISTIANO</t>
  </si>
  <si>
    <t>SMPK Santo Thomas Pamekasan</t>
  </si>
  <si>
    <t>85.64</t>
  </si>
  <si>
    <t>78.72</t>
  </si>
  <si>
    <t>Pemenang babak penyisihan (semifinal) The Champion Race 2026 Ganesha Operation</t>
  </si>
  <si>
    <t>0103072817</t>
  </si>
  <si>
    <t>ERINA RYSTIKA SARI</t>
  </si>
  <si>
    <t>0114292148</t>
  </si>
  <si>
    <t>FELISYA AULIA EFENDI</t>
  </si>
  <si>
    <t xml:space="preserve">SMP NEGERI 8 PAMEKASAN </t>
  </si>
  <si>
    <t>90.77</t>
  </si>
  <si>
    <t>78.46</t>
  </si>
  <si>
    <t>0106507320</t>
  </si>
  <si>
    <t>FERONICA MEGAWATI</t>
  </si>
  <si>
    <t>74.54</t>
  </si>
  <si>
    <t>0119264747</t>
  </si>
  <si>
    <t>GHAISAN ALTAF ANSORI</t>
  </si>
  <si>
    <t>87.1</t>
  </si>
  <si>
    <t>0111346004</t>
  </si>
  <si>
    <t>GHINA FALISHA PUTRI</t>
  </si>
  <si>
    <t>1. Juara 2 S2LC bidang Biologi Tingkat se Jawa-Bali yang dilaksanakan oleh SMAN 5 Surabaya
2. Juara 2 Phytagoras +22 bidang IPA Tingkat Se-Madura yang dilaksanakan oleh SMAN 1 Pamekasan
3. Juara 2 AMFIBI Plus bidang Biologi tingkat Se-Madura yang dilaksanakan oleh SMAN 3 Pamekasan
4. Juara 2 SAMED Plus bidang IPA Tingkat Se-Madura yang dilaksanakan oleh SMAS Sabilillah Sampang
5. Juara Harapan 1 GOMA Plus IX bidang IPA tingkat Se-Madura yang dilaksanakan oleh MA Al-Falah Sumber Gayam Kadur Pamekasan
6. Juara Harapan 2 MAFIKIBISA bidang IPA tingkat Se-Madura yang dilaksanakan oleh MAN 2 Pamekasana
7. Juara Harapan 3 GAMIS competition bidang IPA tingkat Se-Madura yang dilaksanakan oleh MA Tarbiyatun Nasyiin dan SMK An Nasyiin Pamekasan</t>
  </si>
  <si>
    <t>0107127734</t>
  </si>
  <si>
    <t>GITARANI</t>
  </si>
  <si>
    <t>0118743070</t>
  </si>
  <si>
    <t>HALIM HILMI</t>
  </si>
  <si>
    <t xml:space="preserve"> 87.06</t>
  </si>
  <si>
    <t>82.24</t>
  </si>
  <si>
    <t>0103521285</t>
  </si>
  <si>
    <t>JIHAN SEPTIASARI</t>
  </si>
  <si>
    <t>85.49</t>
  </si>
  <si>
    <t>literasi bahasa indonesia junior science olympiad 2026,olimpiade galaxy education 3.0 bidang bahasa indonesia, social olympiad al uswah treasure hunt(AUSTERN) 4.0</t>
  </si>
  <si>
    <t>0115196233</t>
  </si>
  <si>
    <t>M MULYA MAULANA</t>
  </si>
  <si>
    <t>82.58</t>
  </si>
  <si>
    <t>46.67</t>
  </si>
  <si>
    <t>65.88</t>
  </si>
  <si>
    <t>0101821725</t>
  </si>
  <si>
    <t>M SOLAHUDDIN AYYUBI</t>
  </si>
  <si>
    <t xml:space="preserve">A) Juara 1 Phytagoras +21 - Bidang Bahasa Inggris, B) Juara 1 Phytagoras +22 - Bidang IPS, C) Juara 1 AKSI - Bidang Bahasa Inggris, D) Juara 1 KOSABA - Bidang Bahasa Inggris, E) Juara 1 MAFIKIBISA PLUS'25 (Desember) - Bidang Bahasa Inggris, F) Juara 1 SAMED - Bidang Bahasa Inggris, G) Juara 1 CATALYST+ 2025 - Bidang Bahasa Inggris, H)  Juara 2 MAFIKIBISA PLUS'25 (April) - Bidang Bahasa Inggris, I) Juara 1 Jatim Science Competition - Bidang Bahasa Inggris, J) Juara 4 AMFIBI PLUS 2026 - Bidang Bahasa Inggris, K) Juara 4 NEW AMFIBI PLUS 2025 - Bidang Bahasa Inggris, L) Juara 4 Lomba 3 Smart Competition - Bidang Bahasa Inggris, M) Juara 9 Astra Science Competition - Bidang Bahasa Inggris </t>
  </si>
  <si>
    <t>0109482019</t>
  </si>
  <si>
    <t>MAHMUD JASIM ALSYAFFAR</t>
  </si>
  <si>
    <t xml:space="preserve">SMPN 2 PALENGAAN </t>
  </si>
  <si>
    <t>0105035947</t>
  </si>
  <si>
    <t>MAZAYA KHANSA LUTHFIYAH</t>
  </si>
  <si>
    <t>0105340232</t>
  </si>
  <si>
    <t>MOH AMIRUL MUKMINUN</t>
  </si>
  <si>
    <t>0111440924</t>
  </si>
  <si>
    <t>MOHAMMAD AGUS RAIS ASYARI</t>
  </si>
  <si>
    <t>Juara 3 lomba HGN tahun 2024 mapel PAI tingkat Mts Se Kab.pamekasan</t>
  </si>
  <si>
    <t>0118663894</t>
  </si>
  <si>
    <t>MOHAMMAD FATHIR HAMZAH</t>
  </si>
  <si>
    <t xml:space="preserve">SMPN 1 PASEAN </t>
  </si>
  <si>
    <t>87.15</t>
  </si>
  <si>
    <t>64.86</t>
  </si>
  <si>
    <t xml:space="preserve">Lomba Digital wellnes and internet safety Education (Digiwase) Tingkat Nasional. </t>
  </si>
  <si>
    <t>0103394946</t>
  </si>
  <si>
    <t>NADHIF ANANDA PUTRA</t>
  </si>
  <si>
    <t>88.55</t>
  </si>
  <si>
    <t>0114300244</t>
  </si>
  <si>
    <t>NAJIMA KAYSANNOVA LUTHFI</t>
  </si>
  <si>
    <t>71.32</t>
  </si>
  <si>
    <t>1. Juara 1 Indonesia Smart Olympiad Bidang Studi IPA SMP 
2. Juara 2 Brilliant Student Olympiad Bidang Studi Agama Islam SMP</t>
  </si>
  <si>
    <t>0117536262</t>
  </si>
  <si>
    <t>PUTRI AYU NURHOLIFAH</t>
  </si>
  <si>
    <t>0107314543</t>
  </si>
  <si>
    <t>REVANY MAHARANI PUTRI</t>
  </si>
  <si>
    <t>84.36</t>
  </si>
  <si>
    <t>0103883574</t>
  </si>
  <si>
    <t>RIKZA FATAHILLAH</t>
  </si>
  <si>
    <t>0117518774</t>
  </si>
  <si>
    <t>SYAKIRA RIZKA</t>
  </si>
  <si>
    <t>SMP DARUL ULUM 1 PETERONGAN JOMBANG</t>
  </si>
  <si>
    <t>0109724208</t>
  </si>
  <si>
    <t>VELYTA RAMADHANI UTOMO</t>
  </si>
  <si>
    <t>0111975759</t>
  </si>
  <si>
    <t>WARDAH ZHAFIRAH DWIRENITA</t>
  </si>
  <si>
    <t>76.28</t>
  </si>
  <si>
    <t>0103457213</t>
  </si>
  <si>
    <t>YASMIN CAMILIA FELIZHA</t>
  </si>
  <si>
    <t>91.77</t>
  </si>
  <si>
    <t>84.40</t>
  </si>
  <si>
    <t xml:space="preserve">Juara harapan 1 sains Generasi Cerdas Olimpiade(Omah Sinau Semar) juara harapan 1 sains kategori SMP Indonesia Berbakat (Erlina Production) Juara 3 karaoke kategori C Indonesia Berbakat (Erlina Production) </t>
  </si>
  <si>
    <t>3106424990</t>
  </si>
  <si>
    <t>SUFIANATUL NINGSIH, S.Pd</t>
  </si>
  <si>
    <t>31092433519</t>
  </si>
  <si>
    <t>JUWAIRIYAH, S.Pd</t>
  </si>
  <si>
    <t>ERLY NOER AISYAH, S.Si.</t>
  </si>
  <si>
    <t>MOH. LUTFI KARIM, S.Si</t>
  </si>
  <si>
    <t>198407302024212000</t>
  </si>
  <si>
    <t>198901172023212000</t>
  </si>
  <si>
    <t>19770106 2006042013</t>
  </si>
  <si>
    <t>199105032024211000</t>
  </si>
  <si>
    <t>FATIMATUS ZAHRAH, S.Pd</t>
  </si>
  <si>
    <t>196811301996032003</t>
  </si>
  <si>
    <t>117925402</t>
  </si>
  <si>
    <t>DAHNIAR FEBRIANSYAH, S.Pd</t>
  </si>
  <si>
    <t>199002052025211021</t>
  </si>
  <si>
    <t>ST. ROKAYYAH, S.Pd.</t>
  </si>
  <si>
    <t>3115236101</t>
  </si>
  <si>
    <t>AGUS CAHYANTO, S.Kom</t>
  </si>
  <si>
    <t>197708222009031001</t>
  </si>
  <si>
    <t>ROSIYANTO, S.Pd.I</t>
  </si>
  <si>
    <t>198509102024211002</t>
  </si>
  <si>
    <t>UKHIDAH YULIANI, M.Pd</t>
  </si>
  <si>
    <t>197807012006042025</t>
  </si>
  <si>
    <t>Tanggal</t>
  </si>
  <si>
    <t>0105671356</t>
  </si>
  <si>
    <t>3118250022</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</si>
  <si>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</si>
  <si>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</si>
  <si>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</si>
  <si>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</si>
  <si>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</si>
  <si>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</si>
  <si>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</si>
  <si>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</si>
  <si>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</si>
  <si>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</si>
  <si>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</si>
  <si>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</si>
  <si>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</si>
  <si>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</si>
  <si>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</si>
  <si>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</si>
  <si>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</si>
  <si>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</si>
  <si>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</si>
  <si>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</si>
  <si>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</si>
  <si>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</si>
  <si>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</si>
  <si>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</si>
  <si>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</si>
  <si>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</si>
  <si>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</si>
  <si>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A01</t>
  </si>
  <si>
    <t>A02</t>
  </si>
  <si>
    <t>A03</t>
  </si>
  <si>
    <t>A04</t>
  </si>
  <si>
    <t>A05</t>
  </si>
  <si>
    <t>A06</t>
  </si>
  <si>
    <t>A07</t>
  </si>
  <si>
    <t>A08</t>
  </si>
  <si>
    <t>A09</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</si>
  <si>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</si>
  <si>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</si>
  <si>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</si>
  <si>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</si>
  <si>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</si>
  <si>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</si>
  <si>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</si>
  <si>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</si>
  <si>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</si>
  <si>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</si>
  <si>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</si>
  <si>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</si>
  <si>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</si>
  <si>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</si>
  <si>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</si>
  <si>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</si>
  <si>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</si>
  <si>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</si>
  <si>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</si>
  <si>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</si>
  <si>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</si>
  <si>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</si>
  <si>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</si>
  <si>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</si>
  <si>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</si>
  <si>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</si>
  <si>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</si>
  <si>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</si>
  <si>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</si>
  <si>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</si>
  <si>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</si>
  <si>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</si>
  <si>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</si>
  <si>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</si>
  <si>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</si>
  <si>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</si>
  <si>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</si>
  <si>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</si>
  <si>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</si>
  <si>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</si>
  <si>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</si>
  <si>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</si>
  <si>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</si>
  <si>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</si>
  <si>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</si>
  <si>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</si>
  <si>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</si>
  <si>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</si>
  <si>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</si>
  <si>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</si>
  <si>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</si>
  <si>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</si>
  <si>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</si>
  <si>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</si>
  <si>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</si>
  <si>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</si>
  <si>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</si>
  <si>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</si>
  <si>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</si>
  <si>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</si>
  <si>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</si>
  <si>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</si>
  <si>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</si>
  <si>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</si>
  <si>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</si>
  <si>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</si>
  <si>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</si>
  <si>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</si>
  <si>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</si>
  <si>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</si>
  <si>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</si>
  <si>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</si>
  <si>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3106372563</t>
  </si>
  <si>
    <t>3116785893</t>
  </si>
  <si>
    <t>D01</t>
  </si>
  <si>
    <t>E01</t>
  </si>
  <si>
    <t>I01</t>
  </si>
  <si>
    <t>G01</t>
  </si>
  <si>
    <t>J01</t>
  </si>
  <si>
    <t>F01</t>
  </si>
  <si>
    <t>H01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</si>
  <si>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</si>
  <si>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</si>
  <si>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</si>
  <si>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</si>
  <si>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</si>
  <si>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</si>
  <si>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</si>
  <si>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</si>
  <si>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</si>
  <si>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</si>
  <si>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</si>
  <si>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</si>
  <si>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</si>
  <si>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</si>
  <si>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</si>
  <si>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</si>
  <si>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</si>
  <si>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</si>
  <si>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</si>
  <si>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</si>
  <si>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</si>
  <si>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</si>
  <si>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</si>
  <si>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</si>
  <si>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</si>
  <si>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</si>
  <si>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</si>
  <si>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</si>
  <si>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</si>
  <si>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</si>
  <si>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</si>
  <si>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</si>
  <si>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</si>
  <si>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</si>
  <si>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E11</t>
  </si>
  <si>
    <t>E02</t>
  </si>
  <si>
    <t>H04</t>
  </si>
  <si>
    <t>H09</t>
  </si>
  <si>
    <t>E03</t>
  </si>
  <si>
    <t>E04</t>
  </si>
  <si>
    <t>E05</t>
  </si>
  <si>
    <t>E06</t>
  </si>
  <si>
    <t>E07</t>
  </si>
  <si>
    <t>E08</t>
  </si>
  <si>
    <t>E09</t>
  </si>
  <si>
    <t>E10</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</si>
  <si>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</si>
  <si>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</si>
  <si>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</si>
  <si>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</si>
  <si>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</si>
  <si>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</si>
  <si>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</si>
  <si>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</si>
  <si>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</si>
  <si>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</si>
  <si>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</si>
  <si>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</si>
  <si>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</si>
  <si>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</si>
  <si>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</si>
  <si>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</si>
  <si>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</si>
  <si>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</si>
  <si>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</si>
  <si>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</si>
  <si>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</si>
  <si>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</si>
  <si>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</si>
  <si>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</si>
  <si>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</si>
  <si>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F02</t>
  </si>
  <si>
    <t>F03</t>
  </si>
  <si>
    <t>F04</t>
  </si>
  <si>
    <t>F05</t>
  </si>
  <si>
    <t>F06</t>
  </si>
  <si>
    <t>F07</t>
  </si>
  <si>
    <t>F08</t>
  </si>
  <si>
    <t>F09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</si>
  <si>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</si>
  <si>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</si>
  <si>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</si>
  <si>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</si>
  <si>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</si>
  <si>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</si>
  <si>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</si>
  <si>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</si>
  <si>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</si>
  <si>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</si>
  <si>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</si>
  <si>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</si>
  <si>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</si>
  <si>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</si>
  <si>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</si>
  <si>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</si>
  <si>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</si>
  <si>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</si>
  <si>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</si>
  <si>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</si>
  <si>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</si>
  <si>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</si>
  <si>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</si>
  <si>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</si>
  <si>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</si>
  <si>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</si>
  <si>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</si>
  <si>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3110166716</t>
  </si>
  <si>
    <t>G02</t>
  </si>
  <si>
    <t>G03</t>
  </si>
  <si>
    <t>G04</t>
  </si>
  <si>
    <t>G05</t>
  </si>
  <si>
    <t>G06</t>
  </si>
  <si>
    <t>G07</t>
  </si>
  <si>
    <t>G08</t>
  </si>
  <si>
    <t>G09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</si>
  <si>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</si>
  <si>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</si>
  <si>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</si>
  <si>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</si>
  <si>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</si>
  <si>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</si>
  <si>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</si>
  <si>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</si>
  <si>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</si>
  <si>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</si>
  <si>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</si>
  <si>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</si>
  <si>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</si>
  <si>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</si>
  <si>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</si>
  <si>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</si>
  <si>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</si>
  <si>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</si>
  <si>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</si>
  <si>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</si>
  <si>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</si>
  <si>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</si>
  <si>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</si>
  <si>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</si>
  <si>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</si>
  <si>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</si>
  <si>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</si>
  <si>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H02</t>
  </si>
  <si>
    <t>H03</t>
  </si>
  <si>
    <t>H05</t>
  </si>
  <si>
    <t>H06</t>
  </si>
  <si>
    <t>H07</t>
  </si>
  <si>
    <t>H08</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</si>
  <si>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</si>
  <si>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</si>
  <si>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</si>
  <si>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</si>
  <si>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</si>
  <si>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</si>
  <si>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</si>
  <si>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</si>
  <si>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</si>
  <si>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</si>
  <si>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</si>
  <si>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</si>
  <si>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</si>
  <si>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</si>
  <si>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</si>
  <si>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</si>
  <si>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</si>
  <si>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</si>
  <si>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</si>
  <si>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</si>
  <si>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</si>
  <si>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</si>
  <si>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</si>
  <si>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</si>
  <si>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</si>
  <si>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</si>
  <si>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</si>
  <si>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I02</t>
  </si>
  <si>
    <t>I04</t>
  </si>
  <si>
    <t>I05</t>
  </si>
  <si>
    <t>I09</t>
  </si>
  <si>
    <t>I07</t>
  </si>
  <si>
    <t>I03</t>
  </si>
  <si>
    <t>I06</t>
  </si>
  <si>
    <t>I08</t>
  </si>
  <si>
    <t>I10</t>
  </si>
  <si>
    <t>I11</t>
  </si>
  <si>
    <t>I12</t>
  </si>
  <si>
    <t>I13</t>
  </si>
  <si>
    <t>I14</t>
  </si>
  <si>
    <t>I15</t>
  </si>
  <si>
    <t>I16</t>
  </si>
  <si>
    <t>I17</t>
  </si>
  <si>
    <t>I18</t>
  </si>
  <si>
    <t>I19</t>
  </si>
  <si>
    <t>I20</t>
  </si>
  <si>
    <t>I21</t>
  </si>
  <si>
    <t>I22</t>
  </si>
  <si>
    <t>I23</t>
  </si>
  <si>
    <t>I24</t>
  </si>
  <si>
    <t>I25</t>
  </si>
  <si>
    <t>I26</t>
  </si>
  <si>
    <t>I27</t>
  </si>
  <si>
    <t>I28</t>
  </si>
  <si>
    <t>I29</t>
  </si>
  <si>
    <t>I30</t>
  </si>
  <si>
    <t>I31</t>
  </si>
  <si>
    <t>I32</t>
  </si>
  <si>
    <t>I33</t>
  </si>
  <si>
    <t>I34</t>
  </si>
  <si>
    <t>I35</t>
  </si>
  <si>
    <t>I36</t>
  </si>
  <si>
    <t>J31</t>
  </si>
  <si>
    <t>J02</t>
  </si>
  <si>
    <t>J03</t>
  </si>
  <si>
    <t>J04</t>
  </si>
  <si>
    <t>J05</t>
  </si>
  <si>
    <t>J06</t>
  </si>
  <si>
    <t>J07</t>
  </si>
  <si>
    <t>J08</t>
  </si>
  <si>
    <t>J09</t>
  </si>
  <si>
    <t>J10</t>
  </si>
  <si>
    <t>J11</t>
  </si>
  <si>
    <t>J12</t>
  </si>
  <si>
    <t>J13</t>
  </si>
  <si>
    <t>J14</t>
  </si>
  <si>
    <t>J15</t>
  </si>
  <si>
    <t>J16</t>
  </si>
  <si>
    <t>J17</t>
  </si>
  <si>
    <t>J18</t>
  </si>
  <si>
    <t>J19</t>
  </si>
  <si>
    <t>J20</t>
  </si>
  <si>
    <t>J21</t>
  </si>
  <si>
    <t>J22</t>
  </si>
  <si>
    <t>J23</t>
  </si>
  <si>
    <t>J24</t>
  </si>
  <si>
    <t>J25</t>
  </si>
  <si>
    <t>J26</t>
  </si>
  <si>
    <t>J27</t>
  </si>
  <si>
    <t>J28</t>
  </si>
  <si>
    <t>J29</t>
  </si>
  <si>
    <t>J30</t>
  </si>
  <si>
    <t>J32</t>
  </si>
  <si>
    <t>J33</t>
  </si>
  <si>
    <t>J34</t>
  </si>
  <si>
    <t>J35</t>
  </si>
  <si>
    <t>J36</t>
  </si>
  <si>
    <t>3112276191</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</si>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</sst>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6"/>
      <color rgb="FF000000"/>
      <name val="Calibri"/>
      <family val="2"/>
    </font>
    <font>
      <sz val="10"/>
      <color rgb="FF000000"/>
      <name val="Calibri"/>
      <family val="2"/>
    </font>
    <font>
      <b/>
      <sz val="11"/>
      <color rgb="FF000000"/>
      <name val="Calibri"/>
      <family val="2"/>
    </font>
    <font>
      <sz val="11"/>
      <color rgb="FF000000"/>
      <name val="Arial Black"/>
      <family val="2"/>
    </font>
    <font>
      <b/>
      <sz val="8"/>
      <color rgb="FF000000"/>
      <name val="Calibri"/>
      <family val="2"/>
    </font>
    <font>
      <sz val="11"/>
      <color rgb="FF000000"/>
      <name val="Calibri"/>
      <family val="2"/>
      <scheme val="minor"/>
    </font>
    <font>
      <sz val="12"/>
      <color rgb="FF000000"/>
      <name val="Calibri"/>
      <family val="2"/>
      <scheme val="minor"/>
    </font>
    <font>
      <b/>
      <sz val="10"/>
      <color rgb="FF000000"/>
      <name val="Calibri"/>
      <family val="2"/>
    </font>
    <font>
      <b/>
      <sz val="9"/>
      <color rgb="FF000000"/>
      <name val="Calibri"/>
      <family val="2"/>
    </font>
    <font>
      <sz val="9"/>
      <color rgb="FF000000"/>
      <name val="Calibri"/>
      <family val="2"/>
    </font>
    <font>
      <sz val="10"/>
      <color rgb="FF000000"/>
      <name val="Calibri"/>
      <family val="2"/>
      <scheme val="minor"/>
    </font>
    <font>
      <sz val="12"/>
      <color theme="1"/>
      <name val="Calibri"/>
      <family val="2"/>
      <scheme val="minor"/>
    </font>
    <font>
      <sz val="11"/>
      <color theme="1"/>
      <name val="Calibri"/>
      <family val="2"/>
    </font>
    <font>
      <sz val="11"/>
      <color rgb="FF1F1F1F"/>
      <name val="Calibri"/>
      <family val="2"/>
    </font>
    <font>
      <sz val="11"/>
      <color theme="1"/>
      <name val="Calibri"/>
      <family val="2"/>
      <scheme val="minor"/>
    </font>
    <font>
      <b/>
      <sz val="10"/>
      <color rgb="FF000000"/>
      <name val="Arial"/>
      <family val="2"/>
    </font>
    <font>
      <sz val="8"/>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3">
    <xf numFmtId="0" fontId="0" fillId="0" borderId="0" xfId="0"/>
    <xf numFmtId="0" fontId="0" fillId="0" borderId="0" xfId="0" applyAlignment="1">
      <alignment horizontal="center"/>
    </xf>
    <xf numFmtId="0" fontId="2" fillId="0" borderId="0" xfId="0" applyFont="1"/>
    <xf numFmtId="0" fontId="3" fillId="0" borderId="1" xfId="0" applyFont="1" applyBorder="1"/>
    <xf numFmtId="0" fontId="0" fillId="0" borderId="1" xfId="0" applyBorder="1" applyAlignment="1">
      <alignment horizontal="center"/>
    </xf>
    <xf numFmtId="0" fontId="6" fillId="2" borderId="1" xfId="0" applyFont="1" applyFill="1" applyBorder="1"/>
    <xf numFmtId="0" fontId="7" fillId="2" borderId="1" xfId="0" applyFont="1" applyFill="1" applyBorder="1"/>
    <xf numFmtId="0" fontId="7" fillId="0" borderId="1" xfId="0" applyFont="1" applyBorder="1" applyAlignment="1">
      <alignment horizontal="center"/>
    </xf>
    <xf numFmtId="0" fontId="0" fillId="0" borderId="1" xfId="0" applyBorder="1"/>
    <xf numFmtId="0" fontId="6" fillId="2" borderId="1" xfId="0" quotePrefix="1" applyFont="1" applyFill="1" applyBorder="1"/>
    <xf numFmtId="0" fontId="3" fillId="0" borderId="1" xfId="0" applyFont="1" applyBorder="1" applyAlignment="1">
      <alignment horizontal="right"/>
    </xf>
    <xf numFmtId="0" fontId="3" fillId="0" borderId="0" xfId="0" applyFont="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7" fillId="2" borderId="4" xfId="0" applyFont="1" applyFill="1" applyBorder="1"/>
    <xf numFmtId="0" fontId="6" fillId="2" borderId="0" xfId="0" applyFont="1" applyFill="1"/>
    <xf numFmtId="0" fontId="7" fillId="2" borderId="0" xfId="0" applyFont="1" applyFill="1"/>
    <xf numFmtId="0" fontId="7" fillId="0" borderId="0" xfId="0" applyFont="1" applyAlignment="1">
      <alignment horizontal="center"/>
    </xf>
    <xf numFmtId="0" fontId="11" fillId="2" borderId="1" xfId="0" applyFont="1" applyFill="1" applyBorder="1"/>
    <xf numFmtId="0" fontId="0" fillId="0" borderId="0" xfId="0" applyAlignment="1">
      <alignment horizontal="center" wrapText="1"/>
    </xf>
    <xf numFmtId="0" fontId="4" fillId="0" borderId="5" xfId="0" applyFont="1" applyBorder="1" applyAlignment="1">
      <alignment vertical="center"/>
    </xf>
    <xf numFmtId="0" fontId="5" fillId="0" borderId="2" xfId="0" applyFont="1" applyBorder="1"/>
    <xf numFmtId="0" fontId="5" fillId="0" borderId="3" xfId="0" applyFont="1" applyBorder="1"/>
    <xf numFmtId="0" fontId="5" fillId="0" borderId="4" xfId="0" applyFont="1" applyBorder="1"/>
    <xf numFmtId="0" fontId="3" fillId="0" borderId="2" xfId="0" applyFont="1" applyBorder="1"/>
    <xf numFmtId="0" fontId="3" fillId="0" borderId="3" xfId="0" applyFont="1" applyBorder="1"/>
    <xf numFmtId="0" fontId="3" fillId="0" borderId="4" xfId="0" applyFont="1" applyBorder="1"/>
    <xf numFmtId="0" fontId="9" fillId="0" borderId="2" xfId="0" quotePrefix="1" applyFont="1" applyBorder="1"/>
    <xf numFmtId="0" fontId="9" fillId="0" borderId="3" xfId="0" applyFont="1" applyBorder="1"/>
    <xf numFmtId="0" fontId="9" fillId="0" borderId="4" xfId="0" applyFont="1" applyBorder="1"/>
    <xf numFmtId="0" fontId="4" fillId="0" borderId="6" xfId="0" applyFont="1" applyBorder="1" applyAlignment="1">
      <alignment vertical="center"/>
    </xf>
    <xf numFmtId="0" fontId="4" fillId="0" borderId="7" xfId="0" applyFont="1" applyBorder="1" applyAlignment="1">
      <alignment vertical="center"/>
    </xf>
    <xf numFmtId="0" fontId="12" fillId="0" borderId="1" xfId="0" applyFont="1" applyBorder="1" applyAlignment="1">
      <alignment horizontal="center"/>
    </xf>
    <xf numFmtId="0" fontId="13" fillId="0" borderId="8" xfId="0" applyFont="1" applyBorder="1" applyAlignment="1">
      <alignment horizontal="center"/>
    </xf>
    <xf numFmtId="0" fontId="13" fillId="0" borderId="8" xfId="0" applyFont="1" applyBorder="1"/>
    <xf numFmtId="0" fontId="13" fillId="0" borderId="8" xfId="0" applyFont="1" applyBorder="1" applyAlignment="1">
      <alignment horizontal="right"/>
    </xf>
    <xf numFmtId="0" fontId="13" fillId="10" borderId="8" xfId="0" applyFont="1" applyFill="1" applyBorder="1"/>
    <xf numFmtId="0" fontId="13" fillId="0" borderId="8" xfId="0" quotePrefix="1" applyFont="1" applyBorder="1" applyAlignment="1">
      <alignment horizontal="center"/>
    </xf>
    <xf numFmtId="2" fontId="13" fillId="0" borderId="8" xfId="0" applyNumberFormat="1" applyFont="1" applyBorder="1" applyAlignment="1">
      <alignment horizontal="right"/>
    </xf>
    <xf numFmtId="0" fontId="0" fillId="2" borderId="0" xfId="0" applyFill="1"/>
    <xf numFmtId="0" fontId="13" fillId="2" borderId="8" xfId="0" applyFont="1" applyFill="1" applyBorder="1" applyAlignment="1">
      <alignment horizontal="center"/>
    </xf>
    <xf numFmtId="0" fontId="14" fillId="0" borderId="8" xfId="0" applyFont="1" applyBorder="1" applyAlignment="1">
      <alignment horizontal="right"/>
    </xf>
    <xf numFmtId="0" fontId="13" fillId="0" borderId="0" xfId="0" applyFont="1" applyAlignment="1">
      <alignment horizontal="center"/>
    </xf>
    <xf numFmtId="0" fontId="15" fillId="0" borderId="8" xfId="0" applyFont="1" applyBorder="1"/>
    <xf numFmtId="1" fontId="13" fillId="0" borderId="8" xfId="0" applyNumberFormat="1" applyFont="1" applyBorder="1" applyAlignment="1">
      <alignment horizontal="right"/>
    </xf>
    <xf numFmtId="0" fontId="0" fillId="0" borderId="0" xfId="0" applyAlignment="1">
      <alignment horizontal="center"/>
    </xf>
    <xf numFmtId="0" fontId="1" fillId="0" borderId="0" xfId="0" applyFont="1" applyAlignment="1">
      <alignment horizontal="center"/>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horizontal="center" vertical="center" textRotation="90"/>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0" fillId="0" borderId="1" xfId="0" quotePrefix="1" applyFont="1" applyBorder="1" applyAlignment="1">
      <alignment horizontal="center"/>
    </xf>
    <xf numFmtId="0" fontId="10"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9" fillId="0" borderId="1" xfId="0" quotePrefix="1" applyFont="1" applyBorder="1" applyAlignment="1">
      <alignment horizontal="center"/>
    </xf>
    <xf numFmtId="0" fontId="9" fillId="0" borderId="1" xfId="0" applyFont="1" applyBorder="1" applyAlignment="1">
      <alignment horizontal="center"/>
    </xf>
    <xf numFmtId="0" fontId="3" fillId="0" borderId="1" xfId="0" applyFont="1" applyBorder="1" applyAlignment="1">
      <alignment horizontal="center" vertical="center"/>
    </xf>
    <xf numFmtId="0" fontId="2" fillId="0" borderId="1" xfId="0" quotePrefix="1" applyFont="1" applyBorder="1" applyAlignment="1">
      <alignment horizontal="center"/>
    </xf>
    <xf numFmtId="0" fontId="2" fillId="0" borderId="1" xfId="0" applyFont="1" applyBorder="1" applyAlignment="1">
      <alignment horizontal="center"/>
    </xf>
    <xf numFmtId="0" fontId="5" fillId="0" borderId="1" xfId="0" quotePrefix="1" applyFont="1" applyBorder="1" applyAlignment="1">
      <alignment horizontal="center"/>
    </xf>
    <xf numFmtId="0" fontId="5" fillId="0" borderId="1" xfId="0" applyFont="1" applyBorder="1" applyAlignment="1">
      <alignment horizontal="center"/>
    </xf>
    <xf numFmtId="0" fontId="4" fillId="0" borderId="5"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3" fillId="0" borderId="5" xfId="0" applyFont="1" applyBorder="1" applyAlignment="1">
      <alignment horizontal="center" vertical="center" textRotation="90"/>
    </xf>
    <xf numFmtId="0" fontId="3" fillId="0" borderId="6" xfId="0" applyFont="1" applyBorder="1" applyAlignment="1">
      <alignment horizontal="center" vertical="center" textRotation="90"/>
    </xf>
    <xf numFmtId="0" fontId="3" fillId="0" borderId="7" xfId="0" applyFont="1" applyBorder="1" applyAlignment="1">
      <alignment horizontal="center" vertical="center" textRotation="90"/>
    </xf>
    <xf numFmtId="0" fontId="13" fillId="0" borderId="0" xfId="0" applyFont="1" applyBorder="1" applyAlignment="1">
      <alignment horizontal="center"/>
    </xf>
    <xf numFmtId="0" fontId="0" fillId="0" borderId="0" xfId="0" quotePrefix="1"/>
    <xf numFmtId="0" fontId="0" fillId="0" borderId="0" xfId="0" applyBorder="1"/>
  </cellXfs>
  <cellStyles count="1">
    <cellStyle name="Normal" xfId="0" builtinId="0"/>
  </cellStyles>
  <dxfs count="8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707594</xdr:colOff>
      <xdr:row>0</xdr:row>
      <xdr:rowOff>0</xdr:rowOff>
    </xdr:from>
    <xdr:to>
      <xdr:col>16</xdr:col>
      <xdr:colOff>160921</xdr:colOff>
      <xdr:row>3</xdr:row>
      <xdr:rowOff>33972</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2284511" y="0"/>
          <a:ext cx="3760743" cy="753639"/>
          <a:chOff x="-363604" y="0"/>
          <a:chExt cx="3477632" cy="757075"/>
        </a:xfrm>
      </xdr:grpSpPr>
      <xdr:sp macro="" textlink="">
        <xdr:nvSpPr>
          <xdr:cNvPr id="13" name="Rectangle 12">
            <a:extLst>
              <a:ext uri="{FF2B5EF4-FFF2-40B4-BE49-F238E27FC236}">
                <a16:creationId xmlns:a16="http://schemas.microsoft.com/office/drawing/2014/main" id="{00000000-0008-0000-0000-00000D000000}"/>
              </a:ext>
            </a:extLst>
          </xdr:cNvPr>
          <xdr:cNvSpPr/>
        </xdr:nvSpPr>
        <xdr:spPr>
          <a:xfrm>
            <a:off x="-308383" y="0"/>
            <a:ext cx="3422411" cy="59868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sp macro="" textlink="">
        <xdr:nvSpPr>
          <xdr:cNvPr id="14" name="Rectangle 13">
            <a:extLst>
              <a:ext uri="{FF2B5EF4-FFF2-40B4-BE49-F238E27FC236}">
                <a16:creationId xmlns:a16="http://schemas.microsoft.com/office/drawing/2014/main" id="{00000000-0008-0000-0000-00000E000000}"/>
              </a:ext>
            </a:extLst>
          </xdr:cNvPr>
          <xdr:cNvSpPr/>
        </xdr:nvSpPr>
        <xdr:spPr>
          <a:xfrm>
            <a:off x="-363604" y="427306"/>
            <a:ext cx="3422411" cy="329769"/>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grpSp>
    <xdr:clientData/>
  </xdr:twoCellAnchor>
  <xdr:oneCellAnchor>
    <xdr:from>
      <xdr:col>17</xdr:col>
      <xdr:colOff>123825</xdr:colOff>
      <xdr:row>1</xdr:row>
      <xdr:rowOff>82690</xdr:rowOff>
    </xdr:from>
    <xdr:ext cx="1989841" cy="718466"/>
    <xdr:sp macro="" textlink="">
      <xdr:nvSpPr>
        <xdr:cNvPr id="15" name="Rectangle 14">
          <a:extLst>
            <a:ext uri="{FF2B5EF4-FFF2-40B4-BE49-F238E27FC236}">
              <a16:creationId xmlns:a16="http://schemas.microsoft.com/office/drawing/2014/main" id="{00000000-0008-0000-0000-00000F000000}"/>
            </a:ext>
          </a:extLst>
        </xdr:cNvPr>
        <xdr:cNvSpPr/>
      </xdr:nvSpPr>
      <xdr:spPr>
        <a:xfrm>
          <a:off x="6076950" y="273190"/>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- 1</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142875</xdr:colOff>
      <xdr:row>0</xdr:row>
      <xdr:rowOff>66674</xdr:rowOff>
    </xdr:from>
    <xdr:to>
      <xdr:col>2</xdr:col>
      <xdr:colOff>487045</xdr:colOff>
      <xdr:row>3</xdr:row>
      <xdr:rowOff>200025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4"/>
          <a:ext cx="1147445" cy="8572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66674</xdr:rowOff>
    </xdr:from>
    <xdr:to>
      <xdr:col>2</xdr:col>
      <xdr:colOff>572770</xdr:colOff>
      <xdr:row>3</xdr:row>
      <xdr:rowOff>228600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4"/>
          <a:ext cx="1096645" cy="885826"/>
        </a:xfrm>
        <a:prstGeom prst="rect">
          <a:avLst/>
        </a:prstGeom>
      </xdr:spPr>
    </xdr:pic>
    <xdr:clientData/>
  </xdr:twoCellAnchor>
  <xdr:twoCellAnchor>
    <xdr:from>
      <xdr:col>3</xdr:col>
      <xdr:colOff>800100</xdr:colOff>
      <xdr:row>0</xdr:row>
      <xdr:rowOff>0</xdr:rowOff>
    </xdr:from>
    <xdr:to>
      <xdr:col>17</xdr:col>
      <xdr:colOff>9291</xdr:colOff>
      <xdr:row>2</xdr:row>
      <xdr:rowOff>132594</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2362200"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76200</xdr:colOff>
      <xdr:row>1</xdr:row>
      <xdr:rowOff>152400</xdr:rowOff>
    </xdr:from>
    <xdr:ext cx="1989841" cy="718466"/>
    <xdr:sp macro="" textlink="">
      <xdr:nvSpPr>
        <xdr:cNvPr id="8" name="Rectangle 7">
          <a:extLst>
            <a:ext uri="{FF2B5EF4-FFF2-40B4-BE49-F238E27FC236}">
              <a16:creationId xmlns:a16="http://schemas.microsoft.com/office/drawing/2014/main" id="{00000000-0008-0000-0100-000008000000}"/>
            </a:ext>
          </a:extLst>
        </xdr:cNvPr>
        <xdr:cNvSpPr/>
      </xdr:nvSpPr>
      <xdr:spPr>
        <a:xfrm>
          <a:off x="6019800" y="342900"/>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- 2</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66672</xdr:rowOff>
    </xdr:from>
    <xdr:to>
      <xdr:col>2</xdr:col>
      <xdr:colOff>535305</xdr:colOff>
      <xdr:row>3</xdr:row>
      <xdr:rowOff>171449</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2"/>
          <a:ext cx="1106805" cy="828677"/>
        </a:xfrm>
        <a:prstGeom prst="rect">
          <a:avLst/>
        </a:prstGeom>
      </xdr:spPr>
    </xdr:pic>
    <xdr:clientData/>
  </xdr:twoCellAnchor>
  <xdr:twoCellAnchor>
    <xdr:from>
      <xdr:col>3</xdr:col>
      <xdr:colOff>879478</xdr:colOff>
      <xdr:row>0</xdr:row>
      <xdr:rowOff>0</xdr:rowOff>
    </xdr:from>
    <xdr:to>
      <xdr:col>17</xdr:col>
      <xdr:colOff>88669</xdr:colOff>
      <xdr:row>2</xdr:row>
      <xdr:rowOff>132594</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2441578"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152400</xdr:colOff>
      <xdr:row>1</xdr:row>
      <xdr:rowOff>142875</xdr:rowOff>
    </xdr:from>
    <xdr:ext cx="1989841" cy="718466"/>
    <xdr:sp macro="" textlink="">
      <xdr:nvSpPr>
        <xdr:cNvPr id="8" name="Rectangle 7">
          <a:extLst>
            <a:ext uri="{FF2B5EF4-FFF2-40B4-BE49-F238E27FC236}">
              <a16:creationId xmlns:a16="http://schemas.microsoft.com/office/drawing/2014/main" id="{00000000-0008-0000-0200-000008000000}"/>
            </a:ext>
          </a:extLst>
        </xdr:cNvPr>
        <xdr:cNvSpPr/>
      </xdr:nvSpPr>
      <xdr:spPr>
        <a:xfrm>
          <a:off x="6019800" y="333375"/>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- 3</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66674</xdr:rowOff>
    </xdr:from>
    <xdr:to>
      <xdr:col>2</xdr:col>
      <xdr:colOff>514985</xdr:colOff>
      <xdr:row>3</xdr:row>
      <xdr:rowOff>190499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4"/>
          <a:ext cx="1086485" cy="847725"/>
        </a:xfrm>
        <a:prstGeom prst="rect">
          <a:avLst/>
        </a:prstGeom>
      </xdr:spPr>
    </xdr:pic>
    <xdr:clientData/>
  </xdr:twoCellAnchor>
  <xdr:twoCellAnchor>
    <xdr:from>
      <xdr:col>3</xdr:col>
      <xdr:colOff>809625</xdr:colOff>
      <xdr:row>0</xdr:row>
      <xdr:rowOff>0</xdr:rowOff>
    </xdr:from>
    <xdr:to>
      <xdr:col>17</xdr:col>
      <xdr:colOff>18816</xdr:colOff>
      <xdr:row>2</xdr:row>
      <xdr:rowOff>132594</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2371725"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165103</xdr:colOff>
      <xdr:row>1</xdr:row>
      <xdr:rowOff>73165</xdr:rowOff>
    </xdr:from>
    <xdr:ext cx="1989841" cy="718466"/>
    <xdr:sp macro="" textlink="">
      <xdr:nvSpPr>
        <xdr:cNvPr id="8" name="Rectangle 7">
          <a:extLst>
            <a:ext uri="{FF2B5EF4-FFF2-40B4-BE49-F238E27FC236}">
              <a16:creationId xmlns:a16="http://schemas.microsoft.com/office/drawing/2014/main" id="{00000000-0008-0000-0300-000008000000}"/>
            </a:ext>
          </a:extLst>
        </xdr:cNvPr>
        <xdr:cNvSpPr/>
      </xdr:nvSpPr>
      <xdr:spPr>
        <a:xfrm>
          <a:off x="5908678" y="263665"/>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- 4</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755219</xdr:colOff>
      <xdr:row>1</xdr:row>
      <xdr:rowOff>239785</xdr:rowOff>
    </xdr:from>
    <xdr:to>
      <xdr:col>16</xdr:col>
      <xdr:colOff>145462</xdr:colOff>
      <xdr:row>3</xdr:row>
      <xdr:rowOff>33971</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2312837" y="430285"/>
          <a:ext cx="3895007" cy="332068"/>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66675</xdr:rowOff>
    </xdr:from>
    <xdr:to>
      <xdr:col>2</xdr:col>
      <xdr:colOff>554990</xdr:colOff>
      <xdr:row>0</xdr:row>
      <xdr:rowOff>67459</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5"/>
          <a:ext cx="1076325" cy="1076325"/>
        </a:xfrm>
        <a:prstGeom prst="rect">
          <a:avLst/>
        </a:prstGeom>
      </xdr:spPr>
    </xdr:pic>
    <xdr:clientData/>
  </xdr:twoCellAnchor>
  <xdr:twoCellAnchor>
    <xdr:from>
      <xdr:col>3</xdr:col>
      <xdr:colOff>773022</xdr:colOff>
      <xdr:row>0</xdr:row>
      <xdr:rowOff>0</xdr:rowOff>
    </xdr:from>
    <xdr:to>
      <xdr:col>17</xdr:col>
      <xdr:colOff>3505</xdr:colOff>
      <xdr:row>2</xdr:row>
      <xdr:rowOff>128672</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2330640"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134470</xdr:colOff>
      <xdr:row>1</xdr:row>
      <xdr:rowOff>100853</xdr:rowOff>
    </xdr:from>
    <xdr:ext cx="1989841" cy="718466"/>
    <xdr:sp macro="" textlink="">
      <xdr:nvSpPr>
        <xdr:cNvPr id="8" name="Rectangle 7">
          <a:extLst>
            <a:ext uri="{FF2B5EF4-FFF2-40B4-BE49-F238E27FC236}">
              <a16:creationId xmlns:a16="http://schemas.microsoft.com/office/drawing/2014/main" id="{00000000-0008-0000-0400-000008000000}"/>
            </a:ext>
          </a:extLst>
        </xdr:cNvPr>
        <xdr:cNvSpPr/>
      </xdr:nvSpPr>
      <xdr:spPr>
        <a:xfrm>
          <a:off x="5849470" y="291353"/>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- 5</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295275</xdr:colOff>
      <xdr:row>0</xdr:row>
      <xdr:rowOff>85725</xdr:rowOff>
    </xdr:from>
    <xdr:to>
      <xdr:col>2</xdr:col>
      <xdr:colOff>676910</xdr:colOff>
      <xdr:row>4</xdr:row>
      <xdr:rowOff>95250</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85725"/>
          <a:ext cx="1086485" cy="1000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755219</xdr:colOff>
      <xdr:row>1</xdr:row>
      <xdr:rowOff>239785</xdr:rowOff>
    </xdr:from>
    <xdr:to>
      <xdr:col>16</xdr:col>
      <xdr:colOff>145462</xdr:colOff>
      <xdr:row>3</xdr:row>
      <xdr:rowOff>33971</xdr:rowOff>
    </xdr:to>
    <xdr:sp macro="" textlink="">
      <xdr:nvSpPr>
        <xdr:cNvPr id="4" name="Rectangle 3">
          <a:extLst>
            <a:ext uri="{FF2B5EF4-FFF2-40B4-BE49-F238E27FC236}">
              <a16:creationId xmlns:a16="http://schemas.microsoft.com/office/drawing/2014/main" id="{00000000-0008-0000-0500-000004000000}"/>
            </a:ext>
          </a:extLst>
        </xdr:cNvPr>
        <xdr:cNvSpPr/>
      </xdr:nvSpPr>
      <xdr:spPr>
        <a:xfrm>
          <a:off x="2312837" y="430285"/>
          <a:ext cx="3895007" cy="332068"/>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66675</xdr:rowOff>
    </xdr:from>
    <xdr:to>
      <xdr:col>2</xdr:col>
      <xdr:colOff>449916</xdr:colOff>
      <xdr:row>4</xdr:row>
      <xdr:rowOff>152400</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5"/>
          <a:ext cx="1076325" cy="1076325"/>
        </a:xfrm>
        <a:prstGeom prst="rect">
          <a:avLst/>
        </a:prstGeom>
      </xdr:spPr>
    </xdr:pic>
    <xdr:clientData/>
  </xdr:twoCellAnchor>
  <xdr:twoCellAnchor>
    <xdr:from>
      <xdr:col>3</xdr:col>
      <xdr:colOff>873875</xdr:colOff>
      <xdr:row>0</xdr:row>
      <xdr:rowOff>0</xdr:rowOff>
    </xdr:from>
    <xdr:to>
      <xdr:col>17</xdr:col>
      <xdr:colOff>104358</xdr:colOff>
      <xdr:row>2</xdr:row>
      <xdr:rowOff>128672</xdr:rowOff>
    </xdr:to>
    <xdr:sp macro="" textlink="">
      <xdr:nvSpPr>
        <xdr:cNvPr id="7" name="Rectangle 6">
          <a:extLst>
            <a:ext uri="{FF2B5EF4-FFF2-40B4-BE49-F238E27FC236}">
              <a16:creationId xmlns:a16="http://schemas.microsoft.com/office/drawing/2014/main" id="{00000000-0008-0000-0500-000007000000}"/>
            </a:ext>
          </a:extLst>
        </xdr:cNvPr>
        <xdr:cNvSpPr/>
      </xdr:nvSpPr>
      <xdr:spPr>
        <a:xfrm>
          <a:off x="2431493"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145676</xdr:colOff>
      <xdr:row>1</xdr:row>
      <xdr:rowOff>67235</xdr:rowOff>
    </xdr:from>
    <xdr:ext cx="1989841" cy="718466"/>
    <xdr:sp macro="" textlink="">
      <xdr:nvSpPr>
        <xdr:cNvPr id="8" name="Rectangle 7">
          <a:extLst>
            <a:ext uri="{FF2B5EF4-FFF2-40B4-BE49-F238E27FC236}">
              <a16:creationId xmlns:a16="http://schemas.microsoft.com/office/drawing/2014/main" id="{00000000-0008-0000-0500-000008000000}"/>
            </a:ext>
          </a:extLst>
        </xdr:cNvPr>
        <xdr:cNvSpPr/>
      </xdr:nvSpPr>
      <xdr:spPr>
        <a:xfrm>
          <a:off x="5860676" y="257735"/>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- 6</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66675</xdr:rowOff>
    </xdr:from>
    <xdr:to>
      <xdr:col>2</xdr:col>
      <xdr:colOff>504825</xdr:colOff>
      <xdr:row>4</xdr:row>
      <xdr:rowOff>152400</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5"/>
          <a:ext cx="1076325" cy="1076325"/>
        </a:xfrm>
        <a:prstGeom prst="rect">
          <a:avLst/>
        </a:prstGeom>
      </xdr:spPr>
    </xdr:pic>
    <xdr:clientData/>
  </xdr:twoCellAnchor>
  <xdr:twoCellAnchor>
    <xdr:from>
      <xdr:col>3</xdr:col>
      <xdr:colOff>819150</xdr:colOff>
      <xdr:row>0</xdr:row>
      <xdr:rowOff>0</xdr:rowOff>
    </xdr:from>
    <xdr:to>
      <xdr:col>17</xdr:col>
      <xdr:colOff>28341</xdr:colOff>
      <xdr:row>2</xdr:row>
      <xdr:rowOff>132594</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2381250"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152400</xdr:colOff>
      <xdr:row>1</xdr:row>
      <xdr:rowOff>76200</xdr:rowOff>
    </xdr:from>
    <xdr:ext cx="1989841" cy="718466"/>
    <xdr:sp macro="" textlink="">
      <xdr:nvSpPr>
        <xdr:cNvPr id="8" name="Rectangle 7">
          <a:extLst>
            <a:ext uri="{FF2B5EF4-FFF2-40B4-BE49-F238E27FC236}">
              <a16:creationId xmlns:a16="http://schemas.microsoft.com/office/drawing/2014/main" id="{00000000-0008-0000-0600-000008000000}"/>
            </a:ext>
          </a:extLst>
        </xdr:cNvPr>
        <xdr:cNvSpPr/>
      </xdr:nvSpPr>
      <xdr:spPr>
        <a:xfrm>
          <a:off x="5895975" y="266700"/>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- 7</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66675</xdr:rowOff>
    </xdr:from>
    <xdr:to>
      <xdr:col>2</xdr:col>
      <xdr:colOff>523875</xdr:colOff>
      <xdr:row>4</xdr:row>
      <xdr:rowOff>152400</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5"/>
          <a:ext cx="1076325" cy="1076325"/>
        </a:xfrm>
        <a:prstGeom prst="rect">
          <a:avLst/>
        </a:prstGeom>
      </xdr:spPr>
    </xdr:pic>
    <xdr:clientData/>
  </xdr:twoCellAnchor>
  <xdr:twoCellAnchor>
    <xdr:from>
      <xdr:col>3</xdr:col>
      <xdr:colOff>790575</xdr:colOff>
      <xdr:row>0</xdr:row>
      <xdr:rowOff>0</xdr:rowOff>
    </xdr:from>
    <xdr:to>
      <xdr:col>16</xdr:col>
      <xdr:colOff>180741</xdr:colOff>
      <xdr:row>2</xdr:row>
      <xdr:rowOff>132594</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2352675"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18</xdr:col>
      <xdr:colOff>0</xdr:colOff>
      <xdr:row>1</xdr:row>
      <xdr:rowOff>95250</xdr:rowOff>
    </xdr:from>
    <xdr:ext cx="1989841" cy="718466"/>
    <xdr:sp macro="" textlink="">
      <xdr:nvSpPr>
        <xdr:cNvPr id="8" name="Rectangle 7">
          <a:extLst>
            <a:ext uri="{FF2B5EF4-FFF2-40B4-BE49-F238E27FC236}">
              <a16:creationId xmlns:a16="http://schemas.microsoft.com/office/drawing/2014/main" id="{00000000-0008-0000-0700-000008000000}"/>
            </a:ext>
          </a:extLst>
        </xdr:cNvPr>
        <xdr:cNvSpPr/>
      </xdr:nvSpPr>
      <xdr:spPr>
        <a:xfrm>
          <a:off x="6315075" y="285750"/>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- 8</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8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66675</xdr:rowOff>
    </xdr:from>
    <xdr:to>
      <xdr:col>2</xdr:col>
      <xdr:colOff>478155</xdr:colOff>
      <xdr:row>0</xdr:row>
      <xdr:rowOff>68431</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66675"/>
          <a:ext cx="1076325" cy="1076325"/>
        </a:xfrm>
        <a:prstGeom prst="rect">
          <a:avLst/>
        </a:prstGeom>
      </xdr:spPr>
    </xdr:pic>
    <xdr:clientData/>
  </xdr:twoCellAnchor>
  <xdr:twoCellAnchor>
    <xdr:from>
      <xdr:col>3</xdr:col>
      <xdr:colOff>850903</xdr:colOff>
      <xdr:row>0</xdr:row>
      <xdr:rowOff>0</xdr:rowOff>
    </xdr:from>
    <xdr:to>
      <xdr:col>17</xdr:col>
      <xdr:colOff>60094</xdr:colOff>
      <xdr:row>2</xdr:row>
      <xdr:rowOff>132594</xdr:rowOff>
    </xdr:to>
    <xdr:sp macro="" textlink="">
      <xdr:nvSpPr>
        <xdr:cNvPr id="7" name="Rectangle 6">
          <a:extLst>
            <a:ext uri="{FF2B5EF4-FFF2-40B4-BE49-F238E27FC236}">
              <a16:creationId xmlns:a16="http://schemas.microsoft.com/office/drawing/2014/main" id="{00000000-0008-0000-0800-000007000000}"/>
            </a:ext>
          </a:extLst>
        </xdr:cNvPr>
        <xdr:cNvSpPr/>
      </xdr:nvSpPr>
      <xdr:spPr>
        <a:xfrm>
          <a:off x="2413003"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161925</xdr:colOff>
      <xdr:row>1</xdr:row>
      <xdr:rowOff>85725</xdr:rowOff>
    </xdr:from>
    <xdr:ext cx="1989841" cy="718466"/>
    <xdr:sp macro="" textlink="">
      <xdr:nvSpPr>
        <xdr:cNvPr id="8" name="Rectangle 7">
          <a:extLst>
            <a:ext uri="{FF2B5EF4-FFF2-40B4-BE49-F238E27FC236}">
              <a16:creationId xmlns:a16="http://schemas.microsoft.com/office/drawing/2014/main" id="{00000000-0008-0000-0800-000008000000}"/>
            </a:ext>
          </a:extLst>
        </xdr:cNvPr>
        <xdr:cNvSpPr/>
      </xdr:nvSpPr>
      <xdr:spPr>
        <a:xfrm>
          <a:off x="5905500" y="276225"/>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 -</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9</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1</xdr:col>
      <xdr:colOff>47625</xdr:colOff>
      <xdr:row>0</xdr:row>
      <xdr:rowOff>9525</xdr:rowOff>
    </xdr:from>
    <xdr:to>
      <xdr:col>2</xdr:col>
      <xdr:colOff>715010</xdr:colOff>
      <xdr:row>4</xdr:row>
      <xdr:rowOff>76200</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9525"/>
          <a:ext cx="1086485" cy="10572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755219</xdr:colOff>
      <xdr:row>1</xdr:row>
      <xdr:rowOff>237256</xdr:rowOff>
    </xdr:from>
    <xdr:to>
      <xdr:col>16</xdr:col>
      <xdr:colOff>145385</xdr:colOff>
      <xdr:row>3</xdr:row>
      <xdr:rowOff>33972</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2317319" y="427756"/>
          <a:ext cx="3914541" cy="33011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SMA NEGERI 1 PAMEKASAN</a:t>
          </a:r>
        </a:p>
      </xdr:txBody>
    </xdr:sp>
    <xdr:clientData/>
  </xdr:twoCellAnchor>
  <xdr:twoCellAnchor editAs="oneCell">
    <xdr:from>
      <xdr:col>0</xdr:col>
      <xdr:colOff>142875</xdr:colOff>
      <xdr:row>0</xdr:row>
      <xdr:rowOff>0</xdr:rowOff>
    </xdr:from>
    <xdr:to>
      <xdr:col>2</xdr:col>
      <xdr:colOff>525145</xdr:colOff>
      <xdr:row>3</xdr:row>
      <xdr:rowOff>228600</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0"/>
          <a:ext cx="1096645" cy="952500"/>
        </a:xfrm>
        <a:prstGeom prst="rect">
          <a:avLst/>
        </a:prstGeom>
      </xdr:spPr>
    </xdr:pic>
    <xdr:clientData/>
  </xdr:twoCellAnchor>
  <xdr:twoCellAnchor>
    <xdr:from>
      <xdr:col>3</xdr:col>
      <xdr:colOff>831419</xdr:colOff>
      <xdr:row>0</xdr:row>
      <xdr:rowOff>0</xdr:rowOff>
    </xdr:from>
    <xdr:to>
      <xdr:col>17</xdr:col>
      <xdr:colOff>40610</xdr:colOff>
      <xdr:row>2</xdr:row>
      <xdr:rowOff>132594</xdr:rowOff>
    </xdr:to>
    <xdr:sp macro="" textlink="">
      <xdr:nvSpPr>
        <xdr:cNvPr id="7" name="Rectangle 6">
          <a:extLst>
            <a:ext uri="{FF2B5EF4-FFF2-40B4-BE49-F238E27FC236}">
              <a16:creationId xmlns:a16="http://schemas.microsoft.com/office/drawing/2014/main" id="{00000000-0008-0000-0900-000007000000}"/>
            </a:ext>
          </a:extLst>
        </xdr:cNvPr>
        <xdr:cNvSpPr/>
      </xdr:nvSpPr>
      <xdr:spPr>
        <a:xfrm>
          <a:off x="2393519" y="0"/>
          <a:ext cx="3914541" cy="599319"/>
        </a:xfrm>
        <a:prstGeom prst="rect">
          <a:avLst/>
        </a:prstGeom>
        <a:noFill/>
      </xdr:spPr>
      <xdr:txBody>
        <a:bodyPr wrap="square" lIns="91440" tIns="45720" rIns="91440" bIns="45720">
          <a:no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ABSENSI SISWA</a:t>
          </a:r>
        </a:p>
      </xdr:txBody>
    </xdr:sp>
    <xdr:clientData/>
  </xdr:twoCellAnchor>
  <xdr:oneCellAnchor>
    <xdr:from>
      <xdr:col>17</xdr:col>
      <xdr:colOff>142875</xdr:colOff>
      <xdr:row>1</xdr:row>
      <xdr:rowOff>114300</xdr:rowOff>
    </xdr:from>
    <xdr:ext cx="1989841" cy="718466"/>
    <xdr:sp macro="" textlink="">
      <xdr:nvSpPr>
        <xdr:cNvPr id="8" name="Rectangle 7">
          <a:extLst>
            <a:ext uri="{FF2B5EF4-FFF2-40B4-BE49-F238E27FC236}">
              <a16:creationId xmlns:a16="http://schemas.microsoft.com/office/drawing/2014/main" id="{00000000-0008-0000-0900-000008000000}"/>
            </a:ext>
          </a:extLst>
        </xdr:cNvPr>
        <xdr:cNvSpPr/>
      </xdr:nvSpPr>
      <xdr:spPr>
        <a:xfrm>
          <a:off x="6067425" y="304800"/>
          <a:ext cx="1989841" cy="718466"/>
        </a:xfrm>
        <a:prstGeom prst="rect">
          <a:avLst/>
        </a:prstGeom>
        <a:ln w="38100"/>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algn="ctr"/>
          <a:r>
            <a:rPr lang="id-ID"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X</a:t>
          </a:r>
          <a:r>
            <a:rPr lang="id-ID"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- 10</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48"/>
  <sheetViews>
    <sheetView zoomScale="90" zoomScaleNormal="90" workbookViewId="0">
      <selection activeCell="B10" sqref="B10:B45"/>
    </sheetView>
  </sheetViews>
  <sheetFormatPr defaultColWidth="3.28515625" defaultRowHeight="15" x14ac:dyDescent="0.25"/>
  <cols>
    <col min="1" max="1" width="3.7109375" customWidth="1"/>
    <col min="2" max="2" width="8.42578125" customWidth="1"/>
    <col min="3" max="3" width="11.5703125" customWidth="1"/>
    <col min="4" max="4" width="31.28515625" customWidth="1"/>
    <col min="5" max="5" width="3.7109375" bestFit="1" customWidth="1"/>
    <col min="6" max="29" width="2.7109375" customWidth="1"/>
    <col min="31" max="31" width="9.42578125" hidden="1" customWidth="1"/>
    <col min="32" max="33" width="0" hidden="1" customWidth="1"/>
    <col min="34" max="34" width="11" hidden="1" customWidth="1"/>
    <col min="35" max="35" width="9" hidden="1" customWidth="1"/>
    <col min="36" max="49" width="0" hidden="1" customWidth="1"/>
    <col min="52" max="52" width="12.28515625" customWidth="1"/>
    <col min="53" max="53" width="11" bestFit="1" customWidth="1"/>
    <col min="54" max="54" width="34.140625" style="44" customWidth="1"/>
    <col min="62" max="62" width="9.42578125" customWidth="1"/>
    <col min="63" max="63" width="13.28515625" customWidth="1"/>
    <col min="64" max="64" width="17.28515625" customWidth="1"/>
    <col min="65" max="65" width="7.42578125" customWidth="1"/>
  </cols>
  <sheetData>
    <row r="1" spans="1:65"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E1" s="15" t="s">
        <v>456</v>
      </c>
      <c r="AF1" t="s">
        <v>381</v>
      </c>
      <c r="AG1">
        <v>20527197</v>
      </c>
      <c r="AH1" t="s">
        <v>382</v>
      </c>
      <c r="AI1" t="s">
        <v>7</v>
      </c>
    </row>
    <row r="2" spans="1:65"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E2" s="15" t="s">
        <v>456</v>
      </c>
      <c r="AF2" t="s">
        <v>357</v>
      </c>
      <c r="AG2">
        <v>20583363</v>
      </c>
      <c r="AH2" t="s">
        <v>358</v>
      </c>
      <c r="AI2" t="s">
        <v>6</v>
      </c>
    </row>
    <row r="3" spans="1:65"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E3" s="15" t="s">
        <v>456</v>
      </c>
      <c r="AF3" t="s">
        <v>293</v>
      </c>
      <c r="AG3">
        <v>20527197</v>
      </c>
      <c r="AH3" t="s">
        <v>294</v>
      </c>
      <c r="AI3" t="s">
        <v>7</v>
      </c>
    </row>
    <row r="4" spans="1:65"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E4" s="18" t="s">
        <v>237</v>
      </c>
      <c r="AF4" t="s">
        <v>178</v>
      </c>
      <c r="AG4">
        <v>20527180</v>
      </c>
      <c r="AH4" t="s">
        <v>179</v>
      </c>
      <c r="AI4" t="s">
        <v>7</v>
      </c>
    </row>
    <row r="5" spans="1:65" x14ac:dyDescent="0.25">
      <c r="A5" s="1"/>
      <c r="B5" s="1"/>
      <c r="C5" s="2"/>
      <c r="P5" s="11"/>
      <c r="AE5" s="15" t="s">
        <v>456</v>
      </c>
      <c r="AF5" t="s">
        <v>441</v>
      </c>
      <c r="AG5">
        <v>20527202</v>
      </c>
      <c r="AH5" t="s">
        <v>442</v>
      </c>
      <c r="AI5" t="s">
        <v>7</v>
      </c>
    </row>
    <row r="6" spans="1:65" ht="3.75" customHeight="1" x14ac:dyDescent="0.25">
      <c r="A6" s="1"/>
      <c r="B6" s="1"/>
      <c r="C6" s="2"/>
      <c r="AE6" s="15" t="s">
        <v>456</v>
      </c>
      <c r="AF6" t="s">
        <v>333</v>
      </c>
      <c r="AG6">
        <v>20527180</v>
      </c>
      <c r="AH6" t="s">
        <v>334</v>
      </c>
      <c r="AI6" t="s">
        <v>6</v>
      </c>
    </row>
    <row r="7" spans="1:65" x14ac:dyDescent="0.25">
      <c r="A7" s="52" t="s">
        <v>0</v>
      </c>
      <c r="B7" s="53" t="s">
        <v>467</v>
      </c>
      <c r="C7" s="53" t="s">
        <v>1</v>
      </c>
      <c r="D7" s="52" t="s">
        <v>2</v>
      </c>
      <c r="E7" s="54" t="s">
        <v>3</v>
      </c>
      <c r="F7" s="55" t="s">
        <v>4</v>
      </c>
      <c r="G7" s="56"/>
      <c r="H7" s="57"/>
      <c r="I7" s="59" t="s">
        <v>1850</v>
      </c>
      <c r="J7" s="60"/>
      <c r="K7" s="60"/>
      <c r="L7" s="60"/>
      <c r="M7" s="60"/>
      <c r="N7" s="60"/>
      <c r="O7" s="60"/>
      <c r="P7" s="60"/>
      <c r="Q7" s="60"/>
      <c r="R7" s="60"/>
      <c r="S7" s="61"/>
      <c r="T7" s="58" t="s">
        <v>5</v>
      </c>
      <c r="U7" s="58"/>
      <c r="V7" s="62" t="s">
        <v>1856</v>
      </c>
      <c r="W7" s="63"/>
      <c r="X7" s="63"/>
      <c r="Y7" s="63"/>
      <c r="Z7" s="63"/>
      <c r="AA7" s="63"/>
      <c r="AB7" s="63"/>
      <c r="AC7" s="63"/>
      <c r="AE7" s="18" t="s">
        <v>237</v>
      </c>
      <c r="AF7" t="s">
        <v>153</v>
      </c>
      <c r="AG7">
        <v>20527197</v>
      </c>
      <c r="AH7" t="s">
        <v>154</v>
      </c>
      <c r="AI7" t="s">
        <v>7</v>
      </c>
    </row>
    <row r="8" spans="1:65"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E8" s="13" t="s">
        <v>40</v>
      </c>
      <c r="AF8" t="s">
        <v>32</v>
      </c>
      <c r="AG8">
        <v>20566545</v>
      </c>
      <c r="AH8" t="s">
        <v>33</v>
      </c>
      <c r="AI8" t="s">
        <v>6</v>
      </c>
    </row>
    <row r="9" spans="1:65"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E9" s="18" t="s">
        <v>237</v>
      </c>
      <c r="AF9" t="s">
        <v>231</v>
      </c>
      <c r="AG9">
        <v>20527193</v>
      </c>
      <c r="AH9" t="s">
        <v>232</v>
      </c>
      <c r="AI9" t="s">
        <v>7</v>
      </c>
    </row>
    <row r="10" spans="1:65" ht="20.100000000000001" customHeight="1" x14ac:dyDescent="0.25">
      <c r="A10" s="4">
        <v>1</v>
      </c>
      <c r="B10" s="37" t="s">
        <v>2246</v>
      </c>
      <c r="C10" s="38" t="s">
        <v>469</v>
      </c>
      <c r="D10" s="39" t="s">
        <v>470</v>
      </c>
      <c r="E10" s="7" t="s">
        <v>6</v>
      </c>
      <c r="F10" s="8"/>
      <c r="G10" s="8"/>
      <c r="H10" s="8"/>
      <c r="I10" s="8"/>
      <c r="J10" s="8"/>
      <c r="K10" s="8"/>
      <c r="L10" s="8"/>
      <c r="M10" s="8"/>
      <c r="N10" s="8"/>
      <c r="O10" s="8"/>
      <c r="P10" s="8"/>
      <c r="Q10" s="8"/>
      <c r="R10" s="8"/>
      <c r="S10" s="8"/>
      <c r="T10" s="8"/>
      <c r="U10" s="8"/>
      <c r="V10" s="8"/>
      <c r="W10" s="8"/>
      <c r="X10" s="8"/>
      <c r="Y10" s="8"/>
      <c r="Z10" s="8"/>
      <c r="AA10" s="8"/>
      <c r="AB10" s="8"/>
      <c r="AC10" s="8"/>
      <c r="AE10" s="18" t="s">
        <v>237</v>
      </c>
      <c r="AF10" t="s">
        <v>174</v>
      </c>
      <c r="AG10">
        <v>20527180</v>
      </c>
      <c r="AH10" t="s">
        <v>175</v>
      </c>
      <c r="AI10" t="s">
        <v>6</v>
      </c>
      <c r="AJ10" t="str">
        <f>UPPER(D10)</f>
        <v>AFIFAH</v>
      </c>
      <c r="AY10" s="4"/>
      <c r="AZ10" s="38" t="s">
        <v>469</v>
      </c>
      <c r="BA10" s="39" t="s">
        <v>470</v>
      </c>
      <c r="BB10" s="45" t="s">
        <v>6</v>
      </c>
      <c r="BC10" s="39" t="s">
        <v>471</v>
      </c>
      <c r="BD10" s="40" t="s">
        <v>472</v>
      </c>
      <c r="BE10" s="40" t="s">
        <v>473</v>
      </c>
      <c r="BF10" s="40" t="s">
        <v>474</v>
      </c>
      <c r="BG10" s="40" t="s">
        <v>457</v>
      </c>
      <c r="BH10" s="39" t="s">
        <v>475</v>
      </c>
      <c r="BJ10" s="81" t="s">
        <v>2246</v>
      </c>
      <c r="BK10" s="38" t="s">
        <v>469</v>
      </c>
      <c r="BL10" s="39" t="s">
        <v>470</v>
      </c>
      <c r="BM10" t="s">
        <v>1902</v>
      </c>
    </row>
    <row r="11" spans="1:65" ht="20.100000000000001" customHeight="1" x14ac:dyDescent="0.25">
      <c r="A11" s="4">
        <v>2</v>
      </c>
      <c r="B11" s="37" t="s">
        <v>2258</v>
      </c>
      <c r="C11" s="38" t="s">
        <v>476</v>
      </c>
      <c r="D11" s="39" t="s">
        <v>477</v>
      </c>
      <c r="E11" s="7" t="s">
        <v>6</v>
      </c>
      <c r="F11" s="8"/>
      <c r="G11" s="8"/>
      <c r="H11" s="8"/>
      <c r="I11" s="8"/>
      <c r="J11" s="8"/>
      <c r="K11" s="8"/>
      <c r="L11" s="8"/>
      <c r="M11" s="8"/>
      <c r="N11" s="8"/>
      <c r="O11" s="8"/>
      <c r="P11" s="8"/>
      <c r="Q11" s="8"/>
      <c r="R11" s="8"/>
      <c r="S11" s="8"/>
      <c r="T11" s="8"/>
      <c r="U11" s="8"/>
      <c r="V11" s="8"/>
      <c r="W11" s="8"/>
      <c r="X11" s="8"/>
      <c r="Y11" s="8"/>
      <c r="Z11" s="8"/>
      <c r="AA11" s="8"/>
      <c r="AB11" s="8"/>
      <c r="AC11" s="8"/>
      <c r="AE11" s="14" t="s">
        <v>93</v>
      </c>
      <c r="AF11" t="s">
        <v>87</v>
      </c>
      <c r="AG11">
        <v>20528609</v>
      </c>
      <c r="AH11" t="s">
        <v>88</v>
      </c>
      <c r="AI11" t="s">
        <v>7</v>
      </c>
      <c r="AJ11" t="str">
        <f t="shared" ref="AJ11:AJ47" si="0">UPPER(D11)</f>
        <v>AISYAH FAYYAD MAHIRA EFFENDI</v>
      </c>
      <c r="AY11" s="4"/>
      <c r="AZ11" s="38" t="s">
        <v>476</v>
      </c>
      <c r="BA11" s="39" t="s">
        <v>477</v>
      </c>
      <c r="BB11" s="45" t="s">
        <v>6</v>
      </c>
      <c r="BC11" s="39" t="s">
        <v>478</v>
      </c>
      <c r="BD11" s="40" t="s">
        <v>479</v>
      </c>
      <c r="BE11" s="40" t="s">
        <v>480</v>
      </c>
      <c r="BF11" s="40" t="s">
        <v>481</v>
      </c>
      <c r="BG11" s="40" t="s">
        <v>457</v>
      </c>
      <c r="BH11" s="39" t="s">
        <v>475</v>
      </c>
      <c r="BJ11" s="81" t="s">
        <v>2258</v>
      </c>
      <c r="BK11" s="38" t="s">
        <v>476</v>
      </c>
      <c r="BL11" s="39" t="s">
        <v>477</v>
      </c>
      <c r="BM11" t="s">
        <v>1903</v>
      </c>
    </row>
    <row r="12" spans="1:65" ht="20.100000000000001" customHeight="1" x14ac:dyDescent="0.25">
      <c r="A12" s="4">
        <v>3</v>
      </c>
      <c r="B12" s="37" t="s">
        <v>2263</v>
      </c>
      <c r="C12" s="38" t="s">
        <v>482</v>
      </c>
      <c r="D12" s="39" t="s">
        <v>483</v>
      </c>
      <c r="E12" s="7" t="s">
        <v>6</v>
      </c>
      <c r="F12" s="8"/>
      <c r="G12" s="8"/>
      <c r="H12" s="8"/>
      <c r="I12" s="8"/>
      <c r="J12" s="8"/>
      <c r="K12" s="8"/>
      <c r="L12" s="8"/>
      <c r="M12" s="8"/>
      <c r="N12" s="8"/>
      <c r="O12" s="8"/>
      <c r="P12" s="8"/>
      <c r="Q12" s="8"/>
      <c r="R12" s="8"/>
      <c r="S12" s="8"/>
      <c r="T12" s="8"/>
      <c r="U12" s="8"/>
      <c r="V12" s="8"/>
      <c r="W12" s="8"/>
      <c r="X12" s="8"/>
      <c r="Y12" s="8"/>
      <c r="Z12" s="8"/>
      <c r="AA12" s="8"/>
      <c r="AB12" s="8"/>
      <c r="AC12" s="8"/>
      <c r="AE12" s="14" t="s">
        <v>93</v>
      </c>
      <c r="AF12" t="s">
        <v>57</v>
      </c>
      <c r="AG12">
        <v>20583410</v>
      </c>
      <c r="AH12" t="s">
        <v>58</v>
      </c>
      <c r="AI12" t="s">
        <v>7</v>
      </c>
      <c r="AJ12" t="str">
        <f t="shared" si="0"/>
        <v>ALFINA LAILY</v>
      </c>
      <c r="AY12" s="4"/>
      <c r="AZ12" s="38" t="s">
        <v>482</v>
      </c>
      <c r="BA12" s="39" t="s">
        <v>483</v>
      </c>
      <c r="BB12" s="45" t="s">
        <v>6</v>
      </c>
      <c r="BC12" s="39" t="s">
        <v>484</v>
      </c>
      <c r="BD12" s="40">
        <v>90.22</v>
      </c>
      <c r="BE12" s="40">
        <v>75</v>
      </c>
      <c r="BF12" s="40">
        <v>84.14</v>
      </c>
      <c r="BG12" s="40" t="s">
        <v>457</v>
      </c>
      <c r="BH12" s="39" t="s">
        <v>485</v>
      </c>
      <c r="BJ12" s="81" t="s">
        <v>2263</v>
      </c>
      <c r="BK12" s="38" t="s">
        <v>482</v>
      </c>
      <c r="BL12" s="39" t="s">
        <v>483</v>
      </c>
      <c r="BM12" t="s">
        <v>1904</v>
      </c>
    </row>
    <row r="13" spans="1:65" ht="20.100000000000001" customHeight="1" x14ac:dyDescent="0.25">
      <c r="A13" s="4">
        <v>4</v>
      </c>
      <c r="B13" s="37" t="s">
        <v>2269</v>
      </c>
      <c r="C13" s="42" t="s">
        <v>1849</v>
      </c>
      <c r="D13" s="39" t="s">
        <v>486</v>
      </c>
      <c r="E13" s="7" t="s">
        <v>7</v>
      </c>
      <c r="F13" s="8"/>
      <c r="G13" s="8"/>
      <c r="H13" s="8"/>
      <c r="I13" s="8"/>
      <c r="J13" s="8"/>
      <c r="K13" s="8"/>
      <c r="L13" s="8"/>
      <c r="M13" s="8"/>
      <c r="N13" s="8"/>
      <c r="O13" s="8"/>
      <c r="P13" s="8"/>
      <c r="Q13" s="8"/>
      <c r="R13" s="8"/>
      <c r="S13" s="8"/>
      <c r="T13" s="8"/>
      <c r="U13" s="8"/>
      <c r="V13" s="8"/>
      <c r="W13" s="8"/>
      <c r="X13" s="8"/>
      <c r="Y13" s="8"/>
      <c r="Z13" s="8"/>
      <c r="AA13" s="8"/>
      <c r="AB13" s="8"/>
      <c r="AC13" s="8"/>
      <c r="AE13" s="13" t="s">
        <v>40</v>
      </c>
      <c r="AF13" t="s">
        <v>12</v>
      </c>
      <c r="AG13">
        <v>20527185</v>
      </c>
      <c r="AH13" t="s">
        <v>13</v>
      </c>
      <c r="AI13" t="s">
        <v>7</v>
      </c>
      <c r="AJ13" t="str">
        <f t="shared" si="0"/>
        <v>ALVINO DWI ANDIKA</v>
      </c>
      <c r="AY13" s="4"/>
      <c r="AZ13" s="38">
        <v>3106424990</v>
      </c>
      <c r="BA13" s="39" t="s">
        <v>486</v>
      </c>
      <c r="BB13" s="45" t="s">
        <v>7</v>
      </c>
      <c r="BC13" s="39" t="s">
        <v>487</v>
      </c>
      <c r="BD13" s="40" t="s">
        <v>488</v>
      </c>
      <c r="BE13" s="40" t="s">
        <v>489</v>
      </c>
      <c r="BF13" s="40" t="s">
        <v>490</v>
      </c>
      <c r="BG13" s="40" t="s">
        <v>457</v>
      </c>
      <c r="BH13" s="41" t="s">
        <v>491</v>
      </c>
      <c r="BJ13" s="81" t="s">
        <v>2269</v>
      </c>
      <c r="BK13" s="42" t="s">
        <v>1849</v>
      </c>
      <c r="BL13" s="39" t="s">
        <v>486</v>
      </c>
      <c r="BM13" t="s">
        <v>1905</v>
      </c>
    </row>
    <row r="14" spans="1:65" ht="20.100000000000001" customHeight="1" x14ac:dyDescent="0.25">
      <c r="A14" s="4">
        <v>5</v>
      </c>
      <c r="B14" s="37" t="s">
        <v>2270</v>
      </c>
      <c r="C14" s="38" t="s">
        <v>492</v>
      </c>
      <c r="D14" s="39" t="s">
        <v>493</v>
      </c>
      <c r="E14" s="7" t="s">
        <v>6</v>
      </c>
      <c r="F14" s="8"/>
      <c r="G14" s="8"/>
      <c r="H14" s="8"/>
      <c r="I14" s="8"/>
      <c r="J14" s="8"/>
      <c r="K14" s="8"/>
      <c r="L14" s="8"/>
      <c r="M14" s="8"/>
      <c r="N14" s="8"/>
      <c r="O14" s="8"/>
      <c r="P14" s="8"/>
      <c r="Q14" s="8"/>
      <c r="R14" s="8"/>
      <c r="S14" s="8"/>
      <c r="T14" s="8"/>
      <c r="U14" s="8"/>
      <c r="V14" s="8"/>
      <c r="W14" s="8"/>
      <c r="X14" s="8"/>
      <c r="Y14" s="8"/>
      <c r="Z14" s="8"/>
      <c r="AA14" s="8"/>
      <c r="AB14" s="8"/>
      <c r="AC14" s="8"/>
      <c r="AE14" s="15" t="s">
        <v>456</v>
      </c>
      <c r="AF14" t="s">
        <v>393</v>
      </c>
      <c r="AG14">
        <v>20527197</v>
      </c>
      <c r="AH14" t="s">
        <v>394</v>
      </c>
      <c r="AI14" t="s">
        <v>6</v>
      </c>
      <c r="AJ14" t="str">
        <f t="shared" si="0"/>
        <v>ALYA AZZAHRA HIDAYAT</v>
      </c>
      <c r="AY14" s="4"/>
      <c r="AZ14" s="38" t="s">
        <v>492</v>
      </c>
      <c r="BA14" s="39" t="s">
        <v>493</v>
      </c>
      <c r="BB14" s="45" t="s">
        <v>6</v>
      </c>
      <c r="BC14" s="39" t="s">
        <v>494</v>
      </c>
      <c r="BD14" s="40">
        <v>86.89</v>
      </c>
      <c r="BE14" s="40">
        <v>60</v>
      </c>
      <c r="BF14" s="40">
        <v>76.13</v>
      </c>
      <c r="BG14" s="40" t="s">
        <v>457</v>
      </c>
      <c r="BH14" s="39" t="s">
        <v>475</v>
      </c>
      <c r="BJ14" s="81" t="s">
        <v>2270</v>
      </c>
      <c r="BK14" s="38" t="s">
        <v>492</v>
      </c>
      <c r="BL14" s="39" t="s">
        <v>493</v>
      </c>
      <c r="BM14" t="s">
        <v>1906</v>
      </c>
    </row>
    <row r="15" spans="1:65" ht="20.100000000000001" customHeight="1" x14ac:dyDescent="0.25">
      <c r="A15" s="4">
        <v>6</v>
      </c>
      <c r="B15" s="37" t="s">
        <v>2271</v>
      </c>
      <c r="C15" s="38" t="s">
        <v>495</v>
      </c>
      <c r="D15" s="39" t="s">
        <v>496</v>
      </c>
      <c r="E15" s="7" t="s">
        <v>6</v>
      </c>
      <c r="F15" s="8"/>
      <c r="G15" s="8"/>
      <c r="H15" s="8"/>
      <c r="I15" s="8"/>
      <c r="J15" s="8"/>
      <c r="K15" s="8"/>
      <c r="L15" s="8"/>
      <c r="M15" s="8"/>
      <c r="N15" s="8"/>
      <c r="O15" s="8"/>
      <c r="P15" s="8"/>
      <c r="Q15" s="8"/>
      <c r="R15" s="8"/>
      <c r="S15" s="8"/>
      <c r="T15" s="8"/>
      <c r="U15" s="8"/>
      <c r="V15" s="8"/>
      <c r="W15" s="8"/>
      <c r="X15" s="8"/>
      <c r="Y15" s="8"/>
      <c r="Z15" s="8"/>
      <c r="AA15" s="8"/>
      <c r="AB15" s="8"/>
      <c r="AC15" s="8"/>
      <c r="AE15" s="18" t="s">
        <v>237</v>
      </c>
      <c r="AF15" t="s">
        <v>157</v>
      </c>
      <c r="AG15">
        <v>20527197</v>
      </c>
      <c r="AH15" t="s">
        <v>158</v>
      </c>
      <c r="AI15" t="s">
        <v>6</v>
      </c>
      <c r="AJ15" t="str">
        <f t="shared" si="0"/>
        <v>ALYSA PUTRI PUSTIKA</v>
      </c>
      <c r="AY15" s="4"/>
      <c r="AZ15" s="38" t="s">
        <v>495</v>
      </c>
      <c r="BA15" s="39" t="s">
        <v>496</v>
      </c>
      <c r="BB15" s="45" t="s">
        <v>6</v>
      </c>
      <c r="BC15" s="39" t="s">
        <v>497</v>
      </c>
      <c r="BD15" s="40">
        <v>83.31</v>
      </c>
      <c r="BE15" s="40">
        <v>65</v>
      </c>
      <c r="BF15" s="40">
        <v>75.989999999999995</v>
      </c>
      <c r="BG15" s="40" t="s">
        <v>457</v>
      </c>
      <c r="BH15" s="39" t="s">
        <v>475</v>
      </c>
      <c r="BJ15" s="81" t="s">
        <v>2271</v>
      </c>
      <c r="BK15" s="38" t="s">
        <v>495</v>
      </c>
      <c r="BL15" s="39" t="s">
        <v>496</v>
      </c>
      <c r="BM15" t="s">
        <v>1907</v>
      </c>
    </row>
    <row r="16" spans="1:65" ht="20.100000000000001" customHeight="1" x14ac:dyDescent="0.25">
      <c r="A16" s="4">
        <v>7</v>
      </c>
      <c r="B16" s="37" t="s">
        <v>2295</v>
      </c>
      <c r="C16" s="38" t="s">
        <v>498</v>
      </c>
      <c r="D16" s="39" t="s">
        <v>499</v>
      </c>
      <c r="E16" s="7" t="s">
        <v>6</v>
      </c>
      <c r="F16" s="8"/>
      <c r="G16" s="8"/>
      <c r="H16" s="8"/>
      <c r="I16" s="8"/>
      <c r="J16" s="8"/>
      <c r="K16" s="8"/>
      <c r="L16" s="8"/>
      <c r="M16" s="8"/>
      <c r="N16" s="8"/>
      <c r="O16" s="8"/>
      <c r="P16" s="8"/>
      <c r="Q16" s="8"/>
      <c r="R16" s="8"/>
      <c r="S16" s="8"/>
      <c r="T16" s="8"/>
      <c r="U16" s="8"/>
      <c r="V16" s="8"/>
      <c r="W16" s="8"/>
      <c r="X16" s="8"/>
      <c r="Y16" s="8"/>
      <c r="Z16" s="8"/>
      <c r="AA16" s="8"/>
      <c r="AB16" s="8"/>
      <c r="AC16" s="8"/>
      <c r="AE16" s="18" t="s">
        <v>237</v>
      </c>
      <c r="AF16" t="s">
        <v>209</v>
      </c>
      <c r="AG16">
        <v>20528625</v>
      </c>
      <c r="AH16" t="s">
        <v>210</v>
      </c>
      <c r="AI16" t="s">
        <v>7</v>
      </c>
      <c r="AJ16" t="str">
        <f t="shared" si="0"/>
        <v>AYEM SULISTYONING TYAS</v>
      </c>
      <c r="AY16" s="4"/>
      <c r="AZ16" s="38" t="s">
        <v>498</v>
      </c>
      <c r="BA16" s="39" t="s">
        <v>499</v>
      </c>
      <c r="BB16" s="45" t="s">
        <v>6</v>
      </c>
      <c r="BC16" s="39" t="s">
        <v>500</v>
      </c>
      <c r="BD16" s="40" t="s">
        <v>501</v>
      </c>
      <c r="BE16" s="40" t="s">
        <v>502</v>
      </c>
      <c r="BF16" s="40" t="s">
        <v>503</v>
      </c>
      <c r="BG16" s="40" t="s">
        <v>457</v>
      </c>
      <c r="BH16" s="39" t="s">
        <v>504</v>
      </c>
      <c r="BJ16" s="81" t="s">
        <v>2295</v>
      </c>
      <c r="BK16" s="38" t="s">
        <v>498</v>
      </c>
      <c r="BL16" s="39" t="s">
        <v>499</v>
      </c>
      <c r="BM16" t="s">
        <v>1908</v>
      </c>
    </row>
    <row r="17" spans="1:65" ht="20.100000000000001" customHeight="1" x14ac:dyDescent="0.25">
      <c r="A17" s="4">
        <v>8</v>
      </c>
      <c r="B17" s="37" t="s">
        <v>2296</v>
      </c>
      <c r="C17" s="38" t="s">
        <v>505</v>
      </c>
      <c r="D17" s="39" t="s">
        <v>506</v>
      </c>
      <c r="E17" s="7" t="s">
        <v>6</v>
      </c>
      <c r="F17" s="8"/>
      <c r="G17" s="8"/>
      <c r="H17" s="8"/>
      <c r="I17" s="8"/>
      <c r="J17" s="8"/>
      <c r="K17" s="8"/>
      <c r="L17" s="8"/>
      <c r="M17" s="8"/>
      <c r="N17" s="8"/>
      <c r="O17" s="8"/>
      <c r="P17" s="8"/>
      <c r="Q17" s="8"/>
      <c r="R17" s="8"/>
      <c r="S17" s="8"/>
      <c r="T17" s="8"/>
      <c r="U17" s="8"/>
      <c r="V17" s="8"/>
      <c r="W17" s="8"/>
      <c r="X17" s="8"/>
      <c r="Y17" s="8"/>
      <c r="Z17" s="8"/>
      <c r="AA17" s="8"/>
      <c r="AB17" s="8"/>
      <c r="AC17" s="8"/>
      <c r="AE17" s="15" t="s">
        <v>456</v>
      </c>
      <c r="AF17" t="s">
        <v>319</v>
      </c>
      <c r="AG17">
        <v>20527180</v>
      </c>
      <c r="AH17" t="s">
        <v>320</v>
      </c>
      <c r="AI17" t="s">
        <v>7</v>
      </c>
      <c r="AJ17" t="str">
        <f t="shared" si="0"/>
        <v>AZALIA MAHARATU SANTOSO</v>
      </c>
      <c r="AY17" s="4"/>
      <c r="AZ17" s="38" t="s">
        <v>505</v>
      </c>
      <c r="BA17" s="39" t="s">
        <v>506</v>
      </c>
      <c r="BB17" s="45" t="s">
        <v>6</v>
      </c>
      <c r="BC17" s="39" t="s">
        <v>507</v>
      </c>
      <c r="BD17" s="40">
        <v>83.03</v>
      </c>
      <c r="BE17" s="40">
        <v>51.67</v>
      </c>
      <c r="BF17" s="40">
        <v>70.489999999999995</v>
      </c>
      <c r="BG17" s="40" t="s">
        <v>457</v>
      </c>
      <c r="BH17" s="39" t="s">
        <v>475</v>
      </c>
      <c r="BJ17" s="81" t="s">
        <v>2296</v>
      </c>
      <c r="BK17" s="38" t="s">
        <v>505</v>
      </c>
      <c r="BL17" s="39" t="s">
        <v>506</v>
      </c>
      <c r="BM17" t="s">
        <v>1909</v>
      </c>
    </row>
    <row r="18" spans="1:65" ht="20.100000000000001" customHeight="1" x14ac:dyDescent="0.25">
      <c r="A18" s="4">
        <v>9</v>
      </c>
      <c r="B18" s="37" t="s">
        <v>2299</v>
      </c>
      <c r="C18" s="38" t="s">
        <v>508</v>
      </c>
      <c r="D18" s="39" t="s">
        <v>509</v>
      </c>
      <c r="E18" s="7" t="s">
        <v>6</v>
      </c>
      <c r="F18" s="8"/>
      <c r="G18" s="8"/>
      <c r="H18" s="8"/>
      <c r="I18" s="8"/>
      <c r="J18" s="8"/>
      <c r="K18" s="8"/>
      <c r="L18" s="8"/>
      <c r="M18" s="8"/>
      <c r="N18" s="8"/>
      <c r="O18" s="8"/>
      <c r="P18" s="8"/>
      <c r="Q18" s="8"/>
      <c r="R18" s="8"/>
      <c r="S18" s="8"/>
      <c r="T18" s="8"/>
      <c r="U18" s="8"/>
      <c r="V18" s="8"/>
      <c r="W18" s="8"/>
      <c r="X18" s="8"/>
      <c r="Y18" s="8"/>
      <c r="Z18" s="8"/>
      <c r="AA18" s="8"/>
      <c r="AB18" s="8"/>
      <c r="AC18" s="8"/>
      <c r="AE18" s="15" t="s">
        <v>456</v>
      </c>
      <c r="AF18" t="s">
        <v>274</v>
      </c>
      <c r="AG18">
        <v>20527197</v>
      </c>
      <c r="AH18" t="s">
        <v>275</v>
      </c>
      <c r="AI18" t="s">
        <v>7</v>
      </c>
      <c r="AJ18" t="str">
        <f t="shared" si="0"/>
        <v>AZZAHRA MUDANINGRUM WIBOWO</v>
      </c>
      <c r="AY18" s="4"/>
      <c r="AZ18" s="38" t="s">
        <v>508</v>
      </c>
      <c r="BA18" s="39" t="s">
        <v>509</v>
      </c>
      <c r="BB18" s="45" t="s">
        <v>6</v>
      </c>
      <c r="BC18" s="39" t="s">
        <v>510</v>
      </c>
      <c r="BD18" s="40" t="s">
        <v>511</v>
      </c>
      <c r="BE18" s="40" t="s">
        <v>512</v>
      </c>
      <c r="BF18" s="40" t="s">
        <v>513</v>
      </c>
      <c r="BG18" s="40" t="s">
        <v>457</v>
      </c>
      <c r="BH18" s="39" t="s">
        <v>475</v>
      </c>
      <c r="BJ18" s="81" t="s">
        <v>2299</v>
      </c>
      <c r="BK18" s="38" t="s">
        <v>508</v>
      </c>
      <c r="BL18" s="39" t="s">
        <v>509</v>
      </c>
      <c r="BM18" t="s">
        <v>1910</v>
      </c>
    </row>
    <row r="19" spans="1:65" ht="20.100000000000001" customHeight="1" x14ac:dyDescent="0.25">
      <c r="A19" s="4">
        <v>10</v>
      </c>
      <c r="B19" s="37" t="s">
        <v>2306</v>
      </c>
      <c r="C19" s="38" t="s">
        <v>514</v>
      </c>
      <c r="D19" s="39" t="s">
        <v>515</v>
      </c>
      <c r="E19" s="7" t="s">
        <v>6</v>
      </c>
      <c r="F19" s="8"/>
      <c r="G19" s="8"/>
      <c r="H19" s="8"/>
      <c r="I19" s="8"/>
      <c r="J19" s="8"/>
      <c r="K19" s="8"/>
      <c r="L19" s="8"/>
      <c r="M19" s="8"/>
      <c r="N19" s="8"/>
      <c r="O19" s="8"/>
      <c r="P19" s="8"/>
      <c r="Q19" s="8"/>
      <c r="R19" s="8"/>
      <c r="S19" s="8"/>
      <c r="T19" s="8"/>
      <c r="U19" s="8"/>
      <c r="V19" s="8"/>
      <c r="W19" s="8"/>
      <c r="X19" s="8"/>
      <c r="Y19" s="8"/>
      <c r="Z19" s="8"/>
      <c r="AA19" s="8"/>
      <c r="AB19" s="8"/>
      <c r="AC19" s="8"/>
      <c r="AE19" s="15" t="s">
        <v>456</v>
      </c>
      <c r="AF19" t="s">
        <v>367</v>
      </c>
      <c r="AG19">
        <v>20527197</v>
      </c>
      <c r="AH19" t="s">
        <v>368</v>
      </c>
      <c r="AI19" t="s">
        <v>7</v>
      </c>
      <c r="AJ19" t="str">
        <f t="shared" si="0"/>
        <v>BERLIANA ARANIYAH SUBAIRI</v>
      </c>
      <c r="AY19" s="4"/>
      <c r="AZ19" s="38" t="s">
        <v>514</v>
      </c>
      <c r="BA19" s="39" t="s">
        <v>515</v>
      </c>
      <c r="BB19" s="45" t="s">
        <v>6</v>
      </c>
      <c r="BC19" s="39" t="s">
        <v>478</v>
      </c>
      <c r="BD19" s="40" t="s">
        <v>516</v>
      </c>
      <c r="BE19" s="40" t="s">
        <v>517</v>
      </c>
      <c r="BF19" s="40" t="s">
        <v>518</v>
      </c>
      <c r="BG19" s="40" t="s">
        <v>457</v>
      </c>
      <c r="BH19" s="39" t="s">
        <v>475</v>
      </c>
      <c r="BJ19" s="81" t="s">
        <v>2306</v>
      </c>
      <c r="BK19" s="38" t="s">
        <v>514</v>
      </c>
      <c r="BL19" s="39" t="s">
        <v>515</v>
      </c>
      <c r="BM19" t="s">
        <v>1875</v>
      </c>
    </row>
    <row r="20" spans="1:65" ht="20.100000000000001" customHeight="1" x14ac:dyDescent="0.25">
      <c r="A20" s="4">
        <v>11</v>
      </c>
      <c r="B20" s="37" t="s">
        <v>2319</v>
      </c>
      <c r="C20" s="42" t="s">
        <v>519</v>
      </c>
      <c r="D20" s="39" t="s">
        <v>520</v>
      </c>
      <c r="E20" s="7" t="s">
        <v>7</v>
      </c>
      <c r="F20" s="8"/>
      <c r="G20" s="8"/>
      <c r="H20" s="8"/>
      <c r="I20" s="8"/>
      <c r="J20" s="8"/>
      <c r="K20" s="8"/>
      <c r="L20" s="8"/>
      <c r="M20" s="8"/>
      <c r="N20" s="8"/>
      <c r="O20" s="8"/>
      <c r="P20" s="8"/>
      <c r="Q20" s="8"/>
      <c r="R20" s="8"/>
      <c r="S20" s="8"/>
      <c r="T20" s="8"/>
      <c r="U20" s="8"/>
      <c r="V20" s="8"/>
      <c r="W20" s="8"/>
      <c r="X20" s="8"/>
      <c r="Y20" s="8"/>
      <c r="Z20" s="8"/>
      <c r="AA20" s="8"/>
      <c r="AB20" s="8"/>
      <c r="AC20" s="8"/>
      <c r="AE20" s="15" t="s">
        <v>456</v>
      </c>
      <c r="AF20" t="s">
        <v>409</v>
      </c>
      <c r="AG20">
        <v>20527197</v>
      </c>
      <c r="AH20" t="s">
        <v>410</v>
      </c>
      <c r="AI20" t="s">
        <v>7</v>
      </c>
      <c r="AJ20" t="str">
        <f t="shared" si="0"/>
        <v>DAFA KANA SUWANDI</v>
      </c>
      <c r="AY20" s="4"/>
      <c r="AZ20" s="42" t="s">
        <v>519</v>
      </c>
      <c r="BA20" s="39" t="s">
        <v>520</v>
      </c>
      <c r="BB20" s="45" t="s">
        <v>7</v>
      </c>
      <c r="BC20" s="39" t="s">
        <v>521</v>
      </c>
      <c r="BD20" s="40" t="s">
        <v>522</v>
      </c>
      <c r="BE20" s="40" t="s">
        <v>523</v>
      </c>
      <c r="BF20" s="40" t="s">
        <v>524</v>
      </c>
      <c r="BG20" s="40" t="s">
        <v>457</v>
      </c>
      <c r="BH20" s="39" t="s">
        <v>525</v>
      </c>
      <c r="BJ20" s="81" t="s">
        <v>2319</v>
      </c>
      <c r="BK20" s="42" t="s">
        <v>519</v>
      </c>
      <c r="BL20" s="39" t="s">
        <v>520</v>
      </c>
      <c r="BM20" t="s">
        <v>1876</v>
      </c>
    </row>
    <row r="21" spans="1:65" ht="20.100000000000001" customHeight="1" x14ac:dyDescent="0.25">
      <c r="A21" s="4">
        <v>12</v>
      </c>
      <c r="B21" s="37" t="s">
        <v>2346</v>
      </c>
      <c r="C21" s="38" t="s">
        <v>526</v>
      </c>
      <c r="D21" s="39" t="s">
        <v>527</v>
      </c>
      <c r="E21" s="7" t="s">
        <v>7</v>
      </c>
      <c r="F21" s="8"/>
      <c r="G21" s="8"/>
      <c r="H21" s="8"/>
      <c r="I21" s="8"/>
      <c r="J21" s="8"/>
      <c r="K21" s="8"/>
      <c r="L21" s="8"/>
      <c r="M21" s="8"/>
      <c r="N21" s="8"/>
      <c r="O21" s="8"/>
      <c r="P21" s="8"/>
      <c r="Q21" s="8"/>
      <c r="R21" s="8"/>
      <c r="S21" s="8"/>
      <c r="T21" s="8"/>
      <c r="U21" s="8"/>
      <c r="V21" s="8"/>
      <c r="W21" s="8"/>
      <c r="X21" s="8"/>
      <c r="Y21" s="8"/>
      <c r="Z21" s="8"/>
      <c r="AA21" s="8"/>
      <c r="AB21" s="8"/>
      <c r="AC21" s="8"/>
      <c r="AE21" s="15" t="s">
        <v>456</v>
      </c>
      <c r="AF21" t="s">
        <v>252</v>
      </c>
      <c r="AG21">
        <v>69816340</v>
      </c>
      <c r="AH21" t="s">
        <v>253</v>
      </c>
      <c r="AI21" t="s">
        <v>7</v>
      </c>
      <c r="AJ21" t="str">
        <f t="shared" si="0"/>
        <v>FATHARANI RAJBI WARDANA</v>
      </c>
      <c r="AY21" s="4"/>
      <c r="AZ21" s="38" t="s">
        <v>526</v>
      </c>
      <c r="BA21" s="39" t="s">
        <v>527</v>
      </c>
      <c r="BB21" s="45" t="s">
        <v>7</v>
      </c>
      <c r="BC21" s="39" t="s">
        <v>528</v>
      </c>
      <c r="BD21" s="40">
        <v>86.41</v>
      </c>
      <c r="BE21" s="40">
        <v>88.33</v>
      </c>
      <c r="BF21" s="40">
        <v>87.18</v>
      </c>
      <c r="BG21" s="40" t="s">
        <v>457</v>
      </c>
      <c r="BH21" s="39" t="s">
        <v>529</v>
      </c>
      <c r="BJ21" s="81" t="s">
        <v>2346</v>
      </c>
      <c r="BK21" s="38" t="s">
        <v>526</v>
      </c>
      <c r="BL21" s="39" t="s">
        <v>527</v>
      </c>
      <c r="BM21" t="s">
        <v>1877</v>
      </c>
    </row>
    <row r="22" spans="1:65" ht="20.100000000000001" customHeight="1" x14ac:dyDescent="0.25">
      <c r="A22" s="4">
        <v>13</v>
      </c>
      <c r="B22" s="37" t="s">
        <v>2363</v>
      </c>
      <c r="C22" s="38" t="s">
        <v>530</v>
      </c>
      <c r="D22" s="39" t="s">
        <v>531</v>
      </c>
      <c r="E22" s="7" t="s">
        <v>6</v>
      </c>
      <c r="F22" s="8"/>
      <c r="G22" s="8"/>
      <c r="H22" s="8"/>
      <c r="I22" s="8"/>
      <c r="J22" s="8"/>
      <c r="K22" s="8"/>
      <c r="L22" s="8"/>
      <c r="M22" s="8"/>
      <c r="N22" s="8"/>
      <c r="O22" s="8"/>
      <c r="P22" s="8"/>
      <c r="Q22" s="8"/>
      <c r="R22" s="8"/>
      <c r="S22" s="8"/>
      <c r="T22" s="8"/>
      <c r="U22" s="8"/>
      <c r="V22" s="8"/>
      <c r="W22" s="8"/>
      <c r="X22" s="8"/>
      <c r="Y22" s="8"/>
      <c r="Z22" s="8"/>
      <c r="AA22" s="8"/>
      <c r="AB22" s="8"/>
      <c r="AC22" s="8"/>
      <c r="AE22" s="15" t="s">
        <v>456</v>
      </c>
      <c r="AF22" t="s">
        <v>244</v>
      </c>
      <c r="AG22">
        <v>20527197</v>
      </c>
      <c r="AH22" t="s">
        <v>245</v>
      </c>
      <c r="AI22" t="s">
        <v>6</v>
      </c>
      <c r="AJ22" t="str">
        <f t="shared" si="0"/>
        <v>GENDIS RAMADHANI PUTRI H</v>
      </c>
      <c r="AY22" s="4"/>
      <c r="AZ22" s="38" t="s">
        <v>530</v>
      </c>
      <c r="BA22" s="39" t="s">
        <v>531</v>
      </c>
      <c r="BB22" s="45" t="s">
        <v>6</v>
      </c>
      <c r="BC22" s="39" t="s">
        <v>494</v>
      </c>
      <c r="BD22" s="40" t="s">
        <v>532</v>
      </c>
      <c r="BE22" s="40" t="s">
        <v>473</v>
      </c>
      <c r="BF22" s="40" t="s">
        <v>533</v>
      </c>
      <c r="BG22" s="40" t="s">
        <v>457</v>
      </c>
      <c r="BH22" s="39" t="s">
        <v>475</v>
      </c>
      <c r="BJ22" s="81" t="s">
        <v>2363</v>
      </c>
      <c r="BK22" s="38" t="s">
        <v>530</v>
      </c>
      <c r="BL22" s="39" t="s">
        <v>531</v>
      </c>
      <c r="BM22" t="s">
        <v>1878</v>
      </c>
    </row>
    <row r="23" spans="1:65" ht="20.100000000000001" customHeight="1" x14ac:dyDescent="0.25">
      <c r="A23" s="4">
        <v>14</v>
      </c>
      <c r="B23" s="37" t="s">
        <v>2378</v>
      </c>
      <c r="C23" s="38" t="s">
        <v>534</v>
      </c>
      <c r="D23" s="39" t="s">
        <v>535</v>
      </c>
      <c r="E23" s="7" t="s">
        <v>7</v>
      </c>
      <c r="F23" s="8"/>
      <c r="G23" s="8"/>
      <c r="H23" s="8"/>
      <c r="I23" s="8"/>
      <c r="J23" s="8"/>
      <c r="K23" s="8"/>
      <c r="L23" s="8"/>
      <c r="M23" s="8"/>
      <c r="N23" s="8"/>
      <c r="O23" s="8"/>
      <c r="P23" s="8"/>
      <c r="Q23" s="8"/>
      <c r="R23" s="8"/>
      <c r="S23" s="8"/>
      <c r="T23" s="8"/>
      <c r="U23" s="8"/>
      <c r="V23" s="8"/>
      <c r="W23" s="8"/>
      <c r="X23" s="8"/>
      <c r="Y23" s="8"/>
      <c r="Z23" s="8"/>
      <c r="AA23" s="8"/>
      <c r="AB23" s="8"/>
      <c r="AC23" s="8"/>
      <c r="AE23" s="17" t="s">
        <v>128</v>
      </c>
      <c r="AF23" t="s">
        <v>118</v>
      </c>
      <c r="AG23">
        <v>69991338</v>
      </c>
      <c r="AH23" t="s">
        <v>119</v>
      </c>
      <c r="AI23" t="s">
        <v>7</v>
      </c>
      <c r="AJ23" t="str">
        <f t="shared" si="0"/>
        <v>IKROM ALI</v>
      </c>
      <c r="AY23" s="4"/>
      <c r="AZ23" s="38" t="s">
        <v>534</v>
      </c>
      <c r="BA23" s="39" t="s">
        <v>535</v>
      </c>
      <c r="BB23" s="45" t="s">
        <v>7</v>
      </c>
      <c r="BC23" s="39" t="s">
        <v>494</v>
      </c>
      <c r="BD23" s="40" t="s">
        <v>536</v>
      </c>
      <c r="BE23" s="40" t="s">
        <v>537</v>
      </c>
      <c r="BF23" s="40" t="s">
        <v>538</v>
      </c>
      <c r="BG23" s="40" t="s">
        <v>457</v>
      </c>
      <c r="BH23" s="39" t="s">
        <v>539</v>
      </c>
      <c r="BJ23" s="81" t="s">
        <v>2378</v>
      </c>
      <c r="BK23" s="38" t="s">
        <v>534</v>
      </c>
      <c r="BL23" s="39" t="s">
        <v>535</v>
      </c>
      <c r="BM23" t="s">
        <v>1879</v>
      </c>
    </row>
    <row r="24" spans="1:65" ht="20.100000000000001" customHeight="1" x14ac:dyDescent="0.25">
      <c r="A24" s="4">
        <v>15</v>
      </c>
      <c r="B24" s="37" t="s">
        <v>2381</v>
      </c>
      <c r="C24" s="38" t="s">
        <v>540</v>
      </c>
      <c r="D24" s="39" t="s">
        <v>541</v>
      </c>
      <c r="E24" s="7" t="s">
        <v>6</v>
      </c>
      <c r="F24" s="8"/>
      <c r="G24" s="8"/>
      <c r="H24" s="8"/>
      <c r="I24" s="8"/>
      <c r="J24" s="8"/>
      <c r="K24" s="8"/>
      <c r="L24" s="8"/>
      <c r="M24" s="8"/>
      <c r="N24" s="8"/>
      <c r="O24" s="8"/>
      <c r="P24" s="8"/>
      <c r="Q24" s="8"/>
      <c r="R24" s="8"/>
      <c r="S24" s="8"/>
      <c r="T24" s="8"/>
      <c r="U24" s="8"/>
      <c r="V24" s="8"/>
      <c r="W24" s="8"/>
      <c r="X24" s="8"/>
      <c r="Y24" s="8"/>
      <c r="Z24" s="8"/>
      <c r="AA24" s="8"/>
      <c r="AB24" s="8"/>
      <c r="AC24" s="8"/>
      <c r="AE24" s="16" t="s">
        <v>56</v>
      </c>
      <c r="AF24" t="s">
        <v>52</v>
      </c>
      <c r="AG24">
        <v>20364507</v>
      </c>
      <c r="AH24" t="s">
        <v>53</v>
      </c>
      <c r="AI24" t="s">
        <v>6</v>
      </c>
      <c r="AJ24" t="str">
        <f t="shared" si="0"/>
        <v>ISNA ALVARETA DAMAYANTI</v>
      </c>
      <c r="AY24" s="4"/>
      <c r="AZ24" s="38" t="s">
        <v>540</v>
      </c>
      <c r="BA24" s="39" t="s">
        <v>541</v>
      </c>
      <c r="BB24" s="45" t="s">
        <v>6</v>
      </c>
      <c r="BC24" s="39" t="s">
        <v>542</v>
      </c>
      <c r="BD24" s="40">
        <v>89.4</v>
      </c>
      <c r="BE24" s="40">
        <v>65</v>
      </c>
      <c r="BF24" s="40">
        <v>79.64</v>
      </c>
      <c r="BG24" s="40" t="s">
        <v>457</v>
      </c>
      <c r="BH24" s="39" t="s">
        <v>543</v>
      </c>
      <c r="BJ24" s="81" t="s">
        <v>2381</v>
      </c>
      <c r="BK24" s="38" t="s">
        <v>540</v>
      </c>
      <c r="BL24" s="39" t="s">
        <v>541</v>
      </c>
      <c r="BM24" t="s">
        <v>1880</v>
      </c>
    </row>
    <row r="25" spans="1:65" ht="20.100000000000001" customHeight="1" x14ac:dyDescent="0.25">
      <c r="A25" s="4">
        <v>16</v>
      </c>
      <c r="B25" s="37" t="s">
        <v>2392</v>
      </c>
      <c r="C25" s="38" t="s">
        <v>544</v>
      </c>
      <c r="D25" s="39" t="s">
        <v>545</v>
      </c>
      <c r="E25" s="7" t="s">
        <v>7</v>
      </c>
      <c r="F25" s="8"/>
      <c r="G25" s="8"/>
      <c r="H25" s="8"/>
      <c r="I25" s="8"/>
      <c r="J25" s="8"/>
      <c r="K25" s="8"/>
      <c r="L25" s="8"/>
      <c r="M25" s="8"/>
      <c r="N25" s="8"/>
      <c r="O25" s="8"/>
      <c r="P25" s="8"/>
      <c r="Q25" s="8"/>
      <c r="R25" s="8"/>
      <c r="S25" s="8"/>
      <c r="T25" s="8"/>
      <c r="U25" s="8"/>
      <c r="V25" s="8"/>
      <c r="W25" s="8"/>
      <c r="X25" s="8"/>
      <c r="Y25" s="8"/>
      <c r="Z25" s="8"/>
      <c r="AA25" s="8"/>
      <c r="AB25" s="8"/>
      <c r="AC25" s="8"/>
      <c r="AE25" s="15" t="s">
        <v>456</v>
      </c>
      <c r="AF25" t="s">
        <v>345</v>
      </c>
      <c r="AG25">
        <v>20527180</v>
      </c>
      <c r="AH25" t="s">
        <v>346</v>
      </c>
      <c r="AI25" t="s">
        <v>7</v>
      </c>
      <c r="AJ25" t="str">
        <f t="shared" si="0"/>
        <v>KARIM MUSTHOFA BENZEMA RAHMAN</v>
      </c>
      <c r="AY25" s="4"/>
      <c r="AZ25" s="38" t="s">
        <v>544</v>
      </c>
      <c r="BA25" s="39" t="s">
        <v>545</v>
      </c>
      <c r="BB25" s="45" t="s">
        <v>7</v>
      </c>
      <c r="BC25" s="39" t="s">
        <v>546</v>
      </c>
      <c r="BD25" s="40" t="s">
        <v>547</v>
      </c>
      <c r="BE25" s="40" t="s">
        <v>548</v>
      </c>
      <c r="BF25" s="40" t="s">
        <v>549</v>
      </c>
      <c r="BG25" s="40" t="s">
        <v>457</v>
      </c>
      <c r="BH25" s="39" t="s">
        <v>475</v>
      </c>
      <c r="BJ25" s="81" t="s">
        <v>2392</v>
      </c>
      <c r="BK25" s="38" t="s">
        <v>544</v>
      </c>
      <c r="BL25" s="39" t="s">
        <v>545</v>
      </c>
      <c r="BM25" t="s">
        <v>1881</v>
      </c>
    </row>
    <row r="26" spans="1:65" ht="20.100000000000001" customHeight="1" x14ac:dyDescent="0.25">
      <c r="A26" s="4">
        <v>17</v>
      </c>
      <c r="B26" s="37" t="s">
        <v>2399</v>
      </c>
      <c r="C26" s="38" t="s">
        <v>550</v>
      </c>
      <c r="D26" s="39" t="s">
        <v>551</v>
      </c>
      <c r="E26" s="7" t="s">
        <v>6</v>
      </c>
      <c r="F26" s="8"/>
      <c r="G26" s="8"/>
      <c r="H26" s="8"/>
      <c r="I26" s="8"/>
      <c r="J26" s="8"/>
      <c r="K26" s="8"/>
      <c r="L26" s="8"/>
      <c r="M26" s="8"/>
      <c r="N26" s="8"/>
      <c r="O26" s="8"/>
      <c r="P26" s="8"/>
      <c r="Q26" s="8"/>
      <c r="R26" s="8"/>
      <c r="S26" s="8"/>
      <c r="T26" s="8"/>
      <c r="U26" s="8"/>
      <c r="V26" s="8"/>
      <c r="W26" s="8"/>
      <c r="X26" s="8"/>
      <c r="Y26" s="8"/>
      <c r="Z26" s="8"/>
      <c r="AA26" s="8"/>
      <c r="AB26" s="8"/>
      <c r="AC26" s="8"/>
      <c r="AE26" s="15" t="s">
        <v>456</v>
      </c>
      <c r="AF26" t="s">
        <v>413</v>
      </c>
      <c r="AG26">
        <v>20527193</v>
      </c>
      <c r="AH26" t="s">
        <v>414</v>
      </c>
      <c r="AI26" t="s">
        <v>6</v>
      </c>
      <c r="AJ26" t="str">
        <f t="shared" si="0"/>
        <v>KHOIRINI AULIANA SODIK</v>
      </c>
      <c r="AY26" s="4"/>
      <c r="AZ26" s="38" t="s">
        <v>550</v>
      </c>
      <c r="BA26" s="39" t="s">
        <v>551</v>
      </c>
      <c r="BB26" s="45" t="s">
        <v>6</v>
      </c>
      <c r="BC26" s="39" t="s">
        <v>552</v>
      </c>
      <c r="BD26" s="40" t="s">
        <v>553</v>
      </c>
      <c r="BE26" s="40" t="s">
        <v>548</v>
      </c>
      <c r="BF26" s="40" t="s">
        <v>554</v>
      </c>
      <c r="BG26" s="40" t="s">
        <v>457</v>
      </c>
      <c r="BH26" s="39" t="s">
        <v>475</v>
      </c>
      <c r="BJ26" s="81" t="s">
        <v>2399</v>
      </c>
      <c r="BK26" s="38" t="s">
        <v>550</v>
      </c>
      <c r="BL26" s="39" t="s">
        <v>551</v>
      </c>
      <c r="BM26" t="s">
        <v>1882</v>
      </c>
    </row>
    <row r="27" spans="1:65" ht="20.100000000000001" customHeight="1" x14ac:dyDescent="0.25">
      <c r="A27" s="4">
        <v>18</v>
      </c>
      <c r="B27" s="37" t="s">
        <v>2412</v>
      </c>
      <c r="C27" s="38" t="s">
        <v>555</v>
      </c>
      <c r="D27" s="39" t="s">
        <v>556</v>
      </c>
      <c r="E27" s="7" t="s">
        <v>6</v>
      </c>
      <c r="F27" s="8"/>
      <c r="G27" s="8"/>
      <c r="H27" s="8"/>
      <c r="I27" s="8"/>
      <c r="J27" s="8"/>
      <c r="K27" s="8"/>
      <c r="L27" s="8"/>
      <c r="M27" s="8"/>
      <c r="N27" s="8"/>
      <c r="O27" s="8"/>
      <c r="P27" s="8"/>
      <c r="Q27" s="8"/>
      <c r="R27" s="8"/>
      <c r="S27" s="8"/>
      <c r="T27" s="8"/>
      <c r="U27" s="8"/>
      <c r="V27" s="8"/>
      <c r="W27" s="8"/>
      <c r="X27" s="8"/>
      <c r="Y27" s="8"/>
      <c r="Z27" s="8"/>
      <c r="AA27" s="8"/>
      <c r="AB27" s="8"/>
      <c r="AC27" s="8"/>
      <c r="AE27" s="13" t="s">
        <v>40</v>
      </c>
      <c r="AF27" t="s">
        <v>16</v>
      </c>
      <c r="AG27">
        <v>20527202</v>
      </c>
      <c r="AH27" t="s">
        <v>17</v>
      </c>
      <c r="AI27" t="s">
        <v>6</v>
      </c>
      <c r="AJ27" t="str">
        <f t="shared" si="0"/>
        <v>MAGHFIRATUL HAQIQIYAH</v>
      </c>
      <c r="AY27" s="4"/>
      <c r="AZ27" s="38" t="s">
        <v>555</v>
      </c>
      <c r="BA27" s="39" t="s">
        <v>556</v>
      </c>
      <c r="BB27" s="45" t="s">
        <v>6</v>
      </c>
      <c r="BC27" s="39" t="s">
        <v>557</v>
      </c>
      <c r="BD27" s="40">
        <v>88.54</v>
      </c>
      <c r="BE27" s="40">
        <v>71.67</v>
      </c>
      <c r="BF27" s="40">
        <v>81.790000000000006</v>
      </c>
      <c r="BG27" s="40" t="s">
        <v>457</v>
      </c>
      <c r="BH27" s="39" t="s">
        <v>475</v>
      </c>
      <c r="BJ27" s="81" t="s">
        <v>2412</v>
      </c>
      <c r="BK27" s="38" t="s">
        <v>555</v>
      </c>
      <c r="BL27" s="39" t="s">
        <v>556</v>
      </c>
      <c r="BM27" t="s">
        <v>1883</v>
      </c>
    </row>
    <row r="28" spans="1:65" ht="20.100000000000001" customHeight="1" x14ac:dyDescent="0.25">
      <c r="A28" s="4">
        <v>19</v>
      </c>
      <c r="B28" s="37" t="s">
        <v>2417</v>
      </c>
      <c r="C28" s="38" t="s">
        <v>558</v>
      </c>
      <c r="D28" s="39" t="s">
        <v>559</v>
      </c>
      <c r="E28" s="7" t="s">
        <v>6</v>
      </c>
      <c r="F28" s="8"/>
      <c r="G28" s="8"/>
      <c r="H28" s="8"/>
      <c r="I28" s="8"/>
      <c r="J28" s="8"/>
      <c r="K28" s="8"/>
      <c r="L28" s="8"/>
      <c r="M28" s="8"/>
      <c r="N28" s="8"/>
      <c r="O28" s="8"/>
      <c r="P28" s="8"/>
      <c r="Q28" s="8"/>
      <c r="R28" s="8"/>
      <c r="S28" s="8"/>
      <c r="T28" s="8"/>
      <c r="U28" s="8"/>
      <c r="V28" s="8"/>
      <c r="W28" s="8"/>
      <c r="X28" s="8"/>
      <c r="Y28" s="8"/>
      <c r="Z28" s="8"/>
      <c r="AA28" s="8"/>
      <c r="AB28" s="8"/>
      <c r="AC28" s="8"/>
      <c r="AE28" s="18" t="s">
        <v>237</v>
      </c>
      <c r="AF28">
        <v>3081834782</v>
      </c>
      <c r="AG28">
        <v>20528625</v>
      </c>
      <c r="AH28" t="s">
        <v>220</v>
      </c>
      <c r="AI28" t="s">
        <v>6</v>
      </c>
      <c r="AJ28" t="str">
        <f t="shared" si="0"/>
        <v>MAISHITA ZALFA ZAHIRA</v>
      </c>
      <c r="AY28" s="4"/>
      <c r="AZ28" s="38" t="s">
        <v>558</v>
      </c>
      <c r="BA28" s="39" t="s">
        <v>559</v>
      </c>
      <c r="BB28" s="45" t="s">
        <v>6</v>
      </c>
      <c r="BC28" s="39" t="s">
        <v>478</v>
      </c>
      <c r="BD28" s="40" t="s">
        <v>560</v>
      </c>
      <c r="BE28" s="40" t="s">
        <v>561</v>
      </c>
      <c r="BF28" s="40" t="s">
        <v>562</v>
      </c>
      <c r="BG28" s="40" t="s">
        <v>457</v>
      </c>
      <c r="BH28" s="39" t="s">
        <v>475</v>
      </c>
      <c r="BJ28" s="81" t="s">
        <v>2417</v>
      </c>
      <c r="BK28" s="38" t="s">
        <v>558</v>
      </c>
      <c r="BL28" s="39" t="s">
        <v>559</v>
      </c>
      <c r="BM28" t="s">
        <v>1884</v>
      </c>
    </row>
    <row r="29" spans="1:65" ht="20.100000000000001" customHeight="1" x14ac:dyDescent="0.25">
      <c r="A29" s="4">
        <v>20</v>
      </c>
      <c r="B29" s="37" t="s">
        <v>2429</v>
      </c>
      <c r="C29" s="38" t="s">
        <v>563</v>
      </c>
      <c r="D29" s="39" t="s">
        <v>564</v>
      </c>
      <c r="E29" s="7" t="s">
        <v>6</v>
      </c>
      <c r="F29" s="8"/>
      <c r="G29" s="8"/>
      <c r="H29" s="8"/>
      <c r="I29" s="8"/>
      <c r="J29" s="8"/>
      <c r="K29" s="8"/>
      <c r="L29" s="8"/>
      <c r="M29" s="8"/>
      <c r="N29" s="8"/>
      <c r="O29" s="8"/>
      <c r="P29" s="8"/>
      <c r="Q29" s="8"/>
      <c r="R29" s="8"/>
      <c r="S29" s="8"/>
      <c r="T29" s="8"/>
      <c r="U29" s="8"/>
      <c r="V29" s="8"/>
      <c r="W29" s="8"/>
      <c r="X29" s="8"/>
      <c r="Y29" s="8"/>
      <c r="Z29" s="8"/>
      <c r="AA29" s="8"/>
      <c r="AB29" s="8"/>
      <c r="AC29" s="8"/>
      <c r="AE29" s="15" t="s">
        <v>456</v>
      </c>
      <c r="AF29" t="s">
        <v>303</v>
      </c>
      <c r="AG29">
        <v>20527180</v>
      </c>
      <c r="AH29" t="s">
        <v>304</v>
      </c>
      <c r="AI29" t="s">
        <v>6</v>
      </c>
      <c r="AJ29" t="str">
        <f t="shared" si="0"/>
        <v>MEISYA MELINDA PUTRI</v>
      </c>
      <c r="AY29" s="4"/>
      <c r="AZ29" s="38" t="s">
        <v>563</v>
      </c>
      <c r="BA29" s="39" t="s">
        <v>564</v>
      </c>
      <c r="BB29" s="45" t="s">
        <v>6</v>
      </c>
      <c r="BC29" s="39" t="s">
        <v>565</v>
      </c>
      <c r="BD29" s="40">
        <v>86.66</v>
      </c>
      <c r="BE29" s="40">
        <v>45</v>
      </c>
      <c r="BF29" s="43">
        <v>70</v>
      </c>
      <c r="BG29" s="40" t="s">
        <v>457</v>
      </c>
      <c r="BH29" s="39" t="s">
        <v>475</v>
      </c>
      <c r="BJ29" s="81" t="s">
        <v>2429</v>
      </c>
      <c r="BK29" s="38" t="s">
        <v>563</v>
      </c>
      <c r="BL29" s="39" t="s">
        <v>564</v>
      </c>
      <c r="BM29" t="s">
        <v>1885</v>
      </c>
    </row>
    <row r="30" spans="1:65" ht="20.100000000000001" customHeight="1" x14ac:dyDescent="0.25">
      <c r="A30" s="4">
        <v>21</v>
      </c>
      <c r="B30" s="37" t="s">
        <v>2430</v>
      </c>
      <c r="C30" s="38" t="s">
        <v>566</v>
      </c>
      <c r="D30" s="39" t="s">
        <v>567</v>
      </c>
      <c r="E30" s="7" t="s">
        <v>6</v>
      </c>
      <c r="F30" s="8"/>
      <c r="G30" s="8"/>
      <c r="H30" s="8"/>
      <c r="I30" s="8"/>
      <c r="J30" s="8"/>
      <c r="K30" s="8"/>
      <c r="L30" s="8"/>
      <c r="M30" s="8"/>
      <c r="N30" s="8"/>
      <c r="O30" s="8"/>
      <c r="P30" s="8"/>
      <c r="Q30" s="8"/>
      <c r="R30" s="8"/>
      <c r="S30" s="8"/>
      <c r="T30" s="8"/>
      <c r="U30" s="8"/>
      <c r="V30" s="8"/>
      <c r="W30" s="8"/>
      <c r="X30" s="8"/>
      <c r="Y30" s="8"/>
      <c r="Z30" s="8"/>
      <c r="AA30" s="8"/>
      <c r="AB30" s="8"/>
      <c r="AC30" s="8"/>
      <c r="AE30" s="17" t="s">
        <v>128</v>
      </c>
      <c r="AF30" t="s">
        <v>105</v>
      </c>
      <c r="AG30">
        <v>20527193</v>
      </c>
      <c r="AH30" t="s">
        <v>106</v>
      </c>
      <c r="AI30" t="s">
        <v>6</v>
      </c>
      <c r="AJ30" t="str">
        <f t="shared" si="0"/>
        <v>MEISYA PURNOMO</v>
      </c>
      <c r="AY30" s="4"/>
      <c r="AZ30" s="38" t="s">
        <v>566</v>
      </c>
      <c r="BA30" s="39" t="s">
        <v>567</v>
      </c>
      <c r="BB30" s="45" t="s">
        <v>6</v>
      </c>
      <c r="BC30" s="39" t="s">
        <v>568</v>
      </c>
      <c r="BD30" s="40">
        <v>86.46</v>
      </c>
      <c r="BE30" s="40">
        <v>66.66</v>
      </c>
      <c r="BF30" s="40">
        <v>87.77</v>
      </c>
      <c r="BG30" s="40" t="s">
        <v>457</v>
      </c>
      <c r="BH30" s="39" t="s">
        <v>475</v>
      </c>
      <c r="BJ30" s="81" t="s">
        <v>2430</v>
      </c>
      <c r="BK30" s="38" t="s">
        <v>566</v>
      </c>
      <c r="BL30" s="39" t="s">
        <v>567</v>
      </c>
      <c r="BM30" t="s">
        <v>1886</v>
      </c>
    </row>
    <row r="31" spans="1:65" ht="20.100000000000001" customHeight="1" x14ac:dyDescent="0.25">
      <c r="A31" s="4">
        <v>22</v>
      </c>
      <c r="B31" s="37" t="s">
        <v>2453</v>
      </c>
      <c r="C31" s="38" t="s">
        <v>569</v>
      </c>
      <c r="D31" s="39" t="s">
        <v>570</v>
      </c>
      <c r="E31" s="7" t="s">
        <v>7</v>
      </c>
      <c r="F31" s="8"/>
      <c r="G31" s="8"/>
      <c r="H31" s="8"/>
      <c r="I31" s="8"/>
      <c r="J31" s="8"/>
      <c r="K31" s="8"/>
      <c r="L31" s="8"/>
      <c r="M31" s="8"/>
      <c r="N31" s="8"/>
      <c r="O31" s="8"/>
      <c r="P31" s="8"/>
      <c r="Q31" s="8"/>
      <c r="R31" s="8"/>
      <c r="S31" s="8"/>
      <c r="T31" s="8"/>
      <c r="U31" s="8"/>
      <c r="V31" s="8"/>
      <c r="W31" s="8"/>
      <c r="X31" s="8"/>
      <c r="Y31" s="8"/>
      <c r="Z31" s="8"/>
      <c r="AA31" s="8"/>
      <c r="AB31" s="8"/>
      <c r="AC31" s="8"/>
      <c r="AE31" s="14" t="s">
        <v>93</v>
      </c>
      <c r="AF31" t="s">
        <v>75</v>
      </c>
      <c r="AG31">
        <v>20527180</v>
      </c>
      <c r="AH31" t="s">
        <v>76</v>
      </c>
      <c r="AI31" t="s">
        <v>6</v>
      </c>
      <c r="AJ31" t="str">
        <f t="shared" si="0"/>
        <v>MOHAMMAD AZZAM FAKHRULLAH</v>
      </c>
      <c r="AY31" s="4"/>
      <c r="AZ31" s="38" t="s">
        <v>569</v>
      </c>
      <c r="BA31" s="39" t="s">
        <v>570</v>
      </c>
      <c r="BB31" s="45" t="s">
        <v>7</v>
      </c>
      <c r="BC31" s="39" t="s">
        <v>484</v>
      </c>
      <c r="BD31" s="40">
        <v>87.69</v>
      </c>
      <c r="BE31" s="40">
        <v>78.34</v>
      </c>
      <c r="BF31" s="40">
        <v>83.95</v>
      </c>
      <c r="BG31" s="40" t="s">
        <v>457</v>
      </c>
      <c r="BH31" s="39" t="s">
        <v>571</v>
      </c>
      <c r="BJ31" s="81" t="s">
        <v>2453</v>
      </c>
      <c r="BK31" s="38" t="s">
        <v>569</v>
      </c>
      <c r="BL31" s="39" t="s">
        <v>570</v>
      </c>
      <c r="BM31" t="s">
        <v>1887</v>
      </c>
    </row>
    <row r="32" spans="1:65" ht="20.100000000000001" customHeight="1" x14ac:dyDescent="0.25">
      <c r="A32" s="4">
        <v>23</v>
      </c>
      <c r="B32" s="37" t="s">
        <v>2457</v>
      </c>
      <c r="C32" s="38" t="s">
        <v>572</v>
      </c>
      <c r="D32" s="39" t="s">
        <v>573</v>
      </c>
      <c r="E32" s="7" t="s">
        <v>7</v>
      </c>
      <c r="F32" s="8"/>
      <c r="G32" s="8"/>
      <c r="H32" s="8"/>
      <c r="I32" s="8"/>
      <c r="J32" s="8"/>
      <c r="K32" s="8"/>
      <c r="L32" s="8"/>
      <c r="M32" s="8"/>
      <c r="N32" s="8"/>
      <c r="O32" s="8"/>
      <c r="P32" s="8"/>
      <c r="Q32" s="8"/>
      <c r="R32" s="8"/>
      <c r="S32" s="8"/>
      <c r="T32" s="8"/>
      <c r="U32" s="8"/>
      <c r="V32" s="8"/>
      <c r="W32" s="8"/>
      <c r="X32" s="8"/>
      <c r="Y32" s="8"/>
      <c r="Z32" s="8"/>
      <c r="AA32" s="8"/>
      <c r="AB32" s="8"/>
      <c r="AC32" s="8"/>
      <c r="AE32" s="15" t="s">
        <v>456</v>
      </c>
      <c r="AF32" t="s">
        <v>272</v>
      </c>
      <c r="AG32">
        <v>20527197</v>
      </c>
      <c r="AH32" t="s">
        <v>273</v>
      </c>
      <c r="AI32" t="s">
        <v>6</v>
      </c>
      <c r="AJ32" t="str">
        <f t="shared" si="0"/>
        <v>MOHAMMAD IBRAN NAWAFIL</v>
      </c>
      <c r="AY32" s="4"/>
      <c r="AZ32" s="38" t="s">
        <v>572</v>
      </c>
      <c r="BA32" s="39" t="s">
        <v>573</v>
      </c>
      <c r="BB32" s="45" t="s">
        <v>7</v>
      </c>
      <c r="BC32" s="39" t="s">
        <v>574</v>
      </c>
      <c r="BD32" s="40" t="s">
        <v>575</v>
      </c>
      <c r="BE32" s="40" t="s">
        <v>561</v>
      </c>
      <c r="BF32" s="40" t="s">
        <v>518</v>
      </c>
      <c r="BG32" s="40" t="s">
        <v>457</v>
      </c>
      <c r="BH32" s="39" t="s">
        <v>475</v>
      </c>
      <c r="BJ32" s="81" t="s">
        <v>2457</v>
      </c>
      <c r="BK32" s="38" t="s">
        <v>572</v>
      </c>
      <c r="BL32" s="39" t="s">
        <v>573</v>
      </c>
      <c r="BM32" t="s">
        <v>1888</v>
      </c>
    </row>
    <row r="33" spans="1:65" ht="20.100000000000001" customHeight="1" x14ac:dyDescent="0.25">
      <c r="A33" s="4">
        <v>24</v>
      </c>
      <c r="B33" s="37" t="s">
        <v>2461</v>
      </c>
      <c r="C33" s="38" t="s">
        <v>576</v>
      </c>
      <c r="D33" s="39" t="s">
        <v>577</v>
      </c>
      <c r="E33" s="7" t="s">
        <v>7</v>
      </c>
      <c r="F33" s="8"/>
      <c r="G33" s="8"/>
      <c r="H33" s="8"/>
      <c r="I33" s="8"/>
      <c r="J33" s="8"/>
      <c r="K33" s="8"/>
      <c r="L33" s="8"/>
      <c r="M33" s="8"/>
      <c r="N33" s="8"/>
      <c r="O33" s="8"/>
      <c r="P33" s="8"/>
      <c r="Q33" s="8"/>
      <c r="R33" s="8"/>
      <c r="S33" s="8"/>
      <c r="T33" s="8"/>
      <c r="U33" s="8"/>
      <c r="V33" s="8"/>
      <c r="W33" s="8"/>
      <c r="X33" s="8"/>
      <c r="Y33" s="8"/>
      <c r="Z33" s="8"/>
      <c r="AA33" s="8"/>
      <c r="AB33" s="8"/>
      <c r="AC33" s="8"/>
      <c r="AE33" s="18" t="s">
        <v>237</v>
      </c>
      <c r="AF33" t="s">
        <v>131</v>
      </c>
      <c r="AG33">
        <v>20583367</v>
      </c>
      <c r="AH33" t="s">
        <v>132</v>
      </c>
      <c r="AI33" t="s">
        <v>6</v>
      </c>
      <c r="AJ33" t="str">
        <f t="shared" si="0"/>
        <v>MOREYNO ISWAHYUDI</v>
      </c>
      <c r="AY33" s="4"/>
      <c r="AZ33" s="38" t="s">
        <v>576</v>
      </c>
      <c r="BA33" s="39" t="s">
        <v>577</v>
      </c>
      <c r="BB33" s="45" t="s">
        <v>7</v>
      </c>
      <c r="BC33" s="39" t="s">
        <v>542</v>
      </c>
      <c r="BD33" s="40" t="s">
        <v>578</v>
      </c>
      <c r="BE33" s="40" t="s">
        <v>579</v>
      </c>
      <c r="BF33" s="40" t="s">
        <v>580</v>
      </c>
      <c r="BG33" s="40" t="s">
        <v>457</v>
      </c>
      <c r="BH33" s="39" t="s">
        <v>475</v>
      </c>
      <c r="BJ33" s="81" t="s">
        <v>2461</v>
      </c>
      <c r="BK33" s="38" t="s">
        <v>576</v>
      </c>
      <c r="BL33" s="39" t="s">
        <v>577</v>
      </c>
      <c r="BM33" t="s">
        <v>1889</v>
      </c>
    </row>
    <row r="34" spans="1:65" ht="20.100000000000001" customHeight="1" x14ac:dyDescent="0.25">
      <c r="A34" s="4">
        <v>25</v>
      </c>
      <c r="B34" s="37" t="s">
        <v>2475</v>
      </c>
      <c r="C34" s="38" t="s">
        <v>581</v>
      </c>
      <c r="D34" s="39" t="s">
        <v>582</v>
      </c>
      <c r="E34" s="7" t="s">
        <v>6</v>
      </c>
      <c r="F34" s="8"/>
      <c r="G34" s="8"/>
      <c r="H34" s="8"/>
      <c r="I34" s="8"/>
      <c r="J34" s="8"/>
      <c r="K34" s="8"/>
      <c r="L34" s="8"/>
      <c r="M34" s="8"/>
      <c r="N34" s="8"/>
      <c r="O34" s="8"/>
      <c r="P34" s="8"/>
      <c r="Q34" s="8"/>
      <c r="R34" s="8"/>
      <c r="S34" s="8"/>
      <c r="T34" s="8"/>
      <c r="U34" s="8"/>
      <c r="V34" s="8"/>
      <c r="W34" s="8"/>
      <c r="X34" s="8"/>
      <c r="Y34" s="8"/>
      <c r="Z34" s="8"/>
      <c r="AA34" s="8"/>
      <c r="AB34" s="8"/>
      <c r="AC34" s="8"/>
      <c r="AE34" s="18" t="s">
        <v>237</v>
      </c>
      <c r="AF34" t="s">
        <v>197</v>
      </c>
      <c r="AG34">
        <v>20527197</v>
      </c>
      <c r="AH34" t="s">
        <v>198</v>
      </c>
      <c r="AI34" t="s">
        <v>6</v>
      </c>
      <c r="AJ34" t="str">
        <f t="shared" si="0"/>
        <v>MUTIARA NOER ISLAMI</v>
      </c>
      <c r="AY34" s="4"/>
      <c r="AZ34" s="38" t="s">
        <v>581</v>
      </c>
      <c r="BA34" s="39" t="s">
        <v>582</v>
      </c>
      <c r="BB34" s="45" t="s">
        <v>6</v>
      </c>
      <c r="BC34" s="39" t="s">
        <v>583</v>
      </c>
      <c r="BD34" s="40">
        <v>89.43</v>
      </c>
      <c r="BE34" s="40">
        <v>65</v>
      </c>
      <c r="BF34" s="40">
        <v>79.66</v>
      </c>
      <c r="BG34" s="40" t="s">
        <v>457</v>
      </c>
      <c r="BH34" s="39" t="s">
        <v>475</v>
      </c>
      <c r="BJ34" s="81" t="s">
        <v>2475</v>
      </c>
      <c r="BK34" s="38" t="s">
        <v>581</v>
      </c>
      <c r="BL34" s="39" t="s">
        <v>582</v>
      </c>
      <c r="BM34" t="s">
        <v>1890</v>
      </c>
    </row>
    <row r="35" spans="1:65" ht="20.100000000000001" customHeight="1" x14ac:dyDescent="0.25">
      <c r="A35" s="4">
        <v>26</v>
      </c>
      <c r="B35" s="37" t="s">
        <v>2486</v>
      </c>
      <c r="C35" s="38" t="s">
        <v>584</v>
      </c>
      <c r="D35" s="39" t="s">
        <v>585</v>
      </c>
      <c r="E35" s="7" t="s">
        <v>6</v>
      </c>
      <c r="F35" s="8"/>
      <c r="G35" s="8"/>
      <c r="H35" s="8"/>
      <c r="I35" s="8"/>
      <c r="J35" s="8"/>
      <c r="K35" s="8"/>
      <c r="L35" s="8"/>
      <c r="M35" s="8"/>
      <c r="N35" s="8"/>
      <c r="O35" s="8"/>
      <c r="P35" s="8"/>
      <c r="Q35" s="8"/>
      <c r="R35" s="8"/>
      <c r="S35" s="8"/>
      <c r="T35" s="8"/>
      <c r="U35" s="8"/>
      <c r="V35" s="8"/>
      <c r="W35" s="8"/>
      <c r="X35" s="8"/>
      <c r="Y35" s="8"/>
      <c r="Z35" s="8"/>
      <c r="AA35" s="8"/>
      <c r="AB35" s="8"/>
      <c r="AC35" s="8"/>
      <c r="AE35" s="15" t="s">
        <v>456</v>
      </c>
      <c r="AF35" t="s">
        <v>433</v>
      </c>
      <c r="AG35">
        <v>20527180</v>
      </c>
      <c r="AH35" t="s">
        <v>434</v>
      </c>
      <c r="AI35" t="s">
        <v>6</v>
      </c>
      <c r="AJ35" t="str">
        <f t="shared" si="0"/>
        <v>NAJWA ZAHRA RAYHANA</v>
      </c>
      <c r="AY35" s="4"/>
      <c r="AZ35" s="38" t="s">
        <v>584</v>
      </c>
      <c r="BA35" s="39" t="s">
        <v>585</v>
      </c>
      <c r="BB35" s="45" t="s">
        <v>6</v>
      </c>
      <c r="BC35" s="39" t="s">
        <v>494</v>
      </c>
      <c r="BD35" s="40">
        <v>88.69</v>
      </c>
      <c r="BE35" s="40">
        <v>61.67</v>
      </c>
      <c r="BF35" s="40">
        <v>77.88</v>
      </c>
      <c r="BG35" s="40" t="s">
        <v>457</v>
      </c>
      <c r="BH35" s="39" t="s">
        <v>475</v>
      </c>
      <c r="BJ35" s="81" t="s">
        <v>2486</v>
      </c>
      <c r="BK35" s="38" t="s">
        <v>584</v>
      </c>
      <c r="BL35" s="39" t="s">
        <v>585</v>
      </c>
      <c r="BM35" t="s">
        <v>1891</v>
      </c>
    </row>
    <row r="36" spans="1:65" ht="20.100000000000001" customHeight="1" x14ac:dyDescent="0.25">
      <c r="A36" s="4">
        <v>27</v>
      </c>
      <c r="B36" s="37" t="s">
        <v>2520</v>
      </c>
      <c r="C36" s="38" t="s">
        <v>586</v>
      </c>
      <c r="D36" s="39" t="s">
        <v>587</v>
      </c>
      <c r="E36" s="7" t="s">
        <v>6</v>
      </c>
      <c r="F36" s="8"/>
      <c r="G36" s="8"/>
      <c r="H36" s="8"/>
      <c r="I36" s="8"/>
      <c r="J36" s="8"/>
      <c r="K36" s="8"/>
      <c r="L36" s="8"/>
      <c r="M36" s="8"/>
      <c r="N36" s="8"/>
      <c r="O36" s="8"/>
      <c r="P36" s="8"/>
      <c r="Q36" s="8"/>
      <c r="R36" s="8"/>
      <c r="S36" s="8"/>
      <c r="T36" s="8"/>
      <c r="U36" s="8"/>
      <c r="V36" s="8"/>
      <c r="W36" s="8"/>
      <c r="X36" s="8"/>
      <c r="Y36" s="8"/>
      <c r="Z36" s="8"/>
      <c r="AA36" s="8"/>
      <c r="AB36" s="8"/>
      <c r="AC36" s="8"/>
      <c r="AE36" s="17" t="s">
        <v>128</v>
      </c>
      <c r="AF36" t="s">
        <v>94</v>
      </c>
      <c r="AG36">
        <v>20527197</v>
      </c>
      <c r="AH36" t="s">
        <v>95</v>
      </c>
      <c r="AI36" t="s">
        <v>7</v>
      </c>
      <c r="AJ36" t="str">
        <f t="shared" si="0"/>
        <v>RAISYA AURELIA JAKSANTO</v>
      </c>
      <c r="AY36" s="4"/>
      <c r="AZ36" s="38" t="s">
        <v>586</v>
      </c>
      <c r="BA36" s="39" t="s">
        <v>587</v>
      </c>
      <c r="BB36" s="45" t="s">
        <v>6</v>
      </c>
      <c r="BC36" s="39" t="s">
        <v>588</v>
      </c>
      <c r="BD36" s="40">
        <v>89.11</v>
      </c>
      <c r="BE36" s="40">
        <v>66.67</v>
      </c>
      <c r="BF36" s="40">
        <v>77.89</v>
      </c>
      <c r="BG36" s="40" t="s">
        <v>457</v>
      </c>
      <c r="BH36" s="39" t="s">
        <v>589</v>
      </c>
      <c r="BJ36" s="81" t="s">
        <v>2520</v>
      </c>
      <c r="BK36" s="38" t="s">
        <v>586</v>
      </c>
      <c r="BL36" s="39" t="s">
        <v>587</v>
      </c>
      <c r="BM36" t="s">
        <v>1892</v>
      </c>
    </row>
    <row r="37" spans="1:65" ht="20.100000000000001" customHeight="1" x14ac:dyDescent="0.25">
      <c r="A37" s="4">
        <v>28</v>
      </c>
      <c r="B37" s="37" t="s">
        <v>2521</v>
      </c>
      <c r="C37" s="42" t="s">
        <v>1851</v>
      </c>
      <c r="D37" s="39" t="s">
        <v>590</v>
      </c>
      <c r="E37" s="7" t="s">
        <v>6</v>
      </c>
      <c r="F37" s="8"/>
      <c r="G37" s="8"/>
      <c r="H37" s="8"/>
      <c r="I37" s="8"/>
      <c r="J37" s="8"/>
      <c r="K37" s="8"/>
      <c r="L37" s="8"/>
      <c r="M37" s="8"/>
      <c r="N37" s="8"/>
      <c r="O37" s="8"/>
      <c r="P37" s="8"/>
      <c r="Q37" s="8"/>
      <c r="R37" s="8"/>
      <c r="S37" s="8"/>
      <c r="T37" s="8"/>
      <c r="U37" s="8"/>
      <c r="V37" s="8"/>
      <c r="W37" s="8"/>
      <c r="X37" s="8"/>
      <c r="Y37" s="8"/>
      <c r="Z37" s="8"/>
      <c r="AA37" s="8"/>
      <c r="AB37" s="8"/>
      <c r="AC37" s="8"/>
      <c r="AJ37" t="str">
        <f t="shared" si="0"/>
        <v>RAISYA TRI YUNIAR HERMITA SARI</v>
      </c>
      <c r="AY37" s="4"/>
      <c r="AZ37" s="38">
        <v>31092433519</v>
      </c>
      <c r="BA37" s="39" t="s">
        <v>590</v>
      </c>
      <c r="BB37" s="45" t="s">
        <v>6</v>
      </c>
      <c r="BC37" s="39" t="s">
        <v>591</v>
      </c>
      <c r="BD37" s="40" t="s">
        <v>592</v>
      </c>
      <c r="BE37" s="40" t="s">
        <v>593</v>
      </c>
      <c r="BF37" s="40" t="s">
        <v>594</v>
      </c>
      <c r="BG37" s="40" t="s">
        <v>457</v>
      </c>
      <c r="BH37" s="39" t="s">
        <v>475</v>
      </c>
      <c r="BJ37" s="81" t="s">
        <v>2521</v>
      </c>
      <c r="BK37" s="42" t="s">
        <v>1851</v>
      </c>
      <c r="BL37" s="39" t="s">
        <v>590</v>
      </c>
      <c r="BM37" t="s">
        <v>1893</v>
      </c>
    </row>
    <row r="38" spans="1:65" ht="20.100000000000001" customHeight="1" x14ac:dyDescent="0.25">
      <c r="A38" s="4">
        <v>29</v>
      </c>
      <c r="B38" s="37" t="s">
        <v>2535</v>
      </c>
      <c r="C38" s="38" t="s">
        <v>595</v>
      </c>
      <c r="D38" s="39" t="s">
        <v>596</v>
      </c>
      <c r="E38" s="7" t="s">
        <v>7</v>
      </c>
      <c r="F38" s="8"/>
      <c r="G38" s="8"/>
      <c r="H38" s="8"/>
      <c r="I38" s="8"/>
      <c r="J38" s="8"/>
      <c r="K38" s="8"/>
      <c r="L38" s="8"/>
      <c r="M38" s="8"/>
      <c r="N38" s="8"/>
      <c r="O38" s="8"/>
      <c r="P38" s="8"/>
      <c r="Q38" s="8"/>
      <c r="R38" s="8"/>
      <c r="S38" s="8"/>
      <c r="T38" s="8"/>
      <c r="U38" s="8"/>
      <c r="V38" s="8"/>
      <c r="W38" s="8"/>
      <c r="X38" s="8"/>
      <c r="Y38" s="8"/>
      <c r="Z38" s="8"/>
      <c r="AA38" s="8"/>
      <c r="AB38" s="8"/>
      <c r="AC38" s="8"/>
      <c r="AJ38" t="str">
        <f t="shared" si="0"/>
        <v>RIZKY FEBRIYAN MAULANA</v>
      </c>
      <c r="AY38" s="4"/>
      <c r="AZ38" s="38" t="s">
        <v>595</v>
      </c>
      <c r="BA38" s="39" t="s">
        <v>596</v>
      </c>
      <c r="BB38" s="45" t="s">
        <v>7</v>
      </c>
      <c r="BC38" s="39" t="s">
        <v>597</v>
      </c>
      <c r="BD38" s="40" t="s">
        <v>598</v>
      </c>
      <c r="BE38" s="40" t="s">
        <v>599</v>
      </c>
      <c r="BF38" s="40" t="s">
        <v>600</v>
      </c>
      <c r="BG38" s="40" t="s">
        <v>457</v>
      </c>
      <c r="BH38" s="39" t="s">
        <v>475</v>
      </c>
      <c r="BJ38" s="81" t="s">
        <v>2535</v>
      </c>
      <c r="BK38" s="38" t="s">
        <v>595</v>
      </c>
      <c r="BL38" s="39" t="s">
        <v>596</v>
      </c>
      <c r="BM38" t="s">
        <v>1894</v>
      </c>
    </row>
    <row r="39" spans="1:65" ht="20.100000000000001" customHeight="1" x14ac:dyDescent="0.25">
      <c r="A39" s="4">
        <v>30</v>
      </c>
      <c r="B39" s="37" t="s">
        <v>2550</v>
      </c>
      <c r="C39" s="38" t="s">
        <v>601</v>
      </c>
      <c r="D39" s="39" t="s">
        <v>602</v>
      </c>
      <c r="E39" s="7" t="s">
        <v>6</v>
      </c>
      <c r="F39" s="8"/>
      <c r="G39" s="8"/>
      <c r="H39" s="8"/>
      <c r="I39" s="8"/>
      <c r="J39" s="8"/>
      <c r="K39" s="8"/>
      <c r="L39" s="8"/>
      <c r="M39" s="8"/>
      <c r="N39" s="8"/>
      <c r="O39" s="8"/>
      <c r="P39" s="8"/>
      <c r="Q39" s="8"/>
      <c r="R39" s="8"/>
      <c r="S39" s="8"/>
      <c r="T39" s="8"/>
      <c r="U39" s="8"/>
      <c r="V39" s="8"/>
      <c r="W39" s="8"/>
      <c r="X39" s="8"/>
      <c r="Y39" s="8"/>
      <c r="Z39" s="8"/>
      <c r="AA39" s="8"/>
      <c r="AB39" s="8"/>
      <c r="AC39" s="8"/>
      <c r="AJ39" t="str">
        <f t="shared" si="0"/>
        <v>SAMARA MAJDA WACHDIN</v>
      </c>
      <c r="AY39" s="4"/>
      <c r="AZ39" s="38" t="s">
        <v>601</v>
      </c>
      <c r="BA39" s="39" t="s">
        <v>602</v>
      </c>
      <c r="BB39" s="45" t="s">
        <v>6</v>
      </c>
      <c r="BC39" s="39" t="s">
        <v>603</v>
      </c>
      <c r="BD39" s="40" t="s">
        <v>604</v>
      </c>
      <c r="BE39" s="40" t="s">
        <v>605</v>
      </c>
      <c r="BF39" s="40" t="s">
        <v>606</v>
      </c>
      <c r="BG39" s="40" t="s">
        <v>457</v>
      </c>
      <c r="BH39" s="39" t="s">
        <v>475</v>
      </c>
      <c r="BJ39" s="81" t="s">
        <v>2550</v>
      </c>
      <c r="BK39" s="38" t="s">
        <v>601</v>
      </c>
      <c r="BL39" s="39" t="s">
        <v>602</v>
      </c>
      <c r="BM39" t="s">
        <v>1895</v>
      </c>
    </row>
    <row r="40" spans="1:65" ht="20.100000000000001" customHeight="1" x14ac:dyDescent="0.25">
      <c r="A40" s="4">
        <v>31</v>
      </c>
      <c r="B40" s="37" t="s">
        <v>2552</v>
      </c>
      <c r="C40" s="38" t="s">
        <v>607</v>
      </c>
      <c r="D40" s="39" t="s">
        <v>608</v>
      </c>
      <c r="E40" s="7" t="s">
        <v>7</v>
      </c>
      <c r="F40" s="8"/>
      <c r="G40" s="8"/>
      <c r="H40" s="8"/>
      <c r="I40" s="8"/>
      <c r="J40" s="8"/>
      <c r="K40" s="8"/>
      <c r="L40" s="8"/>
      <c r="M40" s="8"/>
      <c r="N40" s="8"/>
      <c r="O40" s="8"/>
      <c r="P40" s="8"/>
      <c r="Q40" s="8"/>
      <c r="R40" s="8"/>
      <c r="S40" s="8"/>
      <c r="T40" s="8"/>
      <c r="U40" s="8"/>
      <c r="V40" s="8"/>
      <c r="W40" s="8"/>
      <c r="X40" s="8"/>
      <c r="Y40" s="8"/>
      <c r="Z40" s="8"/>
      <c r="AA40" s="8"/>
      <c r="AB40" s="8"/>
      <c r="AC40" s="8"/>
      <c r="AJ40" t="str">
        <f t="shared" si="0"/>
        <v>SATRIA NOVAN PERWIRA</v>
      </c>
      <c r="AY40" s="4"/>
      <c r="AZ40" s="38" t="s">
        <v>607</v>
      </c>
      <c r="BA40" s="39" t="s">
        <v>608</v>
      </c>
      <c r="BB40" s="45" t="s">
        <v>7</v>
      </c>
      <c r="BC40" s="39" t="s">
        <v>609</v>
      </c>
      <c r="BD40" s="40" t="s">
        <v>610</v>
      </c>
      <c r="BE40" s="40" t="s">
        <v>512</v>
      </c>
      <c r="BF40" s="40" t="s">
        <v>611</v>
      </c>
      <c r="BG40" s="40" t="s">
        <v>457</v>
      </c>
      <c r="BH40" s="39" t="s">
        <v>525</v>
      </c>
      <c r="BJ40" s="81" t="s">
        <v>2552</v>
      </c>
      <c r="BK40" s="38" t="s">
        <v>607</v>
      </c>
      <c r="BL40" s="39" t="s">
        <v>608</v>
      </c>
      <c r="BM40" t="s">
        <v>1896</v>
      </c>
    </row>
    <row r="41" spans="1:65" ht="20.100000000000001" customHeight="1" x14ac:dyDescent="0.25">
      <c r="A41" s="4">
        <v>32</v>
      </c>
      <c r="B41" s="37" t="s">
        <v>2555</v>
      </c>
      <c r="C41" s="38" t="s">
        <v>612</v>
      </c>
      <c r="D41" s="39" t="s">
        <v>613</v>
      </c>
      <c r="E41" s="7" t="s">
        <v>6</v>
      </c>
      <c r="F41" s="8"/>
      <c r="G41" s="8"/>
      <c r="H41" s="8"/>
      <c r="I41" s="8"/>
      <c r="J41" s="8"/>
      <c r="K41" s="8"/>
      <c r="L41" s="8"/>
      <c r="M41" s="8"/>
      <c r="N41" s="8"/>
      <c r="O41" s="8"/>
      <c r="P41" s="8"/>
      <c r="Q41" s="8"/>
      <c r="R41" s="8"/>
      <c r="S41" s="8"/>
      <c r="T41" s="8"/>
      <c r="U41" s="8"/>
      <c r="V41" s="8"/>
      <c r="W41" s="8"/>
      <c r="X41" s="8"/>
      <c r="Y41" s="8"/>
      <c r="Z41" s="8"/>
      <c r="AA41" s="8"/>
      <c r="AB41" s="8"/>
      <c r="AC41" s="8"/>
      <c r="AJ41" t="str">
        <f t="shared" si="0"/>
        <v>SHABRINA HANDAYANI</v>
      </c>
      <c r="AY41" s="4"/>
      <c r="AZ41" s="38" t="s">
        <v>612</v>
      </c>
      <c r="BA41" s="39" t="s">
        <v>613</v>
      </c>
      <c r="BB41" s="45" t="s">
        <v>6</v>
      </c>
      <c r="BC41" s="39" t="s">
        <v>614</v>
      </c>
      <c r="BD41" s="40" t="s">
        <v>615</v>
      </c>
      <c r="BE41" s="40" t="s">
        <v>512</v>
      </c>
      <c r="BF41" s="40" t="s">
        <v>616</v>
      </c>
      <c r="BG41" s="40" t="s">
        <v>457</v>
      </c>
      <c r="BH41" s="39" t="s">
        <v>475</v>
      </c>
      <c r="BJ41" s="81" t="s">
        <v>2555</v>
      </c>
      <c r="BK41" s="38" t="s">
        <v>612</v>
      </c>
      <c r="BL41" s="39" t="s">
        <v>613</v>
      </c>
      <c r="BM41" t="s">
        <v>1897</v>
      </c>
    </row>
    <row r="42" spans="1:65" ht="20.100000000000001" customHeight="1" x14ac:dyDescent="0.25">
      <c r="A42" s="4">
        <v>33</v>
      </c>
      <c r="B42" s="37" t="s">
        <v>2565</v>
      </c>
      <c r="C42" s="38" t="s">
        <v>617</v>
      </c>
      <c r="D42" s="39" t="s">
        <v>618</v>
      </c>
      <c r="E42" s="7" t="s">
        <v>6</v>
      </c>
      <c r="F42" s="8"/>
      <c r="G42" s="8"/>
      <c r="H42" s="8"/>
      <c r="I42" s="8"/>
      <c r="J42" s="8"/>
      <c r="K42" s="8"/>
      <c r="L42" s="8"/>
      <c r="M42" s="8"/>
      <c r="N42" s="8"/>
      <c r="O42" s="8"/>
      <c r="P42" s="8"/>
      <c r="Q42" s="8"/>
      <c r="R42" s="8"/>
      <c r="S42" s="8"/>
      <c r="T42" s="8"/>
      <c r="U42" s="8"/>
      <c r="V42" s="8"/>
      <c r="W42" s="8"/>
      <c r="X42" s="8"/>
      <c r="Y42" s="8"/>
      <c r="Z42" s="8"/>
      <c r="AA42" s="8"/>
      <c r="AB42" s="8"/>
      <c r="AC42" s="8"/>
      <c r="AJ42" t="str">
        <f t="shared" si="0"/>
        <v>TALITHA SHAFIYYAH ARGIYANTI</v>
      </c>
      <c r="AY42" s="4"/>
      <c r="AZ42" s="38" t="s">
        <v>617</v>
      </c>
      <c r="BA42" s="39" t="s">
        <v>618</v>
      </c>
      <c r="BB42" s="45" t="s">
        <v>6</v>
      </c>
      <c r="BC42" s="39" t="s">
        <v>619</v>
      </c>
      <c r="BD42" s="40" t="s">
        <v>578</v>
      </c>
      <c r="BE42" s="40" t="s">
        <v>548</v>
      </c>
      <c r="BF42" s="40" t="s">
        <v>620</v>
      </c>
      <c r="BG42" s="40" t="s">
        <v>457</v>
      </c>
      <c r="BH42" s="39" t="s">
        <v>475</v>
      </c>
      <c r="BJ42" s="81" t="s">
        <v>2565</v>
      </c>
      <c r="BK42" s="38" t="s">
        <v>617</v>
      </c>
      <c r="BL42" s="39" t="s">
        <v>618</v>
      </c>
      <c r="BM42" t="s">
        <v>1898</v>
      </c>
    </row>
    <row r="43" spans="1:65" ht="20.100000000000001" customHeight="1" x14ac:dyDescent="0.25">
      <c r="A43" s="4">
        <v>34</v>
      </c>
      <c r="B43" s="37" t="s">
        <v>2580</v>
      </c>
      <c r="C43" s="38" t="s">
        <v>621</v>
      </c>
      <c r="D43" s="39" t="s">
        <v>622</v>
      </c>
      <c r="E43" s="7" t="s">
        <v>7</v>
      </c>
      <c r="F43" s="8"/>
      <c r="G43" s="8"/>
      <c r="H43" s="8"/>
      <c r="I43" s="8"/>
      <c r="J43" s="8"/>
      <c r="K43" s="8"/>
      <c r="L43" s="8"/>
      <c r="M43" s="8"/>
      <c r="N43" s="8"/>
      <c r="O43" s="8"/>
      <c r="P43" s="8"/>
      <c r="Q43" s="8"/>
      <c r="R43" s="8"/>
      <c r="S43" s="8"/>
      <c r="T43" s="8"/>
      <c r="U43" s="8"/>
      <c r="V43" s="8"/>
      <c r="W43" s="8"/>
      <c r="X43" s="8"/>
      <c r="Y43" s="8"/>
      <c r="Z43" s="8"/>
      <c r="AA43" s="8"/>
      <c r="AB43" s="8"/>
      <c r="AC43" s="8"/>
      <c r="AJ43" t="str">
        <f t="shared" si="0"/>
        <v>YARIS SULISTIO</v>
      </c>
      <c r="AY43" s="4"/>
      <c r="AZ43" s="38" t="s">
        <v>621</v>
      </c>
      <c r="BA43" s="39" t="s">
        <v>622</v>
      </c>
      <c r="BB43" s="45" t="s">
        <v>7</v>
      </c>
      <c r="BC43" s="39" t="s">
        <v>623</v>
      </c>
      <c r="BD43" s="40" t="s">
        <v>624</v>
      </c>
      <c r="BE43" s="40" t="s">
        <v>473</v>
      </c>
      <c r="BF43" s="40" t="s">
        <v>625</v>
      </c>
      <c r="BG43" s="40" t="s">
        <v>457</v>
      </c>
      <c r="BH43" s="39" t="s">
        <v>626</v>
      </c>
      <c r="BJ43" s="81" t="s">
        <v>2580</v>
      </c>
      <c r="BK43" s="38" t="s">
        <v>621</v>
      </c>
      <c r="BL43" s="39" t="s">
        <v>622</v>
      </c>
      <c r="BM43" t="s">
        <v>1899</v>
      </c>
    </row>
    <row r="44" spans="1:65" ht="20.100000000000001" customHeight="1" x14ac:dyDescent="0.25">
      <c r="A44" s="4">
        <v>35</v>
      </c>
      <c r="B44" s="37" t="s">
        <v>2591</v>
      </c>
      <c r="C44" s="38" t="s">
        <v>627</v>
      </c>
      <c r="D44" s="39" t="s">
        <v>628</v>
      </c>
      <c r="E44" s="7" t="s">
        <v>7</v>
      </c>
      <c r="F44" s="8"/>
      <c r="G44" s="8"/>
      <c r="H44" s="8"/>
      <c r="I44" s="8"/>
      <c r="J44" s="8"/>
      <c r="K44" s="8"/>
      <c r="L44" s="8"/>
      <c r="M44" s="8"/>
      <c r="N44" s="8"/>
      <c r="O44" s="8"/>
      <c r="P44" s="8"/>
      <c r="Q44" s="8"/>
      <c r="R44" s="8"/>
      <c r="S44" s="8"/>
      <c r="T44" s="8"/>
      <c r="U44" s="8"/>
      <c r="V44" s="8"/>
      <c r="W44" s="8"/>
      <c r="X44" s="8"/>
      <c r="Y44" s="8"/>
      <c r="Z44" s="8"/>
      <c r="AA44" s="8"/>
      <c r="AB44" s="8"/>
      <c r="AC44" s="8"/>
      <c r="AJ44" t="str">
        <f t="shared" si="0"/>
        <v>ZAIDANE ASADIL RAFIE ALFAZARI</v>
      </c>
      <c r="AY44" s="4"/>
      <c r="AZ44" s="38" t="s">
        <v>627</v>
      </c>
      <c r="BA44" s="39" t="s">
        <v>628</v>
      </c>
      <c r="BB44" s="45" t="s">
        <v>7</v>
      </c>
      <c r="BC44" s="39" t="s">
        <v>478</v>
      </c>
      <c r="BD44" s="40" t="s">
        <v>629</v>
      </c>
      <c r="BE44" s="40" t="s">
        <v>548</v>
      </c>
      <c r="BF44" s="40" t="s">
        <v>630</v>
      </c>
      <c r="BG44" s="40" t="s">
        <v>457</v>
      </c>
      <c r="BH44" s="39" t="s">
        <v>631</v>
      </c>
      <c r="BJ44" s="81" t="s">
        <v>2591</v>
      </c>
      <c r="BK44" s="38" t="s">
        <v>627</v>
      </c>
      <c r="BL44" s="39" t="s">
        <v>628</v>
      </c>
      <c r="BM44" t="s">
        <v>1900</v>
      </c>
    </row>
    <row r="45" spans="1:65" ht="20.100000000000001" customHeight="1" x14ac:dyDescent="0.25">
      <c r="A45" s="4">
        <v>36</v>
      </c>
      <c r="B45" s="37" t="s">
        <v>2596</v>
      </c>
      <c r="C45" s="38" t="s">
        <v>632</v>
      </c>
      <c r="D45" s="39" t="s">
        <v>633</v>
      </c>
      <c r="E45" s="7" t="s">
        <v>6</v>
      </c>
      <c r="F45" s="8"/>
      <c r="G45" s="8"/>
      <c r="H45" s="8"/>
      <c r="I45" s="8"/>
      <c r="J45" s="8"/>
      <c r="K45" s="8"/>
      <c r="L45" s="8"/>
      <c r="M45" s="8"/>
      <c r="N45" s="8"/>
      <c r="O45" s="8"/>
      <c r="P45" s="8"/>
      <c r="Q45" s="8"/>
      <c r="R45" s="8"/>
      <c r="S45" s="8"/>
      <c r="T45" s="8"/>
      <c r="U45" s="8"/>
      <c r="V45" s="8"/>
      <c r="W45" s="8"/>
      <c r="X45" s="8"/>
      <c r="Y45" s="8"/>
      <c r="Z45" s="8"/>
      <c r="AA45" s="8"/>
      <c r="AB45" s="8"/>
      <c r="AC45" s="8"/>
      <c r="AJ45" t="str">
        <f t="shared" si="0"/>
        <v>ZULFA NURIL MAWADDAH</v>
      </c>
      <c r="AY45" s="4"/>
      <c r="AZ45" s="38" t="s">
        <v>632</v>
      </c>
      <c r="BA45" s="39" t="s">
        <v>633</v>
      </c>
      <c r="BB45" s="45" t="s">
        <v>6</v>
      </c>
      <c r="BC45" s="39" t="s">
        <v>634</v>
      </c>
      <c r="BD45" s="40" t="s">
        <v>635</v>
      </c>
      <c r="BE45" s="40" t="s">
        <v>636</v>
      </c>
      <c r="BF45" s="40" t="s">
        <v>637</v>
      </c>
      <c r="BG45" s="40" t="s">
        <v>457</v>
      </c>
      <c r="BH45" s="39" t="s">
        <v>638</v>
      </c>
      <c r="BJ45" s="81" t="s">
        <v>2596</v>
      </c>
      <c r="BK45" s="38" t="s">
        <v>632</v>
      </c>
      <c r="BL45" s="39" t="s">
        <v>633</v>
      </c>
      <c r="BM45" t="s">
        <v>1901</v>
      </c>
    </row>
    <row r="46" spans="1:65" ht="20.100000000000001" customHeight="1" x14ac:dyDescent="0.25">
      <c r="A46" s="58" t="s">
        <v>8</v>
      </c>
      <c r="B46" s="58"/>
      <c r="C46" s="58"/>
      <c r="D46" s="10" t="s">
        <v>9</v>
      </c>
      <c r="E46" s="8">
        <f>COUNTIFS($E$10:$E$45,"L")</f>
        <v>12</v>
      </c>
      <c r="F46" s="8"/>
      <c r="G46" s="8"/>
      <c r="H46" s="8"/>
      <c r="I46" s="8"/>
      <c r="J46" s="8"/>
      <c r="K46" s="8"/>
      <c r="L46" s="8"/>
      <c r="M46" s="8"/>
      <c r="N46" s="8"/>
      <c r="O46" s="8"/>
      <c r="P46" s="8"/>
      <c r="Q46" s="8"/>
      <c r="R46" s="8"/>
      <c r="S46" s="8"/>
      <c r="T46" s="8"/>
      <c r="U46" s="8"/>
      <c r="V46" s="8"/>
      <c r="W46" s="8"/>
      <c r="X46" s="8"/>
      <c r="Y46" s="8"/>
      <c r="Z46" s="8"/>
      <c r="AA46" s="8"/>
      <c r="AB46" s="8"/>
      <c r="AC46" s="8"/>
      <c r="AJ46" t="str">
        <f t="shared" si="0"/>
        <v>L :</v>
      </c>
    </row>
    <row r="47" spans="1:65" ht="20.100000000000001" customHeight="1" x14ac:dyDescent="0.25">
      <c r="A47" s="58" t="s">
        <v>10</v>
      </c>
      <c r="B47" s="58"/>
      <c r="C47" s="58"/>
      <c r="D47" s="10" t="s">
        <v>11</v>
      </c>
      <c r="E47" s="8">
        <f>COUNTIFS($E$10:$E$45,"P")</f>
        <v>24</v>
      </c>
      <c r="F47" s="8"/>
      <c r="G47" s="8"/>
      <c r="H47" s="8"/>
      <c r="I47" s="8"/>
      <c r="J47" s="8"/>
      <c r="K47" s="8"/>
      <c r="L47" s="8"/>
      <c r="M47" s="8"/>
      <c r="N47" s="8"/>
      <c r="O47" s="8"/>
      <c r="P47" s="8"/>
      <c r="Q47" s="8"/>
      <c r="R47" s="8"/>
      <c r="S47" s="8"/>
      <c r="T47" s="8"/>
      <c r="U47" s="8"/>
      <c r="V47" s="8"/>
      <c r="W47" s="8"/>
      <c r="X47" s="8"/>
      <c r="Y47" s="8"/>
      <c r="Z47" s="8"/>
      <c r="AA47" s="8"/>
      <c r="AB47" s="8"/>
      <c r="AC47" s="8"/>
      <c r="AJ47" t="str">
        <f t="shared" si="0"/>
        <v>P :</v>
      </c>
    </row>
    <row r="48" spans="1:65" ht="20.100000000000001" customHeight="1"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BB10:BB28 BB30:BB42">
    <cfRule type="colorScale" priority="3">
      <colorScale>
        <cfvo type="min"/>
        <cfvo type="max"/>
        <color rgb="FFFCFCFF"/>
        <color rgb="FF63BE7B"/>
      </colorScale>
    </cfRule>
    <cfRule type="duplicateValues" dxfId="88" priority="4"/>
  </conditionalFormatting>
  <conditionalFormatting sqref="BB29">
    <cfRule type="colorScale" priority="5">
      <colorScale>
        <cfvo type="min"/>
        <cfvo type="max"/>
        <color rgb="FFFCFCFF"/>
        <color rgb="FF63BE7B"/>
      </colorScale>
    </cfRule>
    <cfRule type="duplicateValues" dxfId="87" priority="6"/>
  </conditionalFormatting>
  <conditionalFormatting sqref="BB43:BB45">
    <cfRule type="colorScale" priority="1">
      <colorScale>
        <cfvo type="min"/>
        <cfvo type="max"/>
        <color rgb="FFFCFCFF"/>
        <color rgb="FF63BE7B"/>
      </colorScale>
    </cfRule>
    <cfRule type="duplicateValues" dxfId="86" priority="2"/>
  </conditionalFormatting>
  <pageMargins left="0.62992125984251968" right="0" top="0.43307086614173229" bottom="0.62992125984251968" header="0.31496062992125984" footer="0.31496062992125984"/>
  <pageSetup paperSize="5" scale="8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48"/>
  <sheetViews>
    <sheetView topLeftCell="A34" workbookViewId="0">
      <selection activeCell="B10" sqref="B10:B45"/>
    </sheetView>
  </sheetViews>
  <sheetFormatPr defaultColWidth="3.28515625" defaultRowHeight="15" x14ac:dyDescent="0.25"/>
  <cols>
    <col min="1" max="1" width="4.28515625" customWidth="1"/>
    <col min="2" max="2" width="5.7109375" customWidth="1"/>
    <col min="3" max="3" width="12" customWidth="1"/>
    <col min="4" max="4" width="30.85546875" customWidth="1"/>
    <col min="5" max="5" width="3.7109375" bestFit="1" customWidth="1"/>
    <col min="6" max="29" width="2.7109375" customWidth="1"/>
    <col min="32" max="32" width="9.42578125" hidden="1" customWidth="1"/>
    <col min="33" max="33" width="11" hidden="1" customWidth="1"/>
    <col min="34" max="34" width="9" hidden="1" customWidth="1"/>
    <col min="35" max="46" width="0" hidden="1" customWidth="1"/>
    <col min="48" max="48" width="13.85546875" customWidth="1"/>
    <col min="49" max="49" width="11.28515625" customWidth="1"/>
    <col min="50" max="50" width="22.42578125" customWidth="1"/>
    <col min="51" max="51" width="5.28515625" customWidth="1"/>
    <col min="58" max="58" width="6.7109375" customWidth="1"/>
    <col min="59" max="59" width="9.7109375" customWidth="1"/>
    <col min="60" max="60" width="7.85546875" customWidth="1"/>
  </cols>
  <sheetData>
    <row r="1" spans="1:60"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F1" s="14" t="s">
        <v>93</v>
      </c>
      <c r="AG1" t="s">
        <v>79</v>
      </c>
      <c r="AH1">
        <v>20566545</v>
      </c>
      <c r="AI1" t="s">
        <v>80</v>
      </c>
      <c r="AJ1" t="s">
        <v>6</v>
      </c>
    </row>
    <row r="2" spans="1:60"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F2" s="18" t="s">
        <v>237</v>
      </c>
      <c r="AG2" t="s">
        <v>187</v>
      </c>
      <c r="AH2">
        <v>20583363</v>
      </c>
      <c r="AI2" t="s">
        <v>188</v>
      </c>
      <c r="AJ2" t="s">
        <v>7</v>
      </c>
    </row>
    <row r="3" spans="1:60"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F3" s="13" t="s">
        <v>40</v>
      </c>
      <c r="AG3" t="s">
        <v>20</v>
      </c>
      <c r="AH3">
        <v>20537422</v>
      </c>
      <c r="AI3" t="s">
        <v>21</v>
      </c>
      <c r="AJ3" t="s">
        <v>7</v>
      </c>
    </row>
    <row r="4" spans="1:60"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F4" s="15" t="s">
        <v>456</v>
      </c>
      <c r="AG4" t="s">
        <v>395</v>
      </c>
      <c r="AH4">
        <v>20527180</v>
      </c>
      <c r="AI4" t="s">
        <v>396</v>
      </c>
      <c r="AJ4" t="s">
        <v>6</v>
      </c>
    </row>
    <row r="5" spans="1:60" x14ac:dyDescent="0.25">
      <c r="A5" s="1"/>
      <c r="B5" s="1"/>
      <c r="C5" s="2"/>
      <c r="P5" s="11"/>
      <c r="AF5" s="15" t="s">
        <v>456</v>
      </c>
      <c r="AG5" t="s">
        <v>383</v>
      </c>
      <c r="AH5">
        <v>20527197</v>
      </c>
      <c r="AI5" t="s">
        <v>384</v>
      </c>
      <c r="AJ5" t="s">
        <v>7</v>
      </c>
    </row>
    <row r="6" spans="1:60" ht="3.75" customHeight="1" x14ac:dyDescent="0.25">
      <c r="A6" s="1"/>
      <c r="B6" s="1"/>
      <c r="C6" s="2"/>
      <c r="AF6" s="17" t="s">
        <v>128</v>
      </c>
      <c r="AG6" t="s">
        <v>120</v>
      </c>
      <c r="AH6">
        <v>20527180</v>
      </c>
      <c r="AI6" t="s">
        <v>121</v>
      </c>
      <c r="AJ6" t="s">
        <v>7</v>
      </c>
    </row>
    <row r="7" spans="1:60" x14ac:dyDescent="0.25">
      <c r="A7" s="52" t="s">
        <v>0</v>
      </c>
      <c r="B7" s="53" t="s">
        <v>1</v>
      </c>
      <c r="C7" s="53" t="s">
        <v>1</v>
      </c>
      <c r="D7" s="52" t="s">
        <v>2</v>
      </c>
      <c r="E7" s="54" t="s">
        <v>3</v>
      </c>
      <c r="F7" s="55" t="s">
        <v>4</v>
      </c>
      <c r="G7" s="56"/>
      <c r="H7" s="57"/>
      <c r="I7" s="59" t="s">
        <v>1852</v>
      </c>
      <c r="J7" s="60"/>
      <c r="K7" s="60"/>
      <c r="L7" s="60"/>
      <c r="M7" s="60"/>
      <c r="N7" s="60"/>
      <c r="O7" s="60"/>
      <c r="P7" s="60"/>
      <c r="Q7" s="60"/>
      <c r="R7" s="60"/>
      <c r="S7" s="61"/>
      <c r="T7" s="58" t="s">
        <v>5</v>
      </c>
      <c r="U7" s="58"/>
      <c r="V7" s="67" t="s">
        <v>1857</v>
      </c>
      <c r="W7" s="68"/>
      <c r="X7" s="68"/>
      <c r="Y7" s="68"/>
      <c r="Z7" s="68"/>
      <c r="AA7" s="68"/>
      <c r="AB7" s="68"/>
      <c r="AC7" s="68"/>
      <c r="AF7" s="17" t="s">
        <v>128</v>
      </c>
      <c r="AG7" t="s">
        <v>107</v>
      </c>
      <c r="AH7">
        <v>20527180</v>
      </c>
      <c r="AI7" t="s">
        <v>108</v>
      </c>
      <c r="AJ7" t="s">
        <v>6</v>
      </c>
    </row>
    <row r="8" spans="1:60"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F8" s="18" t="s">
        <v>237</v>
      </c>
      <c r="AG8" t="s">
        <v>180</v>
      </c>
      <c r="AH8">
        <v>20566545</v>
      </c>
      <c r="AI8" t="s">
        <v>181</v>
      </c>
      <c r="AJ8" t="s">
        <v>6</v>
      </c>
    </row>
    <row r="9" spans="1:60"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F9" s="18" t="s">
        <v>237</v>
      </c>
      <c r="AG9" t="s">
        <v>211</v>
      </c>
      <c r="AH9">
        <v>20527197</v>
      </c>
      <c r="AI9" t="s">
        <v>212</v>
      </c>
      <c r="AJ9" t="s">
        <v>7</v>
      </c>
    </row>
    <row r="10" spans="1:60" ht="20.100000000000001" customHeight="1" x14ac:dyDescent="0.25">
      <c r="A10" s="4">
        <v>1</v>
      </c>
      <c r="B10" s="4" t="s">
        <v>2243</v>
      </c>
      <c r="C10" s="42" t="s">
        <v>794</v>
      </c>
      <c r="D10" s="39" t="s">
        <v>639</v>
      </c>
      <c r="E10" s="7" t="s">
        <v>6</v>
      </c>
      <c r="F10" s="8"/>
      <c r="G10" s="8"/>
      <c r="H10" s="8"/>
      <c r="I10" s="8"/>
      <c r="J10" s="8"/>
      <c r="K10" s="8"/>
      <c r="L10" s="8"/>
      <c r="M10" s="8"/>
      <c r="N10" s="8"/>
      <c r="O10" s="8"/>
      <c r="P10" s="8"/>
      <c r="Q10" s="8"/>
      <c r="R10" s="8"/>
      <c r="S10" s="8"/>
      <c r="T10" s="8"/>
      <c r="U10" s="8"/>
      <c r="V10" s="8"/>
      <c r="W10" s="8"/>
      <c r="X10" s="8"/>
      <c r="Y10" s="8"/>
      <c r="Z10" s="8"/>
      <c r="AA10" s="8"/>
      <c r="AB10" s="8"/>
      <c r="AC10" s="8"/>
      <c r="AF10" s="15" t="s">
        <v>456</v>
      </c>
      <c r="AG10" t="s">
        <v>280</v>
      </c>
      <c r="AH10">
        <v>20527180</v>
      </c>
      <c r="AI10" t="s">
        <v>281</v>
      </c>
      <c r="AJ10" t="s">
        <v>7</v>
      </c>
      <c r="AL10" t="str">
        <f t="shared" ref="AL10:AL32" si="0">UPPER(D10)</f>
        <v>ADINDA R NISYRIN AZZAHRA</v>
      </c>
      <c r="AV10" s="38">
        <v>3104177826</v>
      </c>
      <c r="AW10" s="39" t="s">
        <v>639</v>
      </c>
      <c r="AX10" s="38" t="s">
        <v>6</v>
      </c>
      <c r="AY10" s="39" t="s">
        <v>640</v>
      </c>
      <c r="AZ10" s="40" t="s">
        <v>641</v>
      </c>
      <c r="BA10" s="40" t="s">
        <v>561</v>
      </c>
      <c r="BB10" s="40" t="s">
        <v>642</v>
      </c>
      <c r="BC10" s="40" t="s">
        <v>458</v>
      </c>
      <c r="BD10" s="39" t="s">
        <v>643</v>
      </c>
      <c r="BF10" s="81" t="s">
        <v>2243</v>
      </c>
      <c r="BG10" s="42" t="s">
        <v>794</v>
      </c>
      <c r="BH10" s="39" t="s">
        <v>639</v>
      </c>
    </row>
    <row r="11" spans="1:60" ht="20.100000000000001" customHeight="1" x14ac:dyDescent="0.25">
      <c r="A11" s="4">
        <v>2</v>
      </c>
      <c r="B11" s="4" t="s">
        <v>2293</v>
      </c>
      <c r="C11" s="38" t="s">
        <v>644</v>
      </c>
      <c r="D11" s="39" t="s">
        <v>645</v>
      </c>
      <c r="E11" s="7" t="s">
        <v>7</v>
      </c>
      <c r="F11" s="8"/>
      <c r="G11" s="8"/>
      <c r="H11" s="8"/>
      <c r="I11" s="8"/>
      <c r="J11" s="8"/>
      <c r="K11" s="8"/>
      <c r="L11" s="8"/>
      <c r="M11" s="8"/>
      <c r="N11" s="8"/>
      <c r="O11" s="8"/>
      <c r="P11" s="8"/>
      <c r="Q11" s="8"/>
      <c r="R11" s="8"/>
      <c r="S11" s="8"/>
      <c r="T11" s="8"/>
      <c r="U11" s="8"/>
      <c r="V11" s="8"/>
      <c r="W11" s="8"/>
      <c r="X11" s="8"/>
      <c r="Y11" s="8"/>
      <c r="Z11" s="8"/>
      <c r="AA11" s="8"/>
      <c r="AB11" s="8"/>
      <c r="AC11" s="8"/>
      <c r="AF11" s="15" t="s">
        <v>456</v>
      </c>
      <c r="AG11" t="s">
        <v>369</v>
      </c>
      <c r="AH11">
        <v>20527197</v>
      </c>
      <c r="AI11" t="s">
        <v>370</v>
      </c>
      <c r="AJ11" t="s">
        <v>7</v>
      </c>
      <c r="AL11" t="str">
        <f t="shared" si="0"/>
        <v>AVISQI SYAFIRULAH FIRMANSYAH</v>
      </c>
      <c r="AV11" s="38" t="s">
        <v>644</v>
      </c>
      <c r="AW11" s="39" t="s">
        <v>645</v>
      </c>
      <c r="AX11" s="38" t="s">
        <v>7</v>
      </c>
      <c r="AY11" s="39" t="s">
        <v>478</v>
      </c>
      <c r="AZ11" s="40" t="s">
        <v>646</v>
      </c>
      <c r="BA11" s="40" t="s">
        <v>480</v>
      </c>
      <c r="BB11" s="40" t="s">
        <v>647</v>
      </c>
      <c r="BC11" s="40" t="s">
        <v>458</v>
      </c>
      <c r="BD11" s="39" t="s">
        <v>648</v>
      </c>
      <c r="BF11" s="81" t="s">
        <v>2293</v>
      </c>
      <c r="BG11" s="38" t="s">
        <v>644</v>
      </c>
      <c r="BH11" s="39" t="s">
        <v>645</v>
      </c>
    </row>
    <row r="12" spans="1:60" ht="20.100000000000001" customHeight="1" x14ac:dyDescent="0.25">
      <c r="A12" s="4">
        <v>3</v>
      </c>
      <c r="B12" s="4" t="s">
        <v>2294</v>
      </c>
      <c r="C12" s="42" t="s">
        <v>793</v>
      </c>
      <c r="D12" s="39" t="s">
        <v>650</v>
      </c>
      <c r="E12" s="7" t="s">
        <v>6</v>
      </c>
      <c r="F12" s="8"/>
      <c r="G12" s="8"/>
      <c r="H12" s="8"/>
      <c r="I12" s="8"/>
      <c r="J12" s="8"/>
      <c r="K12" s="8"/>
      <c r="L12" s="8"/>
      <c r="M12" s="8"/>
      <c r="N12" s="8"/>
      <c r="O12" s="8"/>
      <c r="P12" s="8"/>
      <c r="Q12" s="8"/>
      <c r="R12" s="8"/>
      <c r="S12" s="8"/>
      <c r="T12" s="8"/>
      <c r="U12" s="8"/>
      <c r="V12" s="8"/>
      <c r="W12" s="8"/>
      <c r="X12" s="8"/>
      <c r="Y12" s="8"/>
      <c r="Z12" s="8"/>
      <c r="AA12" s="8"/>
      <c r="AB12" s="8"/>
      <c r="AC12" s="8"/>
      <c r="AF12" s="15" t="s">
        <v>456</v>
      </c>
      <c r="AG12" t="s">
        <v>276</v>
      </c>
      <c r="AH12">
        <v>20527197</v>
      </c>
      <c r="AI12" t="s">
        <v>277</v>
      </c>
      <c r="AJ12" t="s">
        <v>6</v>
      </c>
      <c r="AL12" t="str">
        <f t="shared" si="0"/>
        <v>AWLIDYA DINDA NABILA</v>
      </c>
      <c r="AV12" s="38" t="s">
        <v>649</v>
      </c>
      <c r="AW12" s="39" t="s">
        <v>650</v>
      </c>
      <c r="AX12" s="38" t="s">
        <v>6</v>
      </c>
      <c r="AY12" s="39" t="s">
        <v>651</v>
      </c>
      <c r="AZ12" s="40" t="s">
        <v>652</v>
      </c>
      <c r="BA12" s="40" t="s">
        <v>653</v>
      </c>
      <c r="BB12" s="40" t="s">
        <v>654</v>
      </c>
      <c r="BC12" s="40" t="s">
        <v>458</v>
      </c>
      <c r="BD12" s="39" t="s">
        <v>475</v>
      </c>
      <c r="BF12" s="81" t="s">
        <v>2294</v>
      </c>
      <c r="BG12" s="42" t="s">
        <v>793</v>
      </c>
      <c r="BH12" s="39" t="s">
        <v>650</v>
      </c>
    </row>
    <row r="13" spans="1:60" ht="20.100000000000001" customHeight="1" x14ac:dyDescent="0.25">
      <c r="A13" s="4">
        <v>4</v>
      </c>
      <c r="B13" s="4" t="s">
        <v>2324</v>
      </c>
      <c r="C13" s="38" t="s">
        <v>655</v>
      </c>
      <c r="D13" s="39" t="s">
        <v>656</v>
      </c>
      <c r="E13" s="7" t="s">
        <v>6</v>
      </c>
      <c r="F13" s="8"/>
      <c r="G13" s="8"/>
      <c r="H13" s="8"/>
      <c r="I13" s="8"/>
      <c r="J13" s="8"/>
      <c r="K13" s="8"/>
      <c r="L13" s="8"/>
      <c r="M13" s="8"/>
      <c r="N13" s="8"/>
      <c r="O13" s="8"/>
      <c r="P13" s="8"/>
      <c r="Q13" s="8"/>
      <c r="R13" s="8"/>
      <c r="S13" s="8"/>
      <c r="T13" s="8"/>
      <c r="U13" s="8"/>
      <c r="V13" s="8"/>
      <c r="W13" s="8"/>
      <c r="X13" s="8"/>
      <c r="Y13" s="8"/>
      <c r="Z13" s="8"/>
      <c r="AA13" s="8"/>
      <c r="AB13" s="8"/>
      <c r="AC13" s="8"/>
      <c r="AF13" s="18" t="s">
        <v>237</v>
      </c>
      <c r="AG13" t="s">
        <v>199</v>
      </c>
      <c r="AH13">
        <v>20527197</v>
      </c>
      <c r="AI13" t="s">
        <v>200</v>
      </c>
      <c r="AJ13" t="s">
        <v>6</v>
      </c>
      <c r="AL13" t="str">
        <f t="shared" si="0"/>
        <v>DESI AISYAH ALIFA</v>
      </c>
      <c r="AV13" s="38" t="s">
        <v>655</v>
      </c>
      <c r="AW13" s="39" t="s">
        <v>656</v>
      </c>
      <c r="AX13" s="38" t="s">
        <v>6</v>
      </c>
      <c r="AY13" s="39" t="s">
        <v>603</v>
      </c>
      <c r="AZ13" s="40" t="s">
        <v>657</v>
      </c>
      <c r="BA13" s="40" t="s">
        <v>599</v>
      </c>
      <c r="BB13" s="40" t="s">
        <v>658</v>
      </c>
      <c r="BC13" s="40" t="s">
        <v>458</v>
      </c>
      <c r="BD13" s="39" t="s">
        <v>475</v>
      </c>
      <c r="BF13" s="81" t="s">
        <v>2324</v>
      </c>
      <c r="BG13" s="38" t="s">
        <v>655</v>
      </c>
      <c r="BH13" s="39" t="s">
        <v>656</v>
      </c>
    </row>
    <row r="14" spans="1:60" ht="20.100000000000001" customHeight="1" x14ac:dyDescent="0.25">
      <c r="A14" s="4">
        <v>5</v>
      </c>
      <c r="B14" s="4" t="s">
        <v>2327</v>
      </c>
      <c r="C14" s="38" t="s">
        <v>659</v>
      </c>
      <c r="D14" s="39" t="s">
        <v>660</v>
      </c>
      <c r="E14" s="7" t="s">
        <v>6</v>
      </c>
      <c r="F14" s="8"/>
      <c r="G14" s="8"/>
      <c r="H14" s="8"/>
      <c r="I14" s="8"/>
      <c r="J14" s="8"/>
      <c r="K14" s="8"/>
      <c r="L14" s="8"/>
      <c r="M14" s="8"/>
      <c r="N14" s="8"/>
      <c r="O14" s="8"/>
      <c r="P14" s="8"/>
      <c r="Q14" s="8"/>
      <c r="R14" s="8"/>
      <c r="S14" s="8"/>
      <c r="T14" s="8"/>
      <c r="U14" s="8"/>
      <c r="V14" s="8"/>
      <c r="W14" s="8"/>
      <c r="X14" s="8"/>
      <c r="Y14" s="8"/>
      <c r="Z14" s="8"/>
      <c r="AA14" s="8"/>
      <c r="AB14" s="8"/>
      <c r="AC14" s="8"/>
      <c r="AF14" s="15" t="s">
        <v>456</v>
      </c>
      <c r="AG14" t="s">
        <v>309</v>
      </c>
      <c r="AH14">
        <v>20527197</v>
      </c>
      <c r="AI14" t="s">
        <v>310</v>
      </c>
      <c r="AJ14" t="s">
        <v>6</v>
      </c>
      <c r="AL14" t="str">
        <f t="shared" si="0"/>
        <v>DIRA KARTIKA SARI</v>
      </c>
      <c r="AV14" s="38" t="s">
        <v>659</v>
      </c>
      <c r="AW14" s="39" t="s">
        <v>660</v>
      </c>
      <c r="AX14" s="38" t="s">
        <v>6</v>
      </c>
      <c r="AY14" s="39" t="s">
        <v>603</v>
      </c>
      <c r="AZ14" s="40" t="s">
        <v>661</v>
      </c>
      <c r="BA14" s="40" t="s">
        <v>662</v>
      </c>
      <c r="BB14" s="40" t="s">
        <v>663</v>
      </c>
      <c r="BC14" s="40" t="s">
        <v>458</v>
      </c>
      <c r="BD14" s="39" t="s">
        <v>475</v>
      </c>
      <c r="BF14" s="81" t="s">
        <v>2327</v>
      </c>
      <c r="BG14" s="38" t="s">
        <v>659</v>
      </c>
      <c r="BH14" s="39" t="s">
        <v>660</v>
      </c>
    </row>
    <row r="15" spans="1:60" ht="20.100000000000001" customHeight="1" x14ac:dyDescent="0.25">
      <c r="A15" s="4">
        <v>6</v>
      </c>
      <c r="B15" s="4" t="s">
        <v>2328</v>
      </c>
      <c r="C15" s="38" t="s">
        <v>664</v>
      </c>
      <c r="D15" s="39" t="s">
        <v>665</v>
      </c>
      <c r="E15" s="7" t="s">
        <v>6</v>
      </c>
      <c r="F15" s="8"/>
      <c r="G15" s="8"/>
      <c r="H15" s="8"/>
      <c r="I15" s="8"/>
      <c r="J15" s="8"/>
      <c r="K15" s="8"/>
      <c r="L15" s="8"/>
      <c r="M15" s="8"/>
      <c r="N15" s="8"/>
      <c r="O15" s="8"/>
      <c r="P15" s="8"/>
      <c r="Q15" s="8"/>
      <c r="R15" s="8"/>
      <c r="S15" s="8"/>
      <c r="T15" s="8"/>
      <c r="U15" s="8"/>
      <c r="V15" s="8"/>
      <c r="W15" s="8"/>
      <c r="X15" s="8"/>
      <c r="Y15" s="8"/>
      <c r="Z15" s="8"/>
      <c r="AA15" s="8"/>
      <c r="AB15" s="8"/>
      <c r="AC15" s="8"/>
      <c r="AF15" s="15" t="s">
        <v>456</v>
      </c>
      <c r="AG15" t="s">
        <v>254</v>
      </c>
      <c r="AH15">
        <v>20527197</v>
      </c>
      <c r="AI15" t="s">
        <v>255</v>
      </c>
      <c r="AJ15" t="s">
        <v>7</v>
      </c>
      <c r="AL15" t="str">
        <f t="shared" si="0"/>
        <v>DZAKIA VANIA AUBERTA JAYADI</v>
      </c>
      <c r="AV15" s="38" t="s">
        <v>664</v>
      </c>
      <c r="AW15" s="39" t="s">
        <v>665</v>
      </c>
      <c r="AX15" s="38" t="s">
        <v>6</v>
      </c>
      <c r="AY15" s="39" t="s">
        <v>478</v>
      </c>
      <c r="AZ15" s="40" t="s">
        <v>652</v>
      </c>
      <c r="BA15" s="40" t="s">
        <v>480</v>
      </c>
      <c r="BB15" s="40" t="s">
        <v>666</v>
      </c>
      <c r="BC15" s="40" t="s">
        <v>458</v>
      </c>
      <c r="BD15" s="39" t="s">
        <v>475</v>
      </c>
      <c r="BF15" s="81" t="s">
        <v>2328</v>
      </c>
      <c r="BG15" s="38" t="s">
        <v>664</v>
      </c>
      <c r="BH15" s="39" t="s">
        <v>665</v>
      </c>
    </row>
    <row r="16" spans="1:60" ht="20.100000000000001" customHeight="1" x14ac:dyDescent="0.25">
      <c r="A16" s="4">
        <v>7</v>
      </c>
      <c r="B16" s="4" t="s">
        <v>2343</v>
      </c>
      <c r="C16" s="38" t="s">
        <v>667</v>
      </c>
      <c r="D16" s="39" t="s">
        <v>668</v>
      </c>
      <c r="E16" s="7" t="s">
        <v>6</v>
      </c>
      <c r="F16" s="8"/>
      <c r="G16" s="8"/>
      <c r="H16" s="8"/>
      <c r="I16" s="8"/>
      <c r="J16" s="8"/>
      <c r="K16" s="8"/>
      <c r="L16" s="8"/>
      <c r="M16" s="8"/>
      <c r="N16" s="8"/>
      <c r="O16" s="8"/>
      <c r="P16" s="8"/>
      <c r="Q16" s="8"/>
      <c r="R16" s="8"/>
      <c r="S16" s="8"/>
      <c r="T16" s="8"/>
      <c r="U16" s="8"/>
      <c r="V16" s="8"/>
      <c r="W16" s="8"/>
      <c r="X16" s="8"/>
      <c r="Y16" s="8"/>
      <c r="Z16" s="8"/>
      <c r="AA16" s="8"/>
      <c r="AB16" s="8"/>
      <c r="AC16" s="8"/>
      <c r="AF16" s="18" t="s">
        <v>237</v>
      </c>
      <c r="AG16" t="s">
        <v>221</v>
      </c>
      <c r="AH16">
        <v>20527197</v>
      </c>
      <c r="AI16" t="s">
        <v>222</v>
      </c>
      <c r="AJ16" t="s">
        <v>6</v>
      </c>
      <c r="AL16" t="str">
        <f t="shared" si="0"/>
        <v>FARDA AULIA KURNIA</v>
      </c>
      <c r="AV16" s="38" t="s">
        <v>667</v>
      </c>
      <c r="AW16" s="39" t="s">
        <v>668</v>
      </c>
      <c r="AX16" s="38" t="s">
        <v>6</v>
      </c>
      <c r="AY16" s="39" t="s">
        <v>669</v>
      </c>
      <c r="AZ16" s="40" t="s">
        <v>670</v>
      </c>
      <c r="BA16" s="40" t="s">
        <v>537</v>
      </c>
      <c r="BB16" s="40" t="s">
        <v>671</v>
      </c>
      <c r="BC16" s="40" t="s">
        <v>458</v>
      </c>
      <c r="BD16" s="39" t="s">
        <v>672</v>
      </c>
      <c r="BF16" s="81" t="s">
        <v>2343</v>
      </c>
      <c r="BG16" s="38" t="s">
        <v>667</v>
      </c>
      <c r="BH16" s="39" t="s">
        <v>668</v>
      </c>
    </row>
    <row r="17" spans="1:60" ht="20.100000000000001" customHeight="1" x14ac:dyDescent="0.25">
      <c r="A17" s="4">
        <v>8</v>
      </c>
      <c r="B17" s="4" t="s">
        <v>2345</v>
      </c>
      <c r="C17" s="38" t="s">
        <v>673</v>
      </c>
      <c r="D17" s="39" t="s">
        <v>674</v>
      </c>
      <c r="E17" s="7" t="s">
        <v>6</v>
      </c>
      <c r="F17" s="8"/>
      <c r="G17" s="8"/>
      <c r="H17" s="8"/>
      <c r="I17" s="8"/>
      <c r="J17" s="8"/>
      <c r="K17" s="8"/>
      <c r="L17" s="8"/>
      <c r="M17" s="8"/>
      <c r="N17" s="8"/>
      <c r="O17" s="8"/>
      <c r="P17" s="8"/>
      <c r="Q17" s="8"/>
      <c r="R17" s="8"/>
      <c r="S17" s="8"/>
      <c r="T17" s="8"/>
      <c r="U17" s="8"/>
      <c r="V17" s="8"/>
      <c r="W17" s="8"/>
      <c r="X17" s="8"/>
      <c r="Y17" s="8"/>
      <c r="Z17" s="8"/>
      <c r="AA17" s="8"/>
      <c r="AB17" s="8"/>
      <c r="AC17" s="8"/>
      <c r="AF17" s="15" t="s">
        <v>456</v>
      </c>
      <c r="AG17" t="s">
        <v>335</v>
      </c>
      <c r="AH17">
        <v>20527197</v>
      </c>
      <c r="AI17" t="s">
        <v>336</v>
      </c>
      <c r="AJ17" t="s">
        <v>6</v>
      </c>
      <c r="AL17" t="str">
        <f t="shared" si="0"/>
        <v>FARHATUS SHOLIHAH</v>
      </c>
      <c r="AV17" s="38" t="s">
        <v>673</v>
      </c>
      <c r="AW17" s="39" t="s">
        <v>674</v>
      </c>
      <c r="AX17" s="38" t="s">
        <v>6</v>
      </c>
      <c r="AY17" s="39" t="s">
        <v>675</v>
      </c>
      <c r="AZ17" s="40" t="s">
        <v>676</v>
      </c>
      <c r="BA17" s="40" t="s">
        <v>677</v>
      </c>
      <c r="BB17" s="40" t="s">
        <v>678</v>
      </c>
      <c r="BC17" s="40" t="s">
        <v>458</v>
      </c>
      <c r="BD17" s="39" t="s">
        <v>475</v>
      </c>
      <c r="BF17" s="81" t="s">
        <v>2345</v>
      </c>
      <c r="BG17" s="38" t="s">
        <v>673</v>
      </c>
      <c r="BH17" s="39" t="s">
        <v>674</v>
      </c>
    </row>
    <row r="18" spans="1:60" ht="20.100000000000001" customHeight="1" x14ac:dyDescent="0.25">
      <c r="A18" s="4">
        <v>9</v>
      </c>
      <c r="B18" s="4" t="s">
        <v>2348</v>
      </c>
      <c r="C18" s="38" t="s">
        <v>679</v>
      </c>
      <c r="D18" s="39" t="s">
        <v>680</v>
      </c>
      <c r="E18" s="7" t="s">
        <v>6</v>
      </c>
      <c r="F18" s="8"/>
      <c r="G18" s="8"/>
      <c r="H18" s="8"/>
      <c r="I18" s="8"/>
      <c r="J18" s="8"/>
      <c r="K18" s="8"/>
      <c r="L18" s="8"/>
      <c r="M18" s="8"/>
      <c r="N18" s="8"/>
      <c r="O18" s="8"/>
      <c r="P18" s="8"/>
      <c r="Q18" s="8"/>
      <c r="R18" s="8"/>
      <c r="S18" s="8"/>
      <c r="T18" s="8"/>
      <c r="U18" s="8"/>
      <c r="V18" s="8"/>
      <c r="W18" s="8"/>
      <c r="X18" s="8"/>
      <c r="Y18" s="8"/>
      <c r="Z18" s="8"/>
      <c r="AA18" s="8"/>
      <c r="AB18" s="8"/>
      <c r="AC18" s="8"/>
      <c r="AF18" s="13" t="s">
        <v>40</v>
      </c>
      <c r="AG18" t="s">
        <v>18</v>
      </c>
      <c r="AH18">
        <v>20583410</v>
      </c>
      <c r="AI18" t="s">
        <v>19</v>
      </c>
      <c r="AJ18" t="s">
        <v>6</v>
      </c>
      <c r="AL18" t="str">
        <f t="shared" si="0"/>
        <v>FAYZA FITRI RAMADHANI</v>
      </c>
      <c r="AV18" s="38" t="s">
        <v>679</v>
      </c>
      <c r="AW18" s="39" t="s">
        <v>680</v>
      </c>
      <c r="AX18" s="38" t="s">
        <v>6</v>
      </c>
      <c r="AY18" s="39" t="s">
        <v>478</v>
      </c>
      <c r="AZ18" s="40" t="s">
        <v>681</v>
      </c>
      <c r="BA18" s="40" t="s">
        <v>682</v>
      </c>
      <c r="BB18" s="40" t="s">
        <v>683</v>
      </c>
      <c r="BC18" s="40" t="s">
        <v>458</v>
      </c>
      <c r="BD18" s="39" t="s">
        <v>475</v>
      </c>
      <c r="BF18" s="81" t="s">
        <v>2348</v>
      </c>
      <c r="BG18" s="38" t="s">
        <v>679</v>
      </c>
      <c r="BH18" s="39" t="s">
        <v>680</v>
      </c>
    </row>
    <row r="19" spans="1:60" ht="20.100000000000001" customHeight="1" x14ac:dyDescent="0.25">
      <c r="A19" s="4">
        <v>10</v>
      </c>
      <c r="B19" s="4" t="s">
        <v>2350</v>
      </c>
      <c r="C19" s="38" t="s">
        <v>684</v>
      </c>
      <c r="D19" s="39" t="s">
        <v>685</v>
      </c>
      <c r="E19" s="7" t="s">
        <v>7</v>
      </c>
      <c r="F19" s="8"/>
      <c r="G19" s="8"/>
      <c r="H19" s="8"/>
      <c r="I19" s="8"/>
      <c r="J19" s="8"/>
      <c r="K19" s="8"/>
      <c r="L19" s="8"/>
      <c r="M19" s="8"/>
      <c r="N19" s="8"/>
      <c r="O19" s="8"/>
      <c r="P19" s="8"/>
      <c r="Q19" s="8"/>
      <c r="R19" s="8"/>
      <c r="S19" s="8"/>
      <c r="T19" s="8"/>
      <c r="U19" s="8"/>
      <c r="V19" s="8"/>
      <c r="W19" s="8"/>
      <c r="X19" s="8"/>
      <c r="Y19" s="8"/>
      <c r="Z19" s="8"/>
      <c r="AA19" s="8"/>
      <c r="AB19" s="8"/>
      <c r="AC19" s="8"/>
      <c r="AF19" s="15" t="s">
        <v>456</v>
      </c>
      <c r="AG19" t="s">
        <v>347</v>
      </c>
      <c r="AH19">
        <v>20527197</v>
      </c>
      <c r="AI19" t="s">
        <v>348</v>
      </c>
      <c r="AJ19" t="s">
        <v>7</v>
      </c>
      <c r="AL19" t="str">
        <f t="shared" si="0"/>
        <v>FEBRIAN TRISNO PUTRA</v>
      </c>
      <c r="AV19" s="38" t="s">
        <v>684</v>
      </c>
      <c r="AW19" s="39" t="s">
        <v>685</v>
      </c>
      <c r="AX19" s="38" t="s">
        <v>7</v>
      </c>
      <c r="AY19" s="39" t="s">
        <v>686</v>
      </c>
      <c r="AZ19" s="40" t="s">
        <v>687</v>
      </c>
      <c r="BA19" s="40" t="s">
        <v>688</v>
      </c>
      <c r="BB19" s="40" t="s">
        <v>689</v>
      </c>
      <c r="BC19" s="40" t="s">
        <v>458</v>
      </c>
      <c r="BD19" s="39" t="s">
        <v>475</v>
      </c>
      <c r="BF19" s="81" t="s">
        <v>2350</v>
      </c>
      <c r="BG19" s="38" t="s">
        <v>684</v>
      </c>
      <c r="BH19" s="39" t="s">
        <v>685</v>
      </c>
    </row>
    <row r="20" spans="1:60" ht="20.100000000000001" customHeight="1" x14ac:dyDescent="0.25">
      <c r="A20" s="4">
        <v>11</v>
      </c>
      <c r="B20" s="4" t="s">
        <v>2352</v>
      </c>
      <c r="C20" s="38" t="s">
        <v>690</v>
      </c>
      <c r="D20" s="39" t="s">
        <v>691</v>
      </c>
      <c r="E20" s="7" t="s">
        <v>6</v>
      </c>
      <c r="F20" s="8"/>
      <c r="G20" s="8"/>
      <c r="H20" s="8"/>
      <c r="I20" s="8"/>
      <c r="J20" s="8"/>
      <c r="K20" s="8"/>
      <c r="L20" s="8"/>
      <c r="M20" s="8"/>
      <c r="N20" s="8"/>
      <c r="O20" s="8"/>
      <c r="P20" s="8"/>
      <c r="Q20" s="8"/>
      <c r="R20" s="8"/>
      <c r="S20" s="8"/>
      <c r="T20" s="8"/>
      <c r="U20" s="8"/>
      <c r="V20" s="8"/>
      <c r="W20" s="8"/>
      <c r="X20" s="8"/>
      <c r="Y20" s="8"/>
      <c r="Z20" s="8"/>
      <c r="AA20" s="8"/>
      <c r="AB20" s="8"/>
      <c r="AC20" s="8"/>
      <c r="AF20" s="15" t="s">
        <v>456</v>
      </c>
      <c r="AG20" t="s">
        <v>295</v>
      </c>
      <c r="AH20">
        <v>20527180</v>
      </c>
      <c r="AI20" t="s">
        <v>296</v>
      </c>
      <c r="AJ20" t="s">
        <v>7</v>
      </c>
      <c r="AL20" t="str">
        <f t="shared" si="0"/>
        <v>FELICIA LENITA JONATHAN</v>
      </c>
      <c r="AV20" s="38" t="s">
        <v>690</v>
      </c>
      <c r="AW20" s="39" t="s">
        <v>691</v>
      </c>
      <c r="AX20" s="38" t="s">
        <v>6</v>
      </c>
      <c r="AY20" s="39" t="s">
        <v>692</v>
      </c>
      <c r="AZ20" s="40">
        <v>90.3</v>
      </c>
      <c r="BA20" s="40">
        <v>61.67</v>
      </c>
      <c r="BB20" s="40">
        <v>78.849999999999994</v>
      </c>
      <c r="BC20" s="40" t="s">
        <v>458</v>
      </c>
      <c r="BD20" s="39" t="s">
        <v>485</v>
      </c>
      <c r="BF20" s="81" t="s">
        <v>2352</v>
      </c>
      <c r="BG20" s="38" t="s">
        <v>690</v>
      </c>
      <c r="BH20" s="39" t="s">
        <v>691</v>
      </c>
    </row>
    <row r="21" spans="1:60" ht="20.100000000000001" customHeight="1" x14ac:dyDescent="0.25">
      <c r="A21" s="4">
        <v>12</v>
      </c>
      <c r="B21" s="4" t="s">
        <v>2391</v>
      </c>
      <c r="C21" s="38" t="s">
        <v>693</v>
      </c>
      <c r="D21" s="39" t="s">
        <v>694</v>
      </c>
      <c r="E21" s="7" t="s">
        <v>6</v>
      </c>
      <c r="F21" s="8"/>
      <c r="G21" s="8"/>
      <c r="H21" s="8"/>
      <c r="I21" s="8"/>
      <c r="J21" s="8"/>
      <c r="K21" s="8"/>
      <c r="L21" s="8"/>
      <c r="M21" s="8"/>
      <c r="N21" s="8"/>
      <c r="O21" s="8"/>
      <c r="P21" s="8"/>
      <c r="Q21" s="8"/>
      <c r="R21" s="8"/>
      <c r="S21" s="8"/>
      <c r="T21" s="8"/>
      <c r="U21" s="8"/>
      <c r="V21" s="8"/>
      <c r="W21" s="8"/>
      <c r="X21" s="8"/>
      <c r="Y21" s="8"/>
      <c r="Z21" s="8"/>
      <c r="AA21" s="8"/>
      <c r="AB21" s="8"/>
      <c r="AC21" s="8"/>
      <c r="AF21" s="15" t="s">
        <v>456</v>
      </c>
      <c r="AG21" t="s">
        <v>411</v>
      </c>
      <c r="AH21">
        <v>20527197</v>
      </c>
      <c r="AI21" t="s">
        <v>412</v>
      </c>
      <c r="AJ21" t="s">
        <v>7</v>
      </c>
      <c r="AL21" t="str">
        <f t="shared" si="0"/>
        <v>KAIRA BRIANA AQILLA SYUA</v>
      </c>
      <c r="AV21" s="38" t="s">
        <v>693</v>
      </c>
      <c r="AW21" s="39" t="s">
        <v>694</v>
      </c>
      <c r="AX21" s="38" t="s">
        <v>6</v>
      </c>
      <c r="AY21" s="39" t="s">
        <v>695</v>
      </c>
      <c r="AZ21" s="40" t="s">
        <v>696</v>
      </c>
      <c r="BA21" s="40" t="s">
        <v>697</v>
      </c>
      <c r="BB21" s="40" t="s">
        <v>698</v>
      </c>
      <c r="BC21" s="40" t="s">
        <v>458</v>
      </c>
      <c r="BD21" s="39" t="s">
        <v>699</v>
      </c>
      <c r="BF21" s="81" t="s">
        <v>2391</v>
      </c>
      <c r="BG21" s="38" t="s">
        <v>693</v>
      </c>
      <c r="BH21" s="39" t="s">
        <v>694</v>
      </c>
    </row>
    <row r="22" spans="1:60" ht="20.100000000000001" customHeight="1" x14ac:dyDescent="0.25">
      <c r="A22" s="4">
        <v>13</v>
      </c>
      <c r="B22" s="4" t="s">
        <v>2400</v>
      </c>
      <c r="C22" s="38" t="s">
        <v>700</v>
      </c>
      <c r="D22" s="39" t="s">
        <v>701</v>
      </c>
      <c r="E22" s="7" t="s">
        <v>6</v>
      </c>
      <c r="F22" s="8"/>
      <c r="G22" s="8"/>
      <c r="H22" s="8"/>
      <c r="I22" s="8"/>
      <c r="J22" s="8"/>
      <c r="K22" s="8"/>
      <c r="L22" s="8"/>
      <c r="M22" s="8"/>
      <c r="N22" s="8"/>
      <c r="O22" s="8"/>
      <c r="P22" s="8"/>
      <c r="Q22" s="8"/>
      <c r="R22" s="8"/>
      <c r="S22" s="8"/>
      <c r="T22" s="8"/>
      <c r="U22" s="8"/>
      <c r="V22" s="8"/>
      <c r="W22" s="8"/>
      <c r="X22" s="8"/>
      <c r="Y22" s="8"/>
      <c r="Z22" s="8"/>
      <c r="AA22" s="8"/>
      <c r="AB22" s="8"/>
      <c r="AC22" s="8"/>
      <c r="AF22" s="14" t="s">
        <v>93</v>
      </c>
      <c r="AG22" t="s">
        <v>89</v>
      </c>
      <c r="AH22">
        <v>20566545</v>
      </c>
      <c r="AI22" t="s">
        <v>90</v>
      </c>
      <c r="AJ22" t="s">
        <v>7</v>
      </c>
      <c r="AL22" t="str">
        <f t="shared" si="0"/>
        <v>KHOIRUL BARIYAH</v>
      </c>
      <c r="AV22" s="38" t="s">
        <v>700</v>
      </c>
      <c r="AW22" s="39" t="s">
        <v>701</v>
      </c>
      <c r="AX22" s="38" t="s">
        <v>6</v>
      </c>
      <c r="AY22" s="39" t="s">
        <v>702</v>
      </c>
      <c r="AZ22" s="40">
        <v>84.06</v>
      </c>
      <c r="BA22" s="40" t="s">
        <v>703</v>
      </c>
      <c r="BB22" s="40" t="s">
        <v>704</v>
      </c>
      <c r="BC22" s="40" t="s">
        <v>458</v>
      </c>
      <c r="BD22" s="39" t="s">
        <v>485</v>
      </c>
      <c r="BF22" s="81" t="s">
        <v>2400</v>
      </c>
      <c r="BG22" s="38" t="s">
        <v>700</v>
      </c>
      <c r="BH22" s="39" t="s">
        <v>701</v>
      </c>
    </row>
    <row r="23" spans="1:60" ht="20.100000000000001" customHeight="1" x14ac:dyDescent="0.25">
      <c r="A23" s="4">
        <v>14</v>
      </c>
      <c r="B23" s="4" t="s">
        <v>2402</v>
      </c>
      <c r="C23" s="38" t="s">
        <v>705</v>
      </c>
      <c r="D23" s="39" t="s">
        <v>706</v>
      </c>
      <c r="E23" s="7" t="s">
        <v>7</v>
      </c>
      <c r="F23" s="8"/>
      <c r="G23" s="8"/>
      <c r="H23" s="8"/>
      <c r="I23" s="8"/>
      <c r="J23" s="8"/>
      <c r="K23" s="8"/>
      <c r="L23" s="8"/>
      <c r="M23" s="8"/>
      <c r="N23" s="8"/>
      <c r="O23" s="8"/>
      <c r="P23" s="8"/>
      <c r="Q23" s="8"/>
      <c r="R23" s="8"/>
      <c r="S23" s="8"/>
      <c r="T23" s="8"/>
      <c r="U23" s="8"/>
      <c r="V23" s="8"/>
      <c r="W23" s="8"/>
      <c r="X23" s="8"/>
      <c r="Y23" s="8"/>
      <c r="Z23" s="8"/>
      <c r="AA23" s="8"/>
      <c r="AB23" s="8"/>
      <c r="AC23" s="8"/>
      <c r="AF23" s="18" t="s">
        <v>237</v>
      </c>
      <c r="AG23" t="s">
        <v>159</v>
      </c>
      <c r="AH23">
        <v>20527197</v>
      </c>
      <c r="AI23" t="s">
        <v>160</v>
      </c>
      <c r="AJ23" t="s">
        <v>6</v>
      </c>
      <c r="AL23" t="str">
        <f t="shared" si="0"/>
        <v>KRISNA ARKARNA</v>
      </c>
      <c r="AV23" s="38" t="s">
        <v>705</v>
      </c>
      <c r="AW23" s="39" t="s">
        <v>706</v>
      </c>
      <c r="AX23" s="38" t="s">
        <v>7</v>
      </c>
      <c r="AY23" s="39" t="s">
        <v>494</v>
      </c>
      <c r="AZ23" s="40" t="s">
        <v>707</v>
      </c>
      <c r="BA23" s="40" t="s">
        <v>480</v>
      </c>
      <c r="BB23" s="40" t="s">
        <v>708</v>
      </c>
      <c r="BC23" s="40" t="s">
        <v>458</v>
      </c>
      <c r="BD23" s="39" t="s">
        <v>475</v>
      </c>
      <c r="BF23" s="81" t="s">
        <v>2402</v>
      </c>
      <c r="BG23" s="38" t="s">
        <v>705</v>
      </c>
      <c r="BH23" s="39" t="s">
        <v>706</v>
      </c>
    </row>
    <row r="24" spans="1:60" ht="20.100000000000001" customHeight="1" x14ac:dyDescent="0.25">
      <c r="A24" s="4">
        <v>15</v>
      </c>
      <c r="B24" s="4" t="s">
        <v>2405</v>
      </c>
      <c r="C24" s="38" t="s">
        <v>709</v>
      </c>
      <c r="D24" s="39" t="s">
        <v>710</v>
      </c>
      <c r="E24" s="7" t="s">
        <v>6</v>
      </c>
      <c r="F24" s="8"/>
      <c r="G24" s="8"/>
      <c r="H24" s="8"/>
      <c r="I24" s="8"/>
      <c r="J24" s="8"/>
      <c r="K24" s="8"/>
      <c r="L24" s="8"/>
      <c r="M24" s="8"/>
      <c r="N24" s="8"/>
      <c r="O24" s="8"/>
      <c r="P24" s="8"/>
      <c r="Q24" s="8"/>
      <c r="R24" s="8"/>
      <c r="S24" s="8"/>
      <c r="T24" s="8"/>
      <c r="U24" s="8"/>
      <c r="V24" s="8"/>
      <c r="W24" s="8"/>
      <c r="X24" s="8"/>
      <c r="Y24" s="8"/>
      <c r="Z24" s="8"/>
      <c r="AA24" s="8"/>
      <c r="AB24" s="8"/>
      <c r="AC24" s="8"/>
      <c r="AF24" s="14" t="s">
        <v>93</v>
      </c>
      <c r="AG24" t="s">
        <v>63</v>
      </c>
      <c r="AH24">
        <v>20527197</v>
      </c>
      <c r="AI24" t="s">
        <v>64</v>
      </c>
      <c r="AJ24" t="s">
        <v>7</v>
      </c>
      <c r="AL24" t="str">
        <f t="shared" si="0"/>
        <v>LEISTYVIA MURZIDHA HAZIS</v>
      </c>
      <c r="AV24" s="38" t="s">
        <v>709</v>
      </c>
      <c r="AW24" s="39" t="s">
        <v>710</v>
      </c>
      <c r="AX24" s="38" t="s">
        <v>6</v>
      </c>
      <c r="AY24" s="39" t="s">
        <v>603</v>
      </c>
      <c r="AZ24" s="40">
        <v>84.97</v>
      </c>
      <c r="BA24" s="40">
        <v>58.33</v>
      </c>
      <c r="BB24" s="40">
        <v>74.31</v>
      </c>
      <c r="BC24" s="40" t="s">
        <v>458</v>
      </c>
      <c r="BD24" s="39" t="s">
        <v>475</v>
      </c>
      <c r="BF24" s="81" t="s">
        <v>2405</v>
      </c>
      <c r="BG24" s="38" t="s">
        <v>709</v>
      </c>
      <c r="BH24" s="39" t="s">
        <v>710</v>
      </c>
    </row>
    <row r="25" spans="1:60" ht="20.100000000000001" customHeight="1" x14ac:dyDescent="0.25">
      <c r="A25" s="4">
        <v>16</v>
      </c>
      <c r="B25" s="4" t="s">
        <v>2421</v>
      </c>
      <c r="C25" s="38" t="s">
        <v>711</v>
      </c>
      <c r="D25" s="39" t="s">
        <v>712</v>
      </c>
      <c r="E25" s="7" t="s">
        <v>7</v>
      </c>
      <c r="F25" s="8"/>
      <c r="G25" s="8"/>
      <c r="H25" s="8"/>
      <c r="I25" s="8"/>
      <c r="J25" s="8"/>
      <c r="K25" s="8"/>
      <c r="L25" s="8"/>
      <c r="M25" s="8"/>
      <c r="N25" s="8"/>
      <c r="O25" s="8"/>
      <c r="P25" s="8"/>
      <c r="Q25" s="8"/>
      <c r="R25" s="8"/>
      <c r="S25" s="8"/>
      <c r="T25" s="8"/>
      <c r="U25" s="8"/>
      <c r="V25" s="8"/>
      <c r="W25" s="8"/>
      <c r="X25" s="8"/>
      <c r="Y25" s="8"/>
      <c r="Z25" s="8"/>
      <c r="AA25" s="8"/>
      <c r="AB25" s="8"/>
      <c r="AC25" s="8"/>
      <c r="AF25" s="15" t="s">
        <v>456</v>
      </c>
      <c r="AG25" t="s">
        <v>321</v>
      </c>
      <c r="AH25">
        <v>20527180</v>
      </c>
      <c r="AI25" t="s">
        <v>322</v>
      </c>
      <c r="AJ25" t="s">
        <v>7</v>
      </c>
      <c r="AL25" t="str">
        <f t="shared" si="0"/>
        <v>MAULANA DZAKY ALMER</v>
      </c>
      <c r="AV25" s="38" t="s">
        <v>711</v>
      </c>
      <c r="AW25" s="39" t="s">
        <v>712</v>
      </c>
      <c r="AX25" s="38" t="s">
        <v>7</v>
      </c>
      <c r="AY25" s="39" t="s">
        <v>713</v>
      </c>
      <c r="AZ25" s="40">
        <v>89.74</v>
      </c>
      <c r="BA25" s="40">
        <v>66.67</v>
      </c>
      <c r="BB25" s="40">
        <v>80.510000000000005</v>
      </c>
      <c r="BC25" s="40" t="s">
        <v>458</v>
      </c>
      <c r="BD25" s="39" t="s">
        <v>714</v>
      </c>
      <c r="BF25" s="81" t="s">
        <v>2421</v>
      </c>
      <c r="BG25" s="38" t="s">
        <v>711</v>
      </c>
      <c r="BH25" s="39" t="s">
        <v>712</v>
      </c>
    </row>
    <row r="26" spans="1:60" ht="20.100000000000001" customHeight="1" x14ac:dyDescent="0.25">
      <c r="A26" s="4">
        <v>17</v>
      </c>
      <c r="B26" s="4" t="s">
        <v>2433</v>
      </c>
      <c r="C26" s="38" t="s">
        <v>715</v>
      </c>
      <c r="D26" s="39" t="s">
        <v>716</v>
      </c>
      <c r="E26" s="7" t="s">
        <v>6</v>
      </c>
      <c r="F26" s="8"/>
      <c r="G26" s="8"/>
      <c r="H26" s="8"/>
      <c r="I26" s="8"/>
      <c r="J26" s="8"/>
      <c r="K26" s="8"/>
      <c r="L26" s="8"/>
      <c r="M26" s="8"/>
      <c r="N26" s="8"/>
      <c r="O26" s="8"/>
      <c r="P26" s="8"/>
      <c r="Q26" s="8"/>
      <c r="R26" s="8"/>
      <c r="S26" s="8"/>
      <c r="T26" s="8"/>
      <c r="U26" s="8"/>
      <c r="V26" s="8"/>
      <c r="W26" s="8"/>
      <c r="X26" s="8"/>
      <c r="Y26" s="8"/>
      <c r="Z26" s="8"/>
      <c r="AA26" s="8"/>
      <c r="AB26" s="8"/>
      <c r="AC26" s="8"/>
      <c r="AF26" s="15" t="s">
        <v>456</v>
      </c>
      <c r="AG26" t="s">
        <v>443</v>
      </c>
      <c r="AH26">
        <v>20527197</v>
      </c>
      <c r="AI26" t="s">
        <v>444</v>
      </c>
      <c r="AJ26" t="s">
        <v>7</v>
      </c>
      <c r="AL26" t="str">
        <f t="shared" si="0"/>
        <v>MERIZA NAILA ROHMAH</v>
      </c>
      <c r="AV26" s="38" t="s">
        <v>715</v>
      </c>
      <c r="AW26" s="39" t="s">
        <v>716</v>
      </c>
      <c r="AX26" s="38" t="s">
        <v>6</v>
      </c>
      <c r="AY26" s="39" t="s">
        <v>603</v>
      </c>
      <c r="AZ26" s="40">
        <v>85.65</v>
      </c>
      <c r="BA26" s="40">
        <v>61.67</v>
      </c>
      <c r="BB26" s="40">
        <v>73.37</v>
      </c>
      <c r="BC26" s="40" t="s">
        <v>458</v>
      </c>
      <c r="BD26" s="39" t="s">
        <v>475</v>
      </c>
      <c r="BF26" s="81" t="s">
        <v>2433</v>
      </c>
      <c r="BG26" s="38" t="s">
        <v>715</v>
      </c>
      <c r="BH26" s="39" t="s">
        <v>716</v>
      </c>
    </row>
    <row r="27" spans="1:60" ht="20.100000000000001" customHeight="1" x14ac:dyDescent="0.25">
      <c r="A27" s="4">
        <v>18</v>
      </c>
      <c r="B27" s="4" t="s">
        <v>2434</v>
      </c>
      <c r="C27" s="38" t="s">
        <v>717</v>
      </c>
      <c r="D27" s="39" t="s">
        <v>718</v>
      </c>
      <c r="E27" s="7" t="s">
        <v>6</v>
      </c>
      <c r="F27" s="8"/>
      <c r="G27" s="8"/>
      <c r="H27" s="8"/>
      <c r="I27" s="8"/>
      <c r="J27" s="8"/>
      <c r="K27" s="8"/>
      <c r="L27" s="8"/>
      <c r="M27" s="8"/>
      <c r="N27" s="8"/>
      <c r="O27" s="8"/>
      <c r="P27" s="8"/>
      <c r="Q27" s="8"/>
      <c r="R27" s="8"/>
      <c r="S27" s="8"/>
      <c r="T27" s="8"/>
      <c r="U27" s="8"/>
      <c r="V27" s="8"/>
      <c r="W27" s="8"/>
      <c r="X27" s="8"/>
      <c r="Y27" s="8"/>
      <c r="Z27" s="8"/>
      <c r="AA27" s="8"/>
      <c r="AB27" s="8"/>
      <c r="AC27" s="8"/>
      <c r="AF27" s="15" t="s">
        <v>456</v>
      </c>
      <c r="AG27" t="s">
        <v>415</v>
      </c>
      <c r="AH27">
        <v>20527180</v>
      </c>
      <c r="AI27" t="s">
        <v>416</v>
      </c>
      <c r="AJ27" t="s">
        <v>6</v>
      </c>
      <c r="AL27" t="str">
        <f t="shared" si="0"/>
        <v>MERY INDRIYANI</v>
      </c>
      <c r="AV27" s="38" t="s">
        <v>717</v>
      </c>
      <c r="AW27" s="39" t="s">
        <v>718</v>
      </c>
      <c r="AX27" s="38" t="s">
        <v>6</v>
      </c>
      <c r="AY27" s="39" t="s">
        <v>507</v>
      </c>
      <c r="AZ27" s="40" t="s">
        <v>719</v>
      </c>
      <c r="BA27" s="40" t="s">
        <v>720</v>
      </c>
      <c r="BB27" s="40" t="s">
        <v>721</v>
      </c>
      <c r="BC27" s="40" t="s">
        <v>458</v>
      </c>
      <c r="BD27" s="39" t="s">
        <v>475</v>
      </c>
      <c r="BF27" s="81" t="s">
        <v>2434</v>
      </c>
      <c r="BG27" s="38" t="s">
        <v>717</v>
      </c>
      <c r="BH27" s="39" t="s">
        <v>718</v>
      </c>
    </row>
    <row r="28" spans="1:60" ht="20.100000000000001" customHeight="1" x14ac:dyDescent="0.25">
      <c r="A28" s="4">
        <v>19</v>
      </c>
      <c r="B28" s="4" t="s">
        <v>2441</v>
      </c>
      <c r="C28" s="38" t="s">
        <v>722</v>
      </c>
      <c r="D28" s="39" t="s">
        <v>723</v>
      </c>
      <c r="E28" s="7" t="s">
        <v>7</v>
      </c>
      <c r="F28" s="8"/>
      <c r="G28" s="8"/>
      <c r="H28" s="8"/>
      <c r="I28" s="8"/>
      <c r="J28" s="8"/>
      <c r="K28" s="8"/>
      <c r="L28" s="8"/>
      <c r="M28" s="8"/>
      <c r="N28" s="8"/>
      <c r="O28" s="8"/>
      <c r="P28" s="8"/>
      <c r="Q28" s="8"/>
      <c r="R28" s="8"/>
      <c r="S28" s="8"/>
      <c r="T28" s="8"/>
      <c r="U28" s="8"/>
      <c r="V28" s="8"/>
      <c r="W28" s="8"/>
      <c r="X28" s="8"/>
      <c r="Y28" s="8"/>
      <c r="Z28" s="8"/>
      <c r="AA28" s="8"/>
      <c r="AB28" s="8"/>
      <c r="AC28" s="8"/>
      <c r="AF28" s="18" t="s">
        <v>237</v>
      </c>
      <c r="AG28" t="s">
        <v>233</v>
      </c>
      <c r="AH28">
        <v>20527197</v>
      </c>
      <c r="AI28" t="s">
        <v>234</v>
      </c>
      <c r="AJ28" t="s">
        <v>7</v>
      </c>
      <c r="AL28" t="str">
        <f t="shared" si="0"/>
        <v>MOH DZILDJAN ARUNAKAFA DJ</v>
      </c>
      <c r="AV28" s="38" t="s">
        <v>722</v>
      </c>
      <c r="AW28" s="39" t="s">
        <v>723</v>
      </c>
      <c r="AX28" s="38" t="s">
        <v>7</v>
      </c>
      <c r="AY28" s="39" t="s">
        <v>494</v>
      </c>
      <c r="AZ28" s="40" t="s">
        <v>724</v>
      </c>
      <c r="BA28" s="40" t="s">
        <v>548</v>
      </c>
      <c r="BB28" s="40" t="s">
        <v>725</v>
      </c>
      <c r="BC28" s="40" t="s">
        <v>458</v>
      </c>
      <c r="BD28" s="39" t="s">
        <v>475</v>
      </c>
      <c r="BF28" s="81" t="s">
        <v>2441</v>
      </c>
      <c r="BG28" s="38" t="s">
        <v>722</v>
      </c>
      <c r="BH28" s="39" t="s">
        <v>723</v>
      </c>
    </row>
    <row r="29" spans="1:60" ht="20.100000000000001" customHeight="1" x14ac:dyDescent="0.25">
      <c r="A29" s="4">
        <v>20</v>
      </c>
      <c r="B29" s="4" t="s">
        <v>2444</v>
      </c>
      <c r="C29" s="38" t="s">
        <v>726</v>
      </c>
      <c r="D29" s="39" t="s">
        <v>727</v>
      </c>
      <c r="E29" s="7" t="s">
        <v>7</v>
      </c>
      <c r="F29" s="8"/>
      <c r="G29" s="8"/>
      <c r="H29" s="8"/>
      <c r="I29" s="8"/>
      <c r="J29" s="8"/>
      <c r="K29" s="8"/>
      <c r="L29" s="8"/>
      <c r="M29" s="8"/>
      <c r="N29" s="8"/>
      <c r="O29" s="8"/>
      <c r="P29" s="8"/>
      <c r="Q29" s="8"/>
      <c r="R29" s="8"/>
      <c r="S29" s="8"/>
      <c r="T29" s="8"/>
      <c r="U29" s="8"/>
      <c r="V29" s="8"/>
      <c r="W29" s="8"/>
      <c r="X29" s="8"/>
      <c r="Y29" s="8"/>
      <c r="Z29" s="8"/>
      <c r="AA29" s="8"/>
      <c r="AB29" s="8"/>
      <c r="AC29" s="8"/>
      <c r="AF29" s="15" t="s">
        <v>456</v>
      </c>
      <c r="AG29" t="s">
        <v>246</v>
      </c>
      <c r="AH29">
        <v>20583410</v>
      </c>
      <c r="AI29" t="s">
        <v>247</v>
      </c>
      <c r="AJ29" t="s">
        <v>6</v>
      </c>
      <c r="AL29" t="str">
        <f t="shared" si="0"/>
        <v>MOH ILHAM UBAIDILAH</v>
      </c>
      <c r="AV29" s="38" t="s">
        <v>726</v>
      </c>
      <c r="AW29" s="39" t="s">
        <v>727</v>
      </c>
      <c r="AX29" s="38" t="s">
        <v>7</v>
      </c>
      <c r="AY29" s="39" t="s">
        <v>728</v>
      </c>
      <c r="AZ29" s="40" t="s">
        <v>729</v>
      </c>
      <c r="BA29" s="40" t="s">
        <v>730</v>
      </c>
      <c r="BB29" s="40" t="s">
        <v>731</v>
      </c>
      <c r="BC29" s="40" t="s">
        <v>458</v>
      </c>
      <c r="BD29" s="39" t="s">
        <v>732</v>
      </c>
      <c r="BF29" s="81" t="s">
        <v>2444</v>
      </c>
      <c r="BG29" s="38" t="s">
        <v>726</v>
      </c>
      <c r="BH29" s="39" t="s">
        <v>727</v>
      </c>
    </row>
    <row r="30" spans="1:60" ht="20.100000000000001" customHeight="1" x14ac:dyDescent="0.25">
      <c r="A30" s="4">
        <v>21</v>
      </c>
      <c r="B30" s="4" t="s">
        <v>2448</v>
      </c>
      <c r="C30" s="38">
        <v>3105710667</v>
      </c>
      <c r="D30" s="39" t="s">
        <v>733</v>
      </c>
      <c r="E30" s="7" t="s">
        <v>7</v>
      </c>
      <c r="F30" s="8"/>
      <c r="G30" s="8"/>
      <c r="H30" s="8"/>
      <c r="I30" s="8"/>
      <c r="J30" s="8"/>
      <c r="K30" s="8"/>
      <c r="L30" s="8"/>
      <c r="M30" s="8"/>
      <c r="N30" s="8"/>
      <c r="O30" s="8"/>
      <c r="P30" s="8"/>
      <c r="Q30" s="8"/>
      <c r="R30" s="8"/>
      <c r="S30" s="8"/>
      <c r="T30" s="8"/>
      <c r="U30" s="8"/>
      <c r="V30" s="8"/>
      <c r="W30" s="8"/>
      <c r="X30" s="8"/>
      <c r="Y30" s="8"/>
      <c r="Z30" s="8"/>
      <c r="AA30" s="8"/>
      <c r="AB30" s="8"/>
      <c r="AC30" s="8"/>
      <c r="AF30" s="15" t="s">
        <v>456</v>
      </c>
      <c r="AG30" t="s">
        <v>435</v>
      </c>
      <c r="AH30">
        <v>20527180</v>
      </c>
      <c r="AI30" t="s">
        <v>436</v>
      </c>
      <c r="AJ30" t="s">
        <v>6</v>
      </c>
      <c r="AL30" t="str">
        <f t="shared" si="0"/>
        <v>MOH YERIK HARSHA</v>
      </c>
      <c r="AV30" s="38">
        <v>3105710667</v>
      </c>
      <c r="AW30" s="39" t="s">
        <v>733</v>
      </c>
      <c r="AX30" s="38" t="s">
        <v>7</v>
      </c>
      <c r="AY30" s="39" t="s">
        <v>734</v>
      </c>
      <c r="AZ30" s="40">
        <v>79.89</v>
      </c>
      <c r="BA30" s="40" t="s">
        <v>735</v>
      </c>
      <c r="BB30" s="40">
        <v>64.12</v>
      </c>
      <c r="BC30" s="40" t="s">
        <v>458</v>
      </c>
      <c r="BD30" s="39" t="s">
        <v>475</v>
      </c>
      <c r="BF30" s="81" t="s">
        <v>2448</v>
      </c>
      <c r="BG30" s="38">
        <v>3105710667</v>
      </c>
      <c r="BH30" s="39" t="s">
        <v>733</v>
      </c>
    </row>
    <row r="31" spans="1:60" ht="20.100000000000001" customHeight="1" x14ac:dyDescent="0.25">
      <c r="A31" s="4">
        <v>22</v>
      </c>
      <c r="B31" s="4" t="s">
        <v>2503</v>
      </c>
      <c r="C31" s="38" t="s">
        <v>736</v>
      </c>
      <c r="D31" s="39" t="s">
        <v>737</v>
      </c>
      <c r="E31" s="7" t="s">
        <v>7</v>
      </c>
      <c r="F31" s="8"/>
      <c r="G31" s="8"/>
      <c r="H31" s="8"/>
      <c r="I31" s="8"/>
      <c r="J31" s="8"/>
      <c r="K31" s="8"/>
      <c r="L31" s="8"/>
      <c r="M31" s="8"/>
      <c r="N31" s="8"/>
      <c r="O31" s="8"/>
      <c r="P31" s="8"/>
      <c r="Q31" s="8"/>
      <c r="R31" s="8"/>
      <c r="S31" s="8"/>
      <c r="T31" s="8"/>
      <c r="U31" s="8"/>
      <c r="V31" s="8"/>
      <c r="W31" s="8"/>
      <c r="X31" s="8"/>
      <c r="Y31" s="8"/>
      <c r="Z31" s="8"/>
      <c r="AA31" s="8"/>
      <c r="AB31" s="8"/>
      <c r="AC31" s="8"/>
      <c r="AF31" s="15" t="s">
        <v>456</v>
      </c>
      <c r="AG31" t="s">
        <v>361</v>
      </c>
      <c r="AH31">
        <v>20527197</v>
      </c>
      <c r="AI31" t="s">
        <v>362</v>
      </c>
      <c r="AJ31" t="s">
        <v>6</v>
      </c>
      <c r="AL31" t="str">
        <f t="shared" si="0"/>
        <v>PRASEPTYAN PUTERA ABSULISTYAWAN</v>
      </c>
      <c r="AV31" s="38" t="s">
        <v>736</v>
      </c>
      <c r="AW31" s="39" t="s">
        <v>737</v>
      </c>
      <c r="AX31" s="38" t="s">
        <v>7</v>
      </c>
      <c r="AY31" s="39" t="s">
        <v>542</v>
      </c>
      <c r="AZ31" s="40">
        <v>87.54</v>
      </c>
      <c r="BA31" s="40">
        <v>61.67</v>
      </c>
      <c r="BB31" s="40">
        <v>77.19</v>
      </c>
      <c r="BC31" s="40" t="s">
        <v>458</v>
      </c>
      <c r="BD31" s="39" t="s">
        <v>485</v>
      </c>
      <c r="BF31" s="81" t="s">
        <v>2503</v>
      </c>
      <c r="BG31" s="38" t="s">
        <v>736</v>
      </c>
      <c r="BH31" s="39" t="s">
        <v>737</v>
      </c>
    </row>
    <row r="32" spans="1:60" ht="20.100000000000001" customHeight="1" x14ac:dyDescent="0.25">
      <c r="A32" s="4">
        <v>23</v>
      </c>
      <c r="B32" s="4" t="s">
        <v>2517</v>
      </c>
      <c r="C32" s="38" t="s">
        <v>738</v>
      </c>
      <c r="D32" s="39" t="s">
        <v>739</v>
      </c>
      <c r="E32" s="7" t="s">
        <v>7</v>
      </c>
      <c r="F32" s="8"/>
      <c r="G32" s="8"/>
      <c r="H32" s="8"/>
      <c r="I32" s="8"/>
      <c r="J32" s="8"/>
      <c r="K32" s="8"/>
      <c r="L32" s="8"/>
      <c r="M32" s="8"/>
      <c r="N32" s="8"/>
      <c r="O32" s="8"/>
      <c r="P32" s="8"/>
      <c r="Q32" s="8"/>
      <c r="R32" s="8"/>
      <c r="S32" s="8"/>
      <c r="T32" s="8"/>
      <c r="U32" s="8"/>
      <c r="V32" s="8"/>
      <c r="W32" s="8"/>
      <c r="X32" s="8"/>
      <c r="Y32" s="8"/>
      <c r="Z32" s="8"/>
      <c r="AA32" s="8"/>
      <c r="AB32" s="8"/>
      <c r="AC32" s="8"/>
      <c r="AF32" s="13" t="s">
        <v>40</v>
      </c>
      <c r="AG32" t="s">
        <v>34</v>
      </c>
      <c r="AH32">
        <v>20527166</v>
      </c>
      <c r="AI32" t="s">
        <v>35</v>
      </c>
      <c r="AJ32" t="s">
        <v>6</v>
      </c>
      <c r="AL32" t="str">
        <f t="shared" si="0"/>
        <v>RAFLI WAHYU SETYAWAN</v>
      </c>
      <c r="AV32" s="38" t="s">
        <v>738</v>
      </c>
      <c r="AW32" s="39" t="s">
        <v>739</v>
      </c>
      <c r="AX32" s="38" t="s">
        <v>7</v>
      </c>
      <c r="AY32" s="39" t="s">
        <v>494</v>
      </c>
      <c r="AZ32" s="40" t="s">
        <v>740</v>
      </c>
      <c r="BA32" s="40" t="s">
        <v>741</v>
      </c>
      <c r="BB32" s="40" t="s">
        <v>742</v>
      </c>
      <c r="BC32" s="40" t="s">
        <v>458</v>
      </c>
      <c r="BD32" s="39" t="s">
        <v>475</v>
      </c>
      <c r="BF32" s="81" t="s">
        <v>2517</v>
      </c>
      <c r="BG32" s="38" t="s">
        <v>738</v>
      </c>
      <c r="BH32" s="39" t="s">
        <v>739</v>
      </c>
    </row>
    <row r="33" spans="1:60" ht="20.100000000000001" customHeight="1" x14ac:dyDescent="0.25">
      <c r="A33" s="4">
        <v>24</v>
      </c>
      <c r="B33" s="4" t="s">
        <v>2519</v>
      </c>
      <c r="C33" s="38" t="s">
        <v>743</v>
      </c>
      <c r="D33" s="39" t="s">
        <v>744</v>
      </c>
      <c r="E33" s="7" t="s">
        <v>6</v>
      </c>
      <c r="F33" s="8"/>
      <c r="G33" s="8"/>
      <c r="H33" s="8"/>
      <c r="I33" s="8"/>
      <c r="J33" s="8"/>
      <c r="K33" s="8"/>
      <c r="L33" s="8"/>
      <c r="M33" s="8"/>
      <c r="N33" s="8"/>
      <c r="O33" s="8"/>
      <c r="P33" s="8"/>
      <c r="Q33" s="8"/>
      <c r="R33" s="8"/>
      <c r="S33" s="8"/>
      <c r="T33" s="8"/>
      <c r="U33" s="8"/>
      <c r="V33" s="8"/>
      <c r="W33" s="8"/>
      <c r="X33" s="8"/>
      <c r="Y33" s="8"/>
      <c r="Z33" s="8"/>
      <c r="AA33" s="8"/>
      <c r="AB33" s="8"/>
      <c r="AC33" s="8"/>
      <c r="AF33" s="17" t="s">
        <v>128</v>
      </c>
      <c r="AG33" t="s">
        <v>96</v>
      </c>
      <c r="AH33">
        <v>20527195</v>
      </c>
      <c r="AI33" t="s">
        <v>97</v>
      </c>
      <c r="AJ33" t="s">
        <v>7</v>
      </c>
      <c r="AL33" t="str">
        <f>UPPER('X-8'!D21)</f>
        <v>FEBRINA KAYLILA RAHMAWATI</v>
      </c>
      <c r="AV33" s="38" t="s">
        <v>743</v>
      </c>
      <c r="AW33" s="39" t="s">
        <v>744</v>
      </c>
      <c r="AX33" s="38" t="s">
        <v>6</v>
      </c>
      <c r="AY33" s="39" t="s">
        <v>494</v>
      </c>
      <c r="AZ33" s="40">
        <v>89.37</v>
      </c>
      <c r="BA33" s="40">
        <v>80</v>
      </c>
      <c r="BB33" s="40">
        <v>85.62</v>
      </c>
      <c r="BC33" s="40" t="s">
        <v>458</v>
      </c>
      <c r="BD33" s="39" t="s">
        <v>745</v>
      </c>
      <c r="BF33" s="81" t="s">
        <v>2519</v>
      </c>
      <c r="BG33" s="38" t="s">
        <v>743</v>
      </c>
      <c r="BH33" s="39" t="s">
        <v>744</v>
      </c>
    </row>
    <row r="34" spans="1:60" ht="20.100000000000001" customHeight="1" x14ac:dyDescent="0.25">
      <c r="A34" s="4">
        <v>25</v>
      </c>
      <c r="B34" s="4" t="s">
        <v>2532</v>
      </c>
      <c r="C34" s="38" t="s">
        <v>746</v>
      </c>
      <c r="D34" s="39" t="s">
        <v>747</v>
      </c>
      <c r="E34" s="7" t="s">
        <v>7</v>
      </c>
      <c r="F34" s="8"/>
      <c r="G34" s="8"/>
      <c r="H34" s="8"/>
      <c r="I34" s="8"/>
      <c r="J34" s="8"/>
      <c r="K34" s="8"/>
      <c r="L34" s="8"/>
      <c r="M34" s="8"/>
      <c r="N34" s="8"/>
      <c r="O34" s="8"/>
      <c r="P34" s="8"/>
      <c r="Q34" s="8"/>
      <c r="R34" s="8"/>
      <c r="S34" s="8"/>
      <c r="T34" s="8"/>
      <c r="U34" s="8"/>
      <c r="V34" s="8"/>
      <c r="W34" s="8"/>
      <c r="X34" s="8"/>
      <c r="Y34" s="8"/>
      <c r="Z34" s="8"/>
      <c r="AA34" s="8"/>
      <c r="AB34" s="8"/>
      <c r="AC34" s="8"/>
      <c r="AF34" s="18" t="s">
        <v>237</v>
      </c>
      <c r="AG34" t="s">
        <v>155</v>
      </c>
      <c r="AH34">
        <v>20527197</v>
      </c>
      <c r="AI34" t="s">
        <v>156</v>
      </c>
      <c r="AJ34" t="s">
        <v>7</v>
      </c>
      <c r="AL34" t="str">
        <f t="shared" ref="AL34:AL45" si="1">UPPER(D34)</f>
        <v>RIFQI ALFAIRUS ALHAMDANI</v>
      </c>
      <c r="AV34" s="38" t="s">
        <v>746</v>
      </c>
      <c r="AW34" s="39" t="s">
        <v>747</v>
      </c>
      <c r="AX34" s="38" t="s">
        <v>7</v>
      </c>
      <c r="AY34" s="39" t="s">
        <v>748</v>
      </c>
      <c r="AZ34" s="40" t="s">
        <v>749</v>
      </c>
      <c r="BA34" s="40" t="s">
        <v>741</v>
      </c>
      <c r="BB34" s="40" t="s">
        <v>750</v>
      </c>
      <c r="BC34" s="40" t="s">
        <v>458</v>
      </c>
      <c r="BD34" s="39" t="s">
        <v>751</v>
      </c>
      <c r="BF34" s="81" t="s">
        <v>2532</v>
      </c>
      <c r="BG34" s="38" t="s">
        <v>746</v>
      </c>
      <c r="BH34" s="39" t="s">
        <v>747</v>
      </c>
    </row>
    <row r="35" spans="1:60" ht="20.100000000000001" customHeight="1" x14ac:dyDescent="0.25">
      <c r="A35" s="4">
        <v>26</v>
      </c>
      <c r="B35" s="4" t="s">
        <v>2540</v>
      </c>
      <c r="C35" s="38" t="s">
        <v>752</v>
      </c>
      <c r="D35" s="39" t="s">
        <v>753</v>
      </c>
      <c r="E35" s="7" t="s">
        <v>6</v>
      </c>
      <c r="F35" s="8"/>
      <c r="G35" s="8"/>
      <c r="H35" s="8"/>
      <c r="I35" s="8"/>
      <c r="J35" s="8"/>
      <c r="K35" s="8"/>
      <c r="L35" s="8"/>
      <c r="M35" s="8"/>
      <c r="N35" s="8"/>
      <c r="O35" s="8"/>
      <c r="P35" s="8"/>
      <c r="Q35" s="8"/>
      <c r="R35" s="8"/>
      <c r="S35" s="8"/>
      <c r="T35" s="8"/>
      <c r="U35" s="8"/>
      <c r="V35" s="8"/>
      <c r="W35" s="8"/>
      <c r="X35" s="8"/>
      <c r="Y35" s="8"/>
      <c r="Z35" s="8"/>
      <c r="AA35" s="8"/>
      <c r="AB35" s="8"/>
      <c r="AC35" s="8"/>
      <c r="AF35" s="18" t="s">
        <v>237</v>
      </c>
      <c r="AG35" t="s">
        <v>135</v>
      </c>
      <c r="AH35">
        <v>20527197</v>
      </c>
      <c r="AI35" t="s">
        <v>136</v>
      </c>
      <c r="AJ35" t="s">
        <v>6</v>
      </c>
      <c r="AL35" t="str">
        <f t="shared" si="1"/>
        <v>S QONITA HAMDY R</v>
      </c>
      <c r="AV35" s="38" t="s">
        <v>752</v>
      </c>
      <c r="AW35" s="39" t="s">
        <v>753</v>
      </c>
      <c r="AX35" s="38" t="s">
        <v>6</v>
      </c>
      <c r="AY35" s="39" t="s">
        <v>754</v>
      </c>
      <c r="AZ35" s="40" t="s">
        <v>755</v>
      </c>
      <c r="BA35" s="40" t="s">
        <v>677</v>
      </c>
      <c r="BB35" s="40" t="s">
        <v>756</v>
      </c>
      <c r="BC35" s="40" t="s">
        <v>458</v>
      </c>
      <c r="BD35" s="39" t="s">
        <v>475</v>
      </c>
      <c r="BF35" s="81" t="s">
        <v>2540</v>
      </c>
      <c r="BG35" s="38" t="s">
        <v>752</v>
      </c>
      <c r="BH35" s="39" t="s">
        <v>753</v>
      </c>
    </row>
    <row r="36" spans="1:60" ht="20.100000000000001" customHeight="1" x14ac:dyDescent="0.25">
      <c r="A36" s="4">
        <v>27</v>
      </c>
      <c r="B36" s="4" t="s">
        <v>2546</v>
      </c>
      <c r="C36" s="38" t="s">
        <v>757</v>
      </c>
      <c r="D36" s="39" t="s">
        <v>758</v>
      </c>
      <c r="E36" s="7" t="s">
        <v>6</v>
      </c>
      <c r="F36" s="8"/>
      <c r="G36" s="8"/>
      <c r="H36" s="8"/>
      <c r="I36" s="8"/>
      <c r="J36" s="8"/>
      <c r="K36" s="8"/>
      <c r="L36" s="8"/>
      <c r="M36" s="8"/>
      <c r="N36" s="8"/>
      <c r="O36" s="8"/>
      <c r="P36" s="8"/>
      <c r="Q36" s="8"/>
      <c r="R36" s="8"/>
      <c r="S36" s="8"/>
      <c r="T36" s="8"/>
      <c r="U36" s="8"/>
      <c r="V36" s="8"/>
      <c r="W36" s="8"/>
      <c r="X36" s="8"/>
      <c r="Y36" s="8"/>
      <c r="Z36" s="8"/>
      <c r="AA36" s="8"/>
      <c r="AB36" s="8"/>
      <c r="AC36" s="8"/>
      <c r="AF36" s="16" t="s">
        <v>56</v>
      </c>
      <c r="AG36" t="s">
        <v>54</v>
      </c>
      <c r="AH36">
        <v>20527197</v>
      </c>
      <c r="AI36" t="s">
        <v>55</v>
      </c>
      <c r="AJ36" t="s">
        <v>6</v>
      </c>
      <c r="AL36" t="str">
        <f t="shared" si="1"/>
        <v>SAFRA HUBBY ELHAKIM</v>
      </c>
      <c r="AV36" s="38" t="s">
        <v>757</v>
      </c>
      <c r="AW36" s="39" t="s">
        <v>758</v>
      </c>
      <c r="AX36" s="38" t="s">
        <v>6</v>
      </c>
      <c r="AY36" s="39" t="s">
        <v>759</v>
      </c>
      <c r="AZ36" s="40" t="s">
        <v>760</v>
      </c>
      <c r="BA36" s="40" t="s">
        <v>473</v>
      </c>
      <c r="BB36" s="40" t="s">
        <v>761</v>
      </c>
      <c r="BC36" s="40" t="s">
        <v>458</v>
      </c>
      <c r="BD36" s="39" t="s">
        <v>475</v>
      </c>
      <c r="BF36" s="81" t="s">
        <v>2546</v>
      </c>
      <c r="BG36" s="38" t="s">
        <v>757</v>
      </c>
      <c r="BH36" s="39" t="s">
        <v>758</v>
      </c>
    </row>
    <row r="37" spans="1:60" ht="20.100000000000001" customHeight="1" x14ac:dyDescent="0.25">
      <c r="A37" s="4">
        <v>28</v>
      </c>
      <c r="B37" s="4" t="s">
        <v>2549</v>
      </c>
      <c r="C37" s="38" t="s">
        <v>762</v>
      </c>
      <c r="D37" s="39" t="s">
        <v>763</v>
      </c>
      <c r="E37" s="7" t="s">
        <v>6</v>
      </c>
      <c r="F37" s="8"/>
      <c r="G37" s="8"/>
      <c r="H37" s="8"/>
      <c r="I37" s="8"/>
      <c r="J37" s="8"/>
      <c r="K37" s="8"/>
      <c r="L37" s="8"/>
      <c r="M37" s="8"/>
      <c r="N37" s="8"/>
      <c r="O37" s="8"/>
      <c r="P37" s="8"/>
      <c r="Q37" s="8"/>
      <c r="R37" s="8"/>
      <c r="S37" s="8"/>
      <c r="T37" s="8"/>
      <c r="U37" s="8"/>
      <c r="V37" s="8"/>
      <c r="W37" s="8"/>
      <c r="X37" s="8"/>
      <c r="Y37" s="8"/>
      <c r="Z37" s="8"/>
      <c r="AA37" s="8"/>
      <c r="AB37" s="8"/>
      <c r="AC37" s="8"/>
      <c r="AL37" t="str">
        <f t="shared" si="1"/>
        <v>SAKINATIN NUR LAILA HANAFI</v>
      </c>
      <c r="AV37" s="38" t="s">
        <v>762</v>
      </c>
      <c r="AW37" s="39" t="s">
        <v>763</v>
      </c>
      <c r="AX37" s="38" t="s">
        <v>6</v>
      </c>
      <c r="AY37" s="39" t="s">
        <v>764</v>
      </c>
      <c r="AZ37" s="40">
        <v>90.84</v>
      </c>
      <c r="BA37" s="40">
        <v>71.67</v>
      </c>
      <c r="BB37" s="40">
        <v>83.17</v>
      </c>
      <c r="BC37" s="40" t="s">
        <v>458</v>
      </c>
      <c r="BD37" s="39" t="s">
        <v>765</v>
      </c>
      <c r="BF37" s="81" t="s">
        <v>2549</v>
      </c>
      <c r="BG37" s="38" t="s">
        <v>762</v>
      </c>
      <c r="BH37" s="39" t="s">
        <v>763</v>
      </c>
    </row>
    <row r="38" spans="1:60" ht="20.100000000000001" customHeight="1" x14ac:dyDescent="0.25">
      <c r="A38" s="4">
        <v>29</v>
      </c>
      <c r="B38" s="4" t="s">
        <v>2554</v>
      </c>
      <c r="C38" s="38" t="s">
        <v>766</v>
      </c>
      <c r="D38" s="39" t="s">
        <v>767</v>
      </c>
      <c r="E38" s="7" t="s">
        <v>6</v>
      </c>
      <c r="F38" s="8"/>
      <c r="G38" s="8"/>
      <c r="H38" s="8"/>
      <c r="I38" s="8"/>
      <c r="J38" s="8"/>
      <c r="K38" s="8"/>
      <c r="L38" s="8"/>
      <c r="M38" s="8"/>
      <c r="N38" s="8"/>
      <c r="O38" s="8"/>
      <c r="P38" s="8"/>
      <c r="Q38" s="8"/>
      <c r="R38" s="8"/>
      <c r="S38" s="8"/>
      <c r="T38" s="8"/>
      <c r="U38" s="8"/>
      <c r="V38" s="8"/>
      <c r="W38" s="8"/>
      <c r="X38" s="8"/>
      <c r="Y38" s="8"/>
      <c r="Z38" s="8"/>
      <c r="AA38" s="8"/>
      <c r="AB38" s="8"/>
      <c r="AC38" s="8"/>
      <c r="AL38" t="str">
        <f t="shared" si="1"/>
        <v>SHABRINA AZKA IMANA</v>
      </c>
      <c r="AV38" s="38" t="s">
        <v>766</v>
      </c>
      <c r="AW38" s="39" t="s">
        <v>767</v>
      </c>
      <c r="AX38" s="38" t="s">
        <v>6</v>
      </c>
      <c r="AY38" s="39" t="s">
        <v>478</v>
      </c>
      <c r="AZ38" s="40" t="s">
        <v>768</v>
      </c>
      <c r="BA38" s="40" t="s">
        <v>769</v>
      </c>
      <c r="BB38" s="40" t="s">
        <v>770</v>
      </c>
      <c r="BC38" s="40" t="s">
        <v>458</v>
      </c>
      <c r="BD38" s="39" t="s">
        <v>475</v>
      </c>
      <c r="BF38" s="81" t="s">
        <v>2554</v>
      </c>
      <c r="BG38" s="38" t="s">
        <v>766</v>
      </c>
      <c r="BH38" s="39" t="s">
        <v>767</v>
      </c>
    </row>
    <row r="39" spans="1:60" ht="20.100000000000001" customHeight="1" x14ac:dyDescent="0.25">
      <c r="A39" s="4">
        <v>30</v>
      </c>
      <c r="B39" s="4" t="s">
        <v>2568</v>
      </c>
      <c r="C39" s="38" t="s">
        <v>771</v>
      </c>
      <c r="D39" s="39" t="s">
        <v>772</v>
      </c>
      <c r="E39" s="7" t="s">
        <v>6</v>
      </c>
      <c r="F39" s="8"/>
      <c r="G39" s="8"/>
      <c r="H39" s="8"/>
      <c r="I39" s="8"/>
      <c r="J39" s="8"/>
      <c r="K39" s="8"/>
      <c r="L39" s="8"/>
      <c r="M39" s="8"/>
      <c r="N39" s="8"/>
      <c r="O39" s="8"/>
      <c r="P39" s="8"/>
      <c r="Q39" s="8"/>
      <c r="R39" s="8"/>
      <c r="S39" s="8"/>
      <c r="T39" s="8"/>
      <c r="U39" s="8"/>
      <c r="V39" s="8"/>
      <c r="W39" s="8"/>
      <c r="X39" s="8"/>
      <c r="Y39" s="8"/>
      <c r="Z39" s="8"/>
      <c r="AA39" s="8"/>
      <c r="AB39" s="8"/>
      <c r="AC39" s="8"/>
      <c r="AL39" t="str">
        <f t="shared" si="1"/>
        <v>ULFA RAUDHATUS SOLEHAH E</v>
      </c>
      <c r="AV39" s="38" t="s">
        <v>771</v>
      </c>
      <c r="AW39" s="39" t="s">
        <v>772</v>
      </c>
      <c r="AX39" s="38" t="s">
        <v>6</v>
      </c>
      <c r="AY39" s="39" t="s">
        <v>619</v>
      </c>
      <c r="AZ39" s="40">
        <v>90.11</v>
      </c>
      <c r="BA39" s="40">
        <v>71.67</v>
      </c>
      <c r="BB39" s="40">
        <v>82.73</v>
      </c>
      <c r="BC39" s="40" t="s">
        <v>458</v>
      </c>
      <c r="BD39" s="39" t="s">
        <v>485</v>
      </c>
      <c r="BF39" s="81" t="s">
        <v>2568</v>
      </c>
      <c r="BG39" s="38" t="s">
        <v>771</v>
      </c>
      <c r="BH39" s="39" t="s">
        <v>772</v>
      </c>
    </row>
    <row r="40" spans="1:60" ht="20.100000000000001" customHeight="1" x14ac:dyDescent="0.25">
      <c r="A40" s="4">
        <v>31</v>
      </c>
      <c r="B40" s="4" t="s">
        <v>2572</v>
      </c>
      <c r="C40" s="38" t="s">
        <v>773</v>
      </c>
      <c r="D40" s="39" t="s">
        <v>774</v>
      </c>
      <c r="E40" s="7" t="s">
        <v>6</v>
      </c>
      <c r="F40" s="8"/>
      <c r="G40" s="8"/>
      <c r="H40" s="8"/>
      <c r="I40" s="8"/>
      <c r="J40" s="8"/>
      <c r="K40" s="8"/>
      <c r="L40" s="8"/>
      <c r="M40" s="8"/>
      <c r="N40" s="8"/>
      <c r="O40" s="8"/>
      <c r="P40" s="8"/>
      <c r="Q40" s="8"/>
      <c r="R40" s="8"/>
      <c r="S40" s="8"/>
      <c r="T40" s="8"/>
      <c r="U40" s="8"/>
      <c r="V40" s="8"/>
      <c r="W40" s="8"/>
      <c r="X40" s="8"/>
      <c r="Y40" s="8"/>
      <c r="Z40" s="8"/>
      <c r="AA40" s="8"/>
      <c r="AB40" s="8"/>
      <c r="AC40" s="8"/>
      <c r="AL40" t="str">
        <f t="shared" si="1"/>
        <v>VIDYRA ANNAJWA SYAFITRI</v>
      </c>
      <c r="AV40" s="38" t="s">
        <v>773</v>
      </c>
      <c r="AW40" s="39" t="s">
        <v>774</v>
      </c>
      <c r="AX40" s="38" t="s">
        <v>6</v>
      </c>
      <c r="AY40" s="39" t="s">
        <v>478</v>
      </c>
      <c r="AZ40" s="40" t="s">
        <v>775</v>
      </c>
      <c r="BA40" s="40" t="s">
        <v>480</v>
      </c>
      <c r="BB40" s="40" t="s">
        <v>776</v>
      </c>
      <c r="BC40" s="40" t="s">
        <v>458</v>
      </c>
      <c r="BD40" s="39" t="s">
        <v>475</v>
      </c>
      <c r="BF40" s="81" t="s">
        <v>2572</v>
      </c>
      <c r="BG40" s="38" t="s">
        <v>773</v>
      </c>
      <c r="BH40" s="39" t="s">
        <v>774</v>
      </c>
    </row>
    <row r="41" spans="1:60" ht="20.100000000000001" customHeight="1" x14ac:dyDescent="0.25">
      <c r="A41" s="4">
        <v>32</v>
      </c>
      <c r="B41" s="4" t="s">
        <v>2575</v>
      </c>
      <c r="C41" s="38" t="s">
        <v>777</v>
      </c>
      <c r="D41" s="39" t="s">
        <v>778</v>
      </c>
      <c r="E41" s="7" t="s">
        <v>7</v>
      </c>
      <c r="F41" s="8"/>
      <c r="G41" s="8"/>
      <c r="H41" s="8"/>
      <c r="I41" s="8"/>
      <c r="J41" s="8"/>
      <c r="K41" s="8"/>
      <c r="L41" s="8"/>
      <c r="M41" s="8"/>
      <c r="N41" s="8"/>
      <c r="O41" s="8"/>
      <c r="P41" s="8"/>
      <c r="Q41" s="8"/>
      <c r="R41" s="8"/>
      <c r="S41" s="8"/>
      <c r="T41" s="8"/>
      <c r="U41" s="8"/>
      <c r="V41" s="8"/>
      <c r="W41" s="8"/>
      <c r="X41" s="8"/>
      <c r="Y41" s="8"/>
      <c r="Z41" s="8"/>
      <c r="AA41" s="8"/>
      <c r="AB41" s="8"/>
      <c r="AC41" s="8"/>
      <c r="AL41" t="str">
        <f t="shared" si="1"/>
        <v>WIDAD RAJEV KENZIE</v>
      </c>
      <c r="AV41" s="38" t="s">
        <v>777</v>
      </c>
      <c r="AW41" s="39" t="s">
        <v>778</v>
      </c>
      <c r="AX41" s="38" t="s">
        <v>7</v>
      </c>
      <c r="AY41" s="39" t="s">
        <v>779</v>
      </c>
      <c r="AZ41" s="40">
        <v>89.17</v>
      </c>
      <c r="BA41" s="40">
        <v>68.34</v>
      </c>
      <c r="BB41" s="40">
        <v>80.84</v>
      </c>
      <c r="BC41" s="40" t="s">
        <v>458</v>
      </c>
      <c r="BD41" s="39" t="s">
        <v>475</v>
      </c>
      <c r="BF41" s="81" t="s">
        <v>2575</v>
      </c>
      <c r="BG41" s="38" t="s">
        <v>777</v>
      </c>
      <c r="BH41" s="39" t="s">
        <v>778</v>
      </c>
    </row>
    <row r="42" spans="1:60" ht="20.100000000000001" customHeight="1" x14ac:dyDescent="0.25">
      <c r="A42" s="4">
        <v>33</v>
      </c>
      <c r="B42" s="4" t="s">
        <v>2577</v>
      </c>
      <c r="C42" s="38" t="s">
        <v>780</v>
      </c>
      <c r="D42" s="39" t="s">
        <v>781</v>
      </c>
      <c r="E42" s="7" t="s">
        <v>7</v>
      </c>
      <c r="F42" s="8"/>
      <c r="G42" s="8"/>
      <c r="H42" s="8"/>
      <c r="I42" s="8"/>
      <c r="J42" s="8"/>
      <c r="K42" s="8"/>
      <c r="L42" s="8"/>
      <c r="M42" s="8"/>
      <c r="N42" s="8"/>
      <c r="O42" s="8"/>
      <c r="P42" s="8"/>
      <c r="Q42" s="8"/>
      <c r="R42" s="8"/>
      <c r="S42" s="8"/>
      <c r="T42" s="8"/>
      <c r="U42" s="8"/>
      <c r="V42" s="8"/>
      <c r="W42" s="8"/>
      <c r="X42" s="8"/>
      <c r="Y42" s="8"/>
      <c r="Z42" s="8"/>
      <c r="AA42" s="8"/>
      <c r="AB42" s="8"/>
      <c r="AC42" s="8"/>
      <c r="AL42" t="str">
        <f t="shared" si="1"/>
        <v>WILYARDI DWIKI AZKARIANSYAH</v>
      </c>
      <c r="AV42" s="38" t="s">
        <v>780</v>
      </c>
      <c r="AW42" s="39" t="s">
        <v>781</v>
      </c>
      <c r="AX42" s="38" t="s">
        <v>7</v>
      </c>
      <c r="AY42" s="39" t="s">
        <v>494</v>
      </c>
      <c r="AZ42" s="40">
        <v>83.4</v>
      </c>
      <c r="BA42" s="40">
        <v>68.34</v>
      </c>
      <c r="BB42" s="40">
        <v>77.37</v>
      </c>
      <c r="BC42" s="40" t="s">
        <v>458</v>
      </c>
      <c r="BD42" s="39" t="s">
        <v>475</v>
      </c>
      <c r="BF42" s="81" t="s">
        <v>2577</v>
      </c>
      <c r="BG42" s="38" t="s">
        <v>780</v>
      </c>
      <c r="BH42" s="39" t="s">
        <v>781</v>
      </c>
    </row>
    <row r="43" spans="1:60" ht="20.100000000000001" customHeight="1" x14ac:dyDescent="0.25">
      <c r="A43" s="4">
        <v>34</v>
      </c>
      <c r="B43" s="4" t="s">
        <v>2583</v>
      </c>
      <c r="C43" s="38" t="s">
        <v>782</v>
      </c>
      <c r="D43" s="39" t="s">
        <v>783</v>
      </c>
      <c r="E43" s="7" t="s">
        <v>6</v>
      </c>
      <c r="F43" s="8"/>
      <c r="G43" s="8"/>
      <c r="H43" s="8"/>
      <c r="I43" s="8"/>
      <c r="J43" s="8"/>
      <c r="K43" s="8"/>
      <c r="L43" s="8"/>
      <c r="M43" s="8"/>
      <c r="N43" s="8"/>
      <c r="O43" s="8"/>
      <c r="P43" s="8"/>
      <c r="Q43" s="8"/>
      <c r="R43" s="8"/>
      <c r="S43" s="8"/>
      <c r="T43" s="8"/>
      <c r="U43" s="8"/>
      <c r="V43" s="8"/>
      <c r="W43" s="8"/>
      <c r="X43" s="8"/>
      <c r="Y43" s="8"/>
      <c r="Z43" s="8"/>
      <c r="AA43" s="8"/>
      <c r="AB43" s="8"/>
      <c r="AC43" s="8"/>
      <c r="AL43" t="str">
        <f t="shared" si="1"/>
        <v>YASMIN RAISA SHABRINA</v>
      </c>
      <c r="AV43" s="38" t="s">
        <v>782</v>
      </c>
      <c r="AW43" s="39" t="s">
        <v>783</v>
      </c>
      <c r="AX43" s="38" t="s">
        <v>6</v>
      </c>
      <c r="AY43" s="39" t="s">
        <v>478</v>
      </c>
      <c r="AZ43" s="40" t="s">
        <v>784</v>
      </c>
      <c r="BA43" s="40" t="s">
        <v>502</v>
      </c>
      <c r="BB43" s="40" t="s">
        <v>785</v>
      </c>
      <c r="BC43" s="40" t="s">
        <v>458</v>
      </c>
      <c r="BD43" s="39" t="s">
        <v>475</v>
      </c>
      <c r="BF43" s="81" t="s">
        <v>2583</v>
      </c>
      <c r="BG43" s="38" t="s">
        <v>782</v>
      </c>
      <c r="BH43" s="39" t="s">
        <v>783</v>
      </c>
    </row>
    <row r="44" spans="1:60" ht="20.100000000000001" customHeight="1" x14ac:dyDescent="0.25">
      <c r="A44" s="4">
        <v>35</v>
      </c>
      <c r="B44" s="4" t="s">
        <v>2593</v>
      </c>
      <c r="C44" s="38" t="s">
        <v>786</v>
      </c>
      <c r="D44" s="39" t="s">
        <v>787</v>
      </c>
      <c r="E44" s="7" t="s">
        <v>7</v>
      </c>
      <c r="F44" s="8"/>
      <c r="G44" s="8"/>
      <c r="H44" s="8"/>
      <c r="I44" s="8"/>
      <c r="J44" s="8"/>
      <c r="K44" s="8"/>
      <c r="L44" s="8"/>
      <c r="M44" s="8"/>
      <c r="N44" s="8"/>
      <c r="O44" s="8"/>
      <c r="P44" s="8"/>
      <c r="Q44" s="8"/>
      <c r="R44" s="8"/>
      <c r="S44" s="8"/>
      <c r="T44" s="8"/>
      <c r="U44" s="8"/>
      <c r="V44" s="8"/>
      <c r="W44" s="8"/>
      <c r="X44" s="8"/>
      <c r="Y44" s="8"/>
      <c r="Z44" s="8"/>
      <c r="AA44" s="8"/>
      <c r="AB44" s="8"/>
      <c r="AC44" s="8"/>
      <c r="AL44" t="str">
        <f t="shared" si="1"/>
        <v>ZHANDY IEYANK MAHESA</v>
      </c>
      <c r="AV44" s="38" t="s">
        <v>786</v>
      </c>
      <c r="AW44" s="39" t="s">
        <v>787</v>
      </c>
      <c r="AX44" s="38" t="s">
        <v>7</v>
      </c>
      <c r="AY44" s="39" t="s">
        <v>603</v>
      </c>
      <c r="AZ44" s="40">
        <v>82.94</v>
      </c>
      <c r="BA44" s="40" t="s">
        <v>788</v>
      </c>
      <c r="BB44" s="40" t="s">
        <v>789</v>
      </c>
      <c r="BC44" s="40" t="s">
        <v>458</v>
      </c>
      <c r="BD44" s="39" t="s">
        <v>475</v>
      </c>
      <c r="BF44" s="81" t="s">
        <v>2593</v>
      </c>
      <c r="BG44" s="38" t="s">
        <v>786</v>
      </c>
      <c r="BH44" s="39" t="s">
        <v>787</v>
      </c>
    </row>
    <row r="45" spans="1:60" ht="20.100000000000001" customHeight="1" x14ac:dyDescent="0.25">
      <c r="A45" s="4">
        <v>36</v>
      </c>
      <c r="B45" s="4" t="s">
        <v>2594</v>
      </c>
      <c r="C45" s="38" t="s">
        <v>790</v>
      </c>
      <c r="D45" s="39" t="s">
        <v>791</v>
      </c>
      <c r="E45" s="7" t="s">
        <v>7</v>
      </c>
      <c r="F45" s="8"/>
      <c r="G45" s="8"/>
      <c r="H45" s="8"/>
      <c r="I45" s="8"/>
      <c r="J45" s="8"/>
      <c r="K45" s="8"/>
      <c r="L45" s="8"/>
      <c r="M45" s="8"/>
      <c r="N45" s="8"/>
      <c r="O45" s="8"/>
      <c r="P45" s="8"/>
      <c r="Q45" s="8"/>
      <c r="R45" s="8"/>
      <c r="S45" s="8"/>
      <c r="T45" s="8"/>
      <c r="U45" s="8"/>
      <c r="V45" s="8"/>
      <c r="W45" s="8"/>
      <c r="X45" s="8"/>
      <c r="Y45" s="8"/>
      <c r="Z45" s="8"/>
      <c r="AA45" s="8"/>
      <c r="AB45" s="8"/>
      <c r="AC45" s="8"/>
      <c r="AL45" t="str">
        <f t="shared" si="1"/>
        <v>ZIBAR RABBANY YASIR</v>
      </c>
      <c r="AV45" s="38" t="s">
        <v>790</v>
      </c>
      <c r="AW45" s="39" t="s">
        <v>791</v>
      </c>
      <c r="AX45" s="38" t="s">
        <v>7</v>
      </c>
      <c r="AY45" s="39" t="s">
        <v>792</v>
      </c>
      <c r="AZ45" s="40">
        <v>87.86</v>
      </c>
      <c r="BA45" s="40">
        <v>65</v>
      </c>
      <c r="BB45" s="40">
        <v>78.72</v>
      </c>
      <c r="BC45" s="40" t="s">
        <v>458</v>
      </c>
      <c r="BD45" s="39" t="s">
        <v>475</v>
      </c>
      <c r="BF45" s="81" t="s">
        <v>2594</v>
      </c>
      <c r="BG45" s="38" t="s">
        <v>790</v>
      </c>
      <c r="BH45" s="39" t="s">
        <v>791</v>
      </c>
    </row>
    <row r="46" spans="1:60" x14ac:dyDescent="0.25">
      <c r="A46" s="58" t="s">
        <v>8</v>
      </c>
      <c r="B46" s="58"/>
      <c r="C46" s="58"/>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60" x14ac:dyDescent="0.25">
      <c r="A47" s="58" t="s">
        <v>10</v>
      </c>
      <c r="B47" s="58"/>
      <c r="C47" s="58"/>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60"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AX10:AX28 AX30:AX32 AX34:AX42">
    <cfRule type="colorScale" priority="5">
      <colorScale>
        <cfvo type="min"/>
        <cfvo type="max"/>
        <color rgb="FFFCFCFF"/>
        <color rgb="FF63BE7B"/>
      </colorScale>
    </cfRule>
    <cfRule type="duplicateValues" dxfId="85" priority="6"/>
  </conditionalFormatting>
  <conditionalFormatting sqref="AX29">
    <cfRule type="colorScale" priority="7">
      <colorScale>
        <cfvo type="min"/>
        <cfvo type="max"/>
        <color rgb="FFFCFCFF"/>
        <color rgb="FF63BE7B"/>
      </colorScale>
    </cfRule>
    <cfRule type="duplicateValues" dxfId="84" priority="8"/>
  </conditionalFormatting>
  <conditionalFormatting sqref="AX33">
    <cfRule type="colorScale" priority="1">
      <colorScale>
        <cfvo type="min"/>
        <cfvo type="max"/>
        <color rgb="FFFCFCFF"/>
        <color rgb="FF63BE7B"/>
      </colorScale>
    </cfRule>
    <cfRule type="duplicateValues" dxfId="83" priority="2"/>
  </conditionalFormatting>
  <conditionalFormatting sqref="AX43:AX45">
    <cfRule type="colorScale" priority="3">
      <colorScale>
        <cfvo type="min"/>
        <cfvo type="max"/>
        <color rgb="FFFCFCFF"/>
        <color rgb="FF63BE7B"/>
      </colorScale>
    </cfRule>
    <cfRule type="duplicateValues" dxfId="82" priority="4"/>
  </conditionalFormatting>
  <pageMargins left="0.62992125984251968" right="0" top="0.35433070866141736" bottom="0.74803149606299213" header="0.31496062992125984" footer="0.31496062992125984"/>
  <pageSetup paperSize="5" scale="80"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G48"/>
  <sheetViews>
    <sheetView topLeftCell="A16" workbookViewId="0">
      <selection activeCell="B10" sqref="B10:B45"/>
    </sheetView>
  </sheetViews>
  <sheetFormatPr defaultColWidth="3.28515625" defaultRowHeight="15" x14ac:dyDescent="0.25"/>
  <cols>
    <col min="1" max="1" width="4.5703125" bestFit="1" customWidth="1"/>
    <col min="2" max="2" width="6.140625" customWidth="1"/>
    <col min="3" max="3" width="11" bestFit="1" customWidth="1"/>
    <col min="4" max="4" width="32" customWidth="1"/>
    <col min="5" max="5" width="3.7109375" bestFit="1" customWidth="1"/>
    <col min="6" max="29" width="2.7109375" customWidth="1"/>
    <col min="32" max="34" width="0" hidden="1" customWidth="1"/>
    <col min="35" max="35" width="7.7109375" hidden="1" customWidth="1"/>
    <col min="36" max="45" width="0" hidden="1" customWidth="1"/>
    <col min="46" max="46" width="8.85546875" customWidth="1"/>
    <col min="47" max="47" width="12.5703125" customWidth="1"/>
    <col min="48" max="48" width="5.28515625" customWidth="1"/>
    <col min="56" max="56" width="10.7109375" customWidth="1"/>
    <col min="57" max="57" width="11.42578125" customWidth="1"/>
    <col min="58" max="58" width="14" customWidth="1"/>
    <col min="59" max="59" width="6.5703125" customWidth="1"/>
  </cols>
  <sheetData>
    <row r="1" spans="1:59"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F1" s="15" t="s">
        <v>456</v>
      </c>
      <c r="AG1" t="s">
        <v>446</v>
      </c>
      <c r="AH1">
        <v>20527180</v>
      </c>
      <c r="AI1" t="s">
        <v>447</v>
      </c>
      <c r="AJ1" t="s">
        <v>7</v>
      </c>
    </row>
    <row r="2" spans="1:59"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F2" s="15" t="s">
        <v>456</v>
      </c>
      <c r="AG2" t="s">
        <v>349</v>
      </c>
      <c r="AH2">
        <v>20527197</v>
      </c>
      <c r="AI2" t="s">
        <v>350</v>
      </c>
      <c r="AJ2" t="s">
        <v>7</v>
      </c>
    </row>
    <row r="3" spans="1:59"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F3" s="18" t="s">
        <v>237</v>
      </c>
      <c r="AG3" t="s">
        <v>133</v>
      </c>
      <c r="AH3">
        <v>20527197</v>
      </c>
      <c r="AI3" t="s">
        <v>134</v>
      </c>
      <c r="AJ3" t="s">
        <v>7</v>
      </c>
    </row>
    <row r="4" spans="1:59"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F4" s="15" t="s">
        <v>456</v>
      </c>
      <c r="AG4" t="s">
        <v>385</v>
      </c>
      <c r="AH4">
        <v>60729406</v>
      </c>
      <c r="AI4" t="s">
        <v>386</v>
      </c>
      <c r="AJ4" t="s">
        <v>7</v>
      </c>
    </row>
    <row r="5" spans="1:59" x14ac:dyDescent="0.25">
      <c r="A5" s="1"/>
      <c r="B5" s="1"/>
      <c r="C5" s="2"/>
      <c r="P5" s="11"/>
      <c r="AF5" s="15" t="s">
        <v>456</v>
      </c>
      <c r="AG5" t="s">
        <v>337</v>
      </c>
      <c r="AH5">
        <v>20527169</v>
      </c>
      <c r="AI5" t="s">
        <v>338</v>
      </c>
      <c r="AJ5" t="s">
        <v>6</v>
      </c>
    </row>
    <row r="6" spans="1:59" ht="3.75" customHeight="1" x14ac:dyDescent="0.25">
      <c r="A6" s="1"/>
      <c r="B6" s="1"/>
      <c r="C6" s="2"/>
      <c r="AF6" s="18" t="s">
        <v>237</v>
      </c>
      <c r="AG6" t="s">
        <v>163</v>
      </c>
      <c r="AH6">
        <v>20527180</v>
      </c>
      <c r="AI6" t="s">
        <v>164</v>
      </c>
      <c r="AJ6" t="s">
        <v>6</v>
      </c>
    </row>
    <row r="7" spans="1:59" x14ac:dyDescent="0.25">
      <c r="A7" s="52" t="s">
        <v>0</v>
      </c>
      <c r="B7" s="53" t="s">
        <v>467</v>
      </c>
      <c r="C7" s="53" t="s">
        <v>1</v>
      </c>
      <c r="D7" s="52" t="s">
        <v>2</v>
      </c>
      <c r="E7" s="54" t="s">
        <v>3</v>
      </c>
      <c r="F7" s="55" t="s">
        <v>4</v>
      </c>
      <c r="G7" s="56"/>
      <c r="H7" s="57"/>
      <c r="I7" s="59" t="s">
        <v>1853</v>
      </c>
      <c r="J7" s="60"/>
      <c r="K7" s="60"/>
      <c r="L7" s="60"/>
      <c r="M7" s="60"/>
      <c r="N7" s="60"/>
      <c r="O7" s="60"/>
      <c r="P7" s="60"/>
      <c r="Q7" s="60"/>
      <c r="R7" s="60"/>
      <c r="S7" s="61"/>
      <c r="T7" s="58" t="s">
        <v>5</v>
      </c>
      <c r="U7" s="58"/>
      <c r="V7" s="67" t="s">
        <v>1855</v>
      </c>
      <c r="W7" s="68"/>
      <c r="X7" s="68"/>
      <c r="Y7" s="68"/>
      <c r="Z7" s="68"/>
      <c r="AA7" s="68"/>
      <c r="AB7" s="68"/>
      <c r="AC7" s="68"/>
      <c r="AF7" s="15" t="s">
        <v>456</v>
      </c>
      <c r="AG7" t="s">
        <v>323</v>
      </c>
      <c r="AH7">
        <v>20527197</v>
      </c>
      <c r="AI7" t="s">
        <v>324</v>
      </c>
      <c r="AJ7" t="s">
        <v>7</v>
      </c>
    </row>
    <row r="8" spans="1:59"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F8" s="18" t="s">
        <v>237</v>
      </c>
      <c r="AG8" t="s">
        <v>201</v>
      </c>
      <c r="AH8">
        <v>20531242</v>
      </c>
      <c r="AI8" t="s">
        <v>202</v>
      </c>
      <c r="AJ8" t="s">
        <v>6</v>
      </c>
    </row>
    <row r="9" spans="1:59"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F9" s="14" t="s">
        <v>93</v>
      </c>
      <c r="AG9" t="s">
        <v>59</v>
      </c>
      <c r="AH9">
        <v>20527197</v>
      </c>
      <c r="AI9" t="s">
        <v>60</v>
      </c>
      <c r="AJ9" t="s">
        <v>6</v>
      </c>
    </row>
    <row r="10" spans="1:59" ht="20.100000000000001" customHeight="1" x14ac:dyDescent="0.25">
      <c r="A10" s="4">
        <v>1</v>
      </c>
      <c r="B10" s="4" t="s">
        <v>2241</v>
      </c>
      <c r="C10" s="38" t="s">
        <v>928</v>
      </c>
      <c r="D10" s="39" t="s">
        <v>929</v>
      </c>
      <c r="E10" s="38" t="s">
        <v>6</v>
      </c>
      <c r="F10" s="8"/>
      <c r="G10" s="8"/>
      <c r="H10" s="8"/>
      <c r="I10" s="8"/>
      <c r="J10" s="8"/>
      <c r="K10" s="8"/>
      <c r="L10" s="8"/>
      <c r="M10" s="8"/>
      <c r="N10" s="8"/>
      <c r="O10" s="8"/>
      <c r="P10" s="8"/>
      <c r="Q10" s="8"/>
      <c r="R10" s="8"/>
      <c r="S10" s="8"/>
      <c r="T10" s="8"/>
      <c r="U10" s="8"/>
      <c r="V10" s="8"/>
      <c r="W10" s="8"/>
      <c r="X10" s="8"/>
      <c r="Y10" s="8"/>
      <c r="Z10" s="8"/>
      <c r="AA10" s="8"/>
      <c r="AB10" s="8"/>
      <c r="AC10" s="8"/>
      <c r="AF10" s="18" t="s">
        <v>237</v>
      </c>
      <c r="AG10">
        <v>3094339612</v>
      </c>
      <c r="AH10">
        <v>20566545</v>
      </c>
      <c r="AI10" t="s">
        <v>182</v>
      </c>
      <c r="AJ10" t="s">
        <v>6</v>
      </c>
      <c r="AM10" t="str">
        <f>UPPER(D10)</f>
        <v>ADIENDA CANTIKA YUDHISTIRA</v>
      </c>
      <c r="AT10" s="38" t="s">
        <v>928</v>
      </c>
      <c r="AU10" s="39" t="s">
        <v>929</v>
      </c>
      <c r="AV10" s="38" t="s">
        <v>6</v>
      </c>
      <c r="AW10" s="39" t="s">
        <v>557</v>
      </c>
      <c r="AX10" s="40" t="s">
        <v>930</v>
      </c>
      <c r="AY10" s="40" t="s">
        <v>502</v>
      </c>
      <c r="AZ10" s="40" t="s">
        <v>931</v>
      </c>
      <c r="BA10" s="40" t="s">
        <v>459</v>
      </c>
      <c r="BB10" s="39" t="s">
        <v>475</v>
      </c>
      <c r="BD10" s="81" t="s">
        <v>2241</v>
      </c>
      <c r="BE10" s="38" t="s">
        <v>928</v>
      </c>
      <c r="BF10" s="39" t="s">
        <v>929</v>
      </c>
      <c r="BG10" t="s">
        <v>1947</v>
      </c>
    </row>
    <row r="11" spans="1:59" ht="20.100000000000001" customHeight="1" x14ac:dyDescent="0.25">
      <c r="A11" s="4">
        <v>2</v>
      </c>
      <c r="B11" s="4" t="s">
        <v>2245</v>
      </c>
      <c r="C11" s="38" t="s">
        <v>932</v>
      </c>
      <c r="D11" s="39" t="s">
        <v>933</v>
      </c>
      <c r="E11" s="38" t="s">
        <v>7</v>
      </c>
      <c r="F11" s="8"/>
      <c r="G11" s="8"/>
      <c r="H11" s="8"/>
      <c r="I11" s="8"/>
      <c r="J11" s="8"/>
      <c r="K11" s="8"/>
      <c r="L11" s="8"/>
      <c r="M11" s="8"/>
      <c r="N11" s="8"/>
      <c r="O11" s="8"/>
      <c r="P11" s="8"/>
      <c r="Q11" s="8"/>
      <c r="R11" s="8"/>
      <c r="S11" s="8"/>
      <c r="T11" s="8"/>
      <c r="U11" s="8"/>
      <c r="V11" s="8"/>
      <c r="W11" s="8"/>
      <c r="X11" s="8"/>
      <c r="Y11" s="8"/>
      <c r="Z11" s="8"/>
      <c r="AA11" s="8"/>
      <c r="AB11" s="8"/>
      <c r="AC11" s="8"/>
      <c r="AF11" s="15" t="s">
        <v>456</v>
      </c>
      <c r="AG11" t="s">
        <v>423</v>
      </c>
      <c r="AH11">
        <v>20527193</v>
      </c>
      <c r="AI11" t="s">
        <v>424</v>
      </c>
      <c r="AJ11" t="s">
        <v>7</v>
      </c>
      <c r="AM11" t="str">
        <f t="shared" ref="AM11:AM45" si="0">UPPER(D11)</f>
        <v>AFFAN MAULANA ISHAQ</v>
      </c>
      <c r="AT11" s="38" t="s">
        <v>932</v>
      </c>
      <c r="AU11" s="39" t="s">
        <v>933</v>
      </c>
      <c r="AV11" s="38" t="s">
        <v>7</v>
      </c>
      <c r="AW11" s="39" t="s">
        <v>934</v>
      </c>
      <c r="AX11" s="40" t="s">
        <v>935</v>
      </c>
      <c r="AY11" s="40" t="s">
        <v>936</v>
      </c>
      <c r="AZ11" s="40" t="s">
        <v>937</v>
      </c>
      <c r="BA11" s="40" t="s">
        <v>459</v>
      </c>
      <c r="BB11" s="39" t="s">
        <v>485</v>
      </c>
      <c r="BD11" s="81" t="s">
        <v>2245</v>
      </c>
      <c r="BE11" s="38" t="s">
        <v>932</v>
      </c>
      <c r="BF11" s="39" t="s">
        <v>933</v>
      </c>
      <c r="BG11" t="s">
        <v>1948</v>
      </c>
    </row>
    <row r="12" spans="1:59" ht="20.100000000000001" customHeight="1" x14ac:dyDescent="0.25">
      <c r="A12" s="4">
        <v>3</v>
      </c>
      <c r="B12" s="4" t="s">
        <v>2247</v>
      </c>
      <c r="C12" s="38" t="s">
        <v>938</v>
      </c>
      <c r="D12" s="39" t="s">
        <v>939</v>
      </c>
      <c r="E12" s="38" t="s">
        <v>6</v>
      </c>
      <c r="F12" s="8"/>
      <c r="G12" s="8"/>
      <c r="H12" s="8"/>
      <c r="I12" s="8"/>
      <c r="J12" s="8"/>
      <c r="K12" s="8"/>
      <c r="L12" s="8"/>
      <c r="M12" s="8"/>
      <c r="N12" s="8"/>
      <c r="O12" s="8"/>
      <c r="P12" s="8"/>
      <c r="Q12" s="8"/>
      <c r="R12" s="8"/>
      <c r="S12" s="8"/>
      <c r="T12" s="8"/>
      <c r="U12" s="8"/>
      <c r="V12" s="8"/>
      <c r="W12" s="8"/>
      <c r="X12" s="8"/>
      <c r="Y12" s="8"/>
      <c r="Z12" s="8"/>
      <c r="AA12" s="8"/>
      <c r="AB12" s="8"/>
      <c r="AC12" s="8"/>
      <c r="AF12" s="18" t="s">
        <v>237</v>
      </c>
      <c r="AG12" t="s">
        <v>235</v>
      </c>
      <c r="AH12">
        <v>20527197</v>
      </c>
      <c r="AI12" t="s">
        <v>236</v>
      </c>
      <c r="AJ12" t="s">
        <v>7</v>
      </c>
      <c r="AM12" t="str">
        <f t="shared" si="0"/>
        <v>AFINA FILZAH KHAIRANA RACHMAN</v>
      </c>
      <c r="AT12" s="38" t="s">
        <v>938</v>
      </c>
      <c r="AU12" s="39" t="s">
        <v>939</v>
      </c>
      <c r="AV12" s="38" t="s">
        <v>6</v>
      </c>
      <c r="AW12" s="39" t="s">
        <v>494</v>
      </c>
      <c r="AX12" s="40">
        <v>89.2</v>
      </c>
      <c r="AY12" s="40">
        <v>68.34</v>
      </c>
      <c r="AZ12" s="40">
        <v>80.86</v>
      </c>
      <c r="BA12" s="40" t="s">
        <v>459</v>
      </c>
      <c r="BB12" s="39" t="s">
        <v>475</v>
      </c>
      <c r="BD12" s="81" t="s">
        <v>2247</v>
      </c>
      <c r="BE12" s="38" t="s">
        <v>938</v>
      </c>
      <c r="BF12" s="39" t="s">
        <v>939</v>
      </c>
      <c r="BG12" t="s">
        <v>1949</v>
      </c>
    </row>
    <row r="13" spans="1:59" ht="20.100000000000001" customHeight="1" x14ac:dyDescent="0.25">
      <c r="A13" s="4">
        <v>4</v>
      </c>
      <c r="B13" s="4" t="s">
        <v>2248</v>
      </c>
      <c r="C13" s="38" t="s">
        <v>940</v>
      </c>
      <c r="D13" s="39" t="s">
        <v>941</v>
      </c>
      <c r="E13" s="38" t="s">
        <v>6</v>
      </c>
      <c r="F13" s="8"/>
      <c r="G13" s="8"/>
      <c r="H13" s="8"/>
      <c r="I13" s="8"/>
      <c r="J13" s="8"/>
      <c r="K13" s="8"/>
      <c r="L13" s="8"/>
      <c r="M13" s="8"/>
      <c r="N13" s="8"/>
      <c r="O13" s="8"/>
      <c r="P13" s="8"/>
      <c r="Q13" s="8"/>
      <c r="R13" s="8"/>
      <c r="S13" s="8"/>
      <c r="T13" s="8"/>
      <c r="U13" s="8"/>
      <c r="V13" s="8"/>
      <c r="W13" s="8"/>
      <c r="X13" s="8"/>
      <c r="Y13" s="8"/>
      <c r="Z13" s="8"/>
      <c r="AA13" s="8"/>
      <c r="AB13" s="8"/>
      <c r="AC13" s="8"/>
      <c r="AF13" s="15" t="s">
        <v>456</v>
      </c>
      <c r="AG13" t="s">
        <v>437</v>
      </c>
      <c r="AH13">
        <v>69980589</v>
      </c>
      <c r="AI13" t="s">
        <v>438</v>
      </c>
      <c r="AJ13" t="s">
        <v>6</v>
      </c>
      <c r="AM13" t="str">
        <f t="shared" si="0"/>
        <v>AFUZA GHANIAH KHAIRINA RACHMAN</v>
      </c>
      <c r="AT13" s="38" t="s">
        <v>940</v>
      </c>
      <c r="AU13" s="39" t="s">
        <v>941</v>
      </c>
      <c r="AV13" s="38" t="s">
        <v>6</v>
      </c>
      <c r="AW13" s="39" t="s">
        <v>619</v>
      </c>
      <c r="AX13" s="40">
        <v>89.34</v>
      </c>
      <c r="AY13" s="40">
        <v>63.34</v>
      </c>
      <c r="AZ13" s="40">
        <v>78.94</v>
      </c>
      <c r="BA13" s="40" t="s">
        <v>459</v>
      </c>
      <c r="BB13" s="39" t="s">
        <v>485</v>
      </c>
      <c r="BD13" s="81" t="s">
        <v>2248</v>
      </c>
      <c r="BE13" s="38" t="s">
        <v>940</v>
      </c>
      <c r="BF13" s="39" t="s">
        <v>941</v>
      </c>
      <c r="BG13" t="s">
        <v>1950</v>
      </c>
    </row>
    <row r="14" spans="1:59" ht="20.100000000000001" customHeight="1" x14ac:dyDescent="0.25">
      <c r="A14" s="4">
        <v>5</v>
      </c>
      <c r="B14" s="4" t="s">
        <v>2252</v>
      </c>
      <c r="C14" s="38" t="s">
        <v>942</v>
      </c>
      <c r="D14" s="39" t="s">
        <v>943</v>
      </c>
      <c r="E14" s="38" t="s">
        <v>7</v>
      </c>
      <c r="F14" s="8"/>
      <c r="G14" s="8"/>
      <c r="H14" s="8"/>
      <c r="I14" s="8"/>
      <c r="J14" s="8"/>
      <c r="K14" s="8"/>
      <c r="L14" s="8"/>
      <c r="M14" s="8"/>
      <c r="N14" s="8"/>
      <c r="O14" s="8"/>
      <c r="P14" s="8"/>
      <c r="Q14" s="8"/>
      <c r="R14" s="8"/>
      <c r="S14" s="8"/>
      <c r="T14" s="8"/>
      <c r="U14" s="8"/>
      <c r="V14" s="8"/>
      <c r="W14" s="8"/>
      <c r="X14" s="8"/>
      <c r="Y14" s="8"/>
      <c r="Z14" s="8"/>
      <c r="AA14" s="8"/>
      <c r="AB14" s="8"/>
      <c r="AC14" s="8"/>
      <c r="AF14" s="13" t="s">
        <v>40</v>
      </c>
      <c r="AG14" t="s">
        <v>28</v>
      </c>
      <c r="AH14">
        <v>20527197</v>
      </c>
      <c r="AI14" t="s">
        <v>29</v>
      </c>
      <c r="AJ14" t="s">
        <v>7</v>
      </c>
      <c r="AM14" t="str">
        <f t="shared" si="0"/>
        <v>AHMAD GHAISAN NAVIZ RAMADANI</v>
      </c>
      <c r="AT14" s="38" t="s">
        <v>942</v>
      </c>
      <c r="AU14" s="39" t="s">
        <v>943</v>
      </c>
      <c r="AV14" s="38" t="s">
        <v>7</v>
      </c>
      <c r="AW14" s="39" t="s">
        <v>944</v>
      </c>
      <c r="AX14" s="40" t="s">
        <v>657</v>
      </c>
      <c r="AY14" s="40" t="s">
        <v>599</v>
      </c>
      <c r="AZ14" s="40" t="s">
        <v>658</v>
      </c>
      <c r="BA14" s="40" t="s">
        <v>459</v>
      </c>
      <c r="BB14" s="39" t="s">
        <v>945</v>
      </c>
      <c r="BD14" s="81" t="s">
        <v>2252</v>
      </c>
      <c r="BE14" s="38" t="s">
        <v>942</v>
      </c>
      <c r="BF14" s="39" t="s">
        <v>943</v>
      </c>
      <c r="BG14" t="s">
        <v>1951</v>
      </c>
    </row>
    <row r="15" spans="1:59" ht="20.100000000000001" customHeight="1" x14ac:dyDescent="0.25">
      <c r="A15" s="4">
        <v>6</v>
      </c>
      <c r="B15" s="4" t="s">
        <v>2283</v>
      </c>
      <c r="C15" s="38" t="s">
        <v>946</v>
      </c>
      <c r="D15" s="39" t="s">
        <v>947</v>
      </c>
      <c r="E15" s="38" t="s">
        <v>6</v>
      </c>
      <c r="F15" s="8"/>
      <c r="G15" s="8"/>
      <c r="H15" s="8"/>
      <c r="I15" s="8"/>
      <c r="J15" s="8"/>
      <c r="K15" s="8"/>
      <c r="L15" s="8"/>
      <c r="M15" s="8"/>
      <c r="N15" s="8"/>
      <c r="O15" s="8"/>
      <c r="P15" s="8"/>
      <c r="Q15" s="8"/>
      <c r="R15" s="8"/>
      <c r="S15" s="8"/>
      <c r="T15" s="8"/>
      <c r="U15" s="8"/>
      <c r="V15" s="8"/>
      <c r="W15" s="8"/>
      <c r="X15" s="8"/>
      <c r="Y15" s="8"/>
      <c r="Z15" s="8"/>
      <c r="AA15" s="8"/>
      <c r="AB15" s="8"/>
      <c r="AC15" s="8"/>
      <c r="AF15" s="18" t="s">
        <v>237</v>
      </c>
      <c r="AG15" t="s">
        <v>139</v>
      </c>
      <c r="AH15">
        <v>20583367</v>
      </c>
      <c r="AI15" t="s">
        <v>140</v>
      </c>
      <c r="AJ15" t="s">
        <v>6</v>
      </c>
      <c r="AM15" t="str">
        <f t="shared" si="0"/>
        <v>ARIQOH SALSABILA RAMADHANI</v>
      </c>
      <c r="AT15" s="38" t="s">
        <v>946</v>
      </c>
      <c r="AU15" s="39" t="s">
        <v>947</v>
      </c>
      <c r="AV15" s="38" t="s">
        <v>6</v>
      </c>
      <c r="AW15" s="39" t="s">
        <v>948</v>
      </c>
      <c r="AX15" s="40">
        <v>84.52</v>
      </c>
      <c r="AY15" s="40">
        <v>70</v>
      </c>
      <c r="AZ15" s="40">
        <v>78.709999999999994</v>
      </c>
      <c r="BA15" s="40" t="s">
        <v>459</v>
      </c>
      <c r="BB15" s="39" t="s">
        <v>475</v>
      </c>
      <c r="BD15" s="81" t="s">
        <v>2283</v>
      </c>
      <c r="BE15" s="38" t="s">
        <v>946</v>
      </c>
      <c r="BF15" s="39" t="s">
        <v>947</v>
      </c>
      <c r="BG15" t="s">
        <v>1952</v>
      </c>
    </row>
    <row r="16" spans="1:59" ht="20.100000000000001" customHeight="1" x14ac:dyDescent="0.25">
      <c r="A16" s="4">
        <v>7</v>
      </c>
      <c r="B16" s="4" t="s">
        <v>2307</v>
      </c>
      <c r="C16" s="38" t="s">
        <v>949</v>
      </c>
      <c r="D16" s="39" t="s">
        <v>950</v>
      </c>
      <c r="E16" s="38" t="s">
        <v>7</v>
      </c>
      <c r="F16" s="8"/>
      <c r="G16" s="8"/>
      <c r="H16" s="8"/>
      <c r="I16" s="8"/>
      <c r="J16" s="8"/>
      <c r="K16" s="8"/>
      <c r="L16" s="8"/>
      <c r="M16" s="8"/>
      <c r="N16" s="8"/>
      <c r="O16" s="8"/>
      <c r="P16" s="8"/>
      <c r="Q16" s="8"/>
      <c r="R16" s="8"/>
      <c r="S16" s="8"/>
      <c r="T16" s="8"/>
      <c r="U16" s="8"/>
      <c r="V16" s="8"/>
      <c r="W16" s="8"/>
      <c r="X16" s="8"/>
      <c r="Y16" s="8"/>
      <c r="Z16" s="8"/>
      <c r="AA16" s="8"/>
      <c r="AB16" s="8"/>
      <c r="AC16" s="8"/>
      <c r="AF16" s="18" t="s">
        <v>237</v>
      </c>
      <c r="AG16" t="s">
        <v>161</v>
      </c>
      <c r="AH16">
        <v>20527197</v>
      </c>
      <c r="AI16" t="s">
        <v>162</v>
      </c>
      <c r="AJ16" t="s">
        <v>7</v>
      </c>
      <c r="AM16" t="str">
        <f t="shared" si="0"/>
        <v>BEZALEEL KEZIO BUDIJONO</v>
      </c>
      <c r="AT16" s="38" t="s">
        <v>949</v>
      </c>
      <c r="AU16" s="39" t="s">
        <v>950</v>
      </c>
      <c r="AV16" s="38" t="s">
        <v>7</v>
      </c>
      <c r="AW16" s="39" t="s">
        <v>478</v>
      </c>
      <c r="AX16" s="40">
        <v>89.37</v>
      </c>
      <c r="AY16" s="40">
        <v>58.34</v>
      </c>
      <c r="AZ16" s="40">
        <v>76.959999999999994</v>
      </c>
      <c r="BA16" s="40" t="s">
        <v>459</v>
      </c>
      <c r="BB16" s="39" t="s">
        <v>475</v>
      </c>
      <c r="BD16" s="81" t="s">
        <v>2307</v>
      </c>
      <c r="BE16" s="38" t="s">
        <v>949</v>
      </c>
      <c r="BF16" s="39" t="s">
        <v>950</v>
      </c>
      <c r="BG16" t="s">
        <v>1953</v>
      </c>
    </row>
    <row r="17" spans="1:59" ht="20.100000000000001" customHeight="1" x14ac:dyDescent="0.25">
      <c r="A17" s="4">
        <v>8</v>
      </c>
      <c r="B17" s="4" t="s">
        <v>2311</v>
      </c>
      <c r="C17" s="38" t="s">
        <v>951</v>
      </c>
      <c r="D17" s="39" t="s">
        <v>952</v>
      </c>
      <c r="E17" s="38" t="s">
        <v>6</v>
      </c>
      <c r="F17" s="8"/>
      <c r="G17" s="8"/>
      <c r="H17" s="8"/>
      <c r="I17" s="8"/>
      <c r="J17" s="8"/>
      <c r="K17" s="8"/>
      <c r="L17" s="8"/>
      <c r="M17" s="8"/>
      <c r="N17" s="8"/>
      <c r="O17" s="8"/>
      <c r="P17" s="8"/>
      <c r="Q17" s="8"/>
      <c r="R17" s="8"/>
      <c r="S17" s="8"/>
      <c r="T17" s="8"/>
      <c r="U17" s="8"/>
      <c r="V17" s="8"/>
      <c r="W17" s="8"/>
      <c r="X17" s="8"/>
      <c r="Y17" s="8"/>
      <c r="Z17" s="8"/>
      <c r="AA17" s="8"/>
      <c r="AB17" s="8"/>
      <c r="AC17" s="8"/>
      <c r="AF17" s="12" t="s">
        <v>49</v>
      </c>
      <c r="AG17" t="s">
        <v>41</v>
      </c>
      <c r="AH17">
        <v>20527197</v>
      </c>
      <c r="AI17" t="s">
        <v>42</v>
      </c>
      <c r="AJ17" t="s">
        <v>6</v>
      </c>
      <c r="AM17" t="str">
        <f t="shared" si="0"/>
        <v>BINANDA SABRINA PUTRI KASYAFANI</v>
      </c>
      <c r="AT17" s="38" t="s">
        <v>951</v>
      </c>
      <c r="AU17" s="39" t="s">
        <v>952</v>
      </c>
      <c r="AV17" s="38" t="s">
        <v>6</v>
      </c>
      <c r="AW17" s="39" t="s">
        <v>953</v>
      </c>
      <c r="AX17" s="40" t="s">
        <v>954</v>
      </c>
      <c r="AY17" s="40" t="s">
        <v>537</v>
      </c>
      <c r="AZ17" s="40" t="s">
        <v>955</v>
      </c>
      <c r="BA17" s="40" t="s">
        <v>459</v>
      </c>
      <c r="BB17" s="39" t="s">
        <v>475</v>
      </c>
      <c r="BD17" s="81" t="s">
        <v>2311</v>
      </c>
      <c r="BE17" s="38" t="s">
        <v>951</v>
      </c>
      <c r="BF17" s="39" t="s">
        <v>952</v>
      </c>
      <c r="BG17" t="s">
        <v>1954</v>
      </c>
    </row>
    <row r="18" spans="1:59" ht="20.100000000000001" customHeight="1" x14ac:dyDescent="0.25">
      <c r="A18" s="4">
        <v>9</v>
      </c>
      <c r="B18" s="4" t="s">
        <v>2334</v>
      </c>
      <c r="C18" s="38" t="s">
        <v>956</v>
      </c>
      <c r="D18" s="39" t="s">
        <v>957</v>
      </c>
      <c r="E18" s="38" t="s">
        <v>6</v>
      </c>
      <c r="F18" s="8"/>
      <c r="G18" s="8"/>
      <c r="H18" s="8"/>
      <c r="I18" s="8"/>
      <c r="J18" s="8"/>
      <c r="K18" s="8"/>
      <c r="L18" s="8"/>
      <c r="M18" s="8"/>
      <c r="N18" s="8"/>
      <c r="O18" s="8"/>
      <c r="P18" s="8"/>
      <c r="Q18" s="8"/>
      <c r="R18" s="8"/>
      <c r="S18" s="8"/>
      <c r="T18" s="8"/>
      <c r="U18" s="8"/>
      <c r="V18" s="8"/>
      <c r="W18" s="8"/>
      <c r="X18" s="8"/>
      <c r="Y18" s="8"/>
      <c r="Z18" s="8"/>
      <c r="AA18" s="8"/>
      <c r="AB18" s="8"/>
      <c r="AC18" s="8"/>
      <c r="AF18" s="15" t="s">
        <v>456</v>
      </c>
      <c r="AG18" t="s">
        <v>278</v>
      </c>
      <c r="AH18">
        <v>20527180</v>
      </c>
      <c r="AI18" t="s">
        <v>279</v>
      </c>
      <c r="AJ18" t="s">
        <v>6</v>
      </c>
      <c r="AM18" t="str">
        <f t="shared" si="0"/>
        <v>FAIDAH ZALIMAR FUATUNSAKINAH</v>
      </c>
      <c r="AT18" s="38" t="s">
        <v>956</v>
      </c>
      <c r="AU18" s="39" t="s">
        <v>957</v>
      </c>
      <c r="AV18" s="38" t="s">
        <v>6</v>
      </c>
      <c r="AW18" s="39" t="s">
        <v>958</v>
      </c>
      <c r="AX18" s="40" t="s">
        <v>959</v>
      </c>
      <c r="AY18" s="40" t="s">
        <v>960</v>
      </c>
      <c r="AZ18" s="40" t="s">
        <v>961</v>
      </c>
      <c r="BA18" s="40" t="s">
        <v>459</v>
      </c>
      <c r="BB18" s="39" t="s">
        <v>962</v>
      </c>
      <c r="BD18" s="81" t="s">
        <v>2334</v>
      </c>
      <c r="BE18" s="38" t="s">
        <v>956</v>
      </c>
      <c r="BF18" s="39" t="s">
        <v>957</v>
      </c>
      <c r="BG18" t="s">
        <v>1955</v>
      </c>
    </row>
    <row r="19" spans="1:59" ht="20.100000000000001" customHeight="1" x14ac:dyDescent="0.25">
      <c r="A19" s="4">
        <v>10</v>
      </c>
      <c r="B19" s="4" t="s">
        <v>2336</v>
      </c>
      <c r="C19" s="38" t="s">
        <v>963</v>
      </c>
      <c r="D19" s="39" t="s">
        <v>964</v>
      </c>
      <c r="E19" s="38" t="s">
        <v>6</v>
      </c>
      <c r="F19" s="8"/>
      <c r="G19" s="8"/>
      <c r="H19" s="8"/>
      <c r="I19" s="8"/>
      <c r="J19" s="8"/>
      <c r="K19" s="8"/>
      <c r="L19" s="8"/>
      <c r="M19" s="8"/>
      <c r="N19" s="8"/>
      <c r="O19" s="8"/>
      <c r="P19" s="8"/>
      <c r="Q19" s="8"/>
      <c r="R19" s="8"/>
      <c r="S19" s="8"/>
      <c r="T19" s="8"/>
      <c r="U19" s="8"/>
      <c r="V19" s="8"/>
      <c r="W19" s="8"/>
      <c r="X19" s="8"/>
      <c r="Y19" s="8"/>
      <c r="Z19" s="8"/>
      <c r="AA19" s="8"/>
      <c r="AB19" s="8"/>
      <c r="AC19" s="8"/>
      <c r="AF19" s="14" t="s">
        <v>93</v>
      </c>
      <c r="AG19" t="s">
        <v>65</v>
      </c>
      <c r="AH19">
        <v>20527166</v>
      </c>
      <c r="AI19" t="s">
        <v>66</v>
      </c>
      <c r="AJ19" t="s">
        <v>7</v>
      </c>
      <c r="AM19" t="str">
        <f t="shared" si="0"/>
        <v>FAIRUS HIDAYAH PRAWIDA</v>
      </c>
      <c r="AT19" s="38" t="s">
        <v>963</v>
      </c>
      <c r="AU19" s="39" t="s">
        <v>964</v>
      </c>
      <c r="AV19" s="38" t="s">
        <v>6</v>
      </c>
      <c r="AW19" s="39" t="s">
        <v>953</v>
      </c>
      <c r="AX19" s="40">
        <v>91.2</v>
      </c>
      <c r="AY19" s="40">
        <v>76.67</v>
      </c>
      <c r="AZ19" s="40">
        <v>85.39</v>
      </c>
      <c r="BA19" s="40" t="s">
        <v>459</v>
      </c>
      <c r="BB19" s="39" t="s">
        <v>485</v>
      </c>
      <c r="BD19" s="81" t="s">
        <v>2336</v>
      </c>
      <c r="BE19" s="38" t="s">
        <v>963</v>
      </c>
      <c r="BF19" s="39" t="s">
        <v>964</v>
      </c>
      <c r="BG19" t="s">
        <v>1956</v>
      </c>
    </row>
    <row r="20" spans="1:59" ht="20.100000000000001" customHeight="1" x14ac:dyDescent="0.25">
      <c r="A20" s="4">
        <v>11</v>
      </c>
      <c r="B20" s="4" t="s">
        <v>2337</v>
      </c>
      <c r="C20" s="38" t="s">
        <v>965</v>
      </c>
      <c r="D20" s="39" t="s">
        <v>966</v>
      </c>
      <c r="E20" s="38" t="s">
        <v>7</v>
      </c>
      <c r="F20" s="8"/>
      <c r="G20" s="8"/>
      <c r="H20" s="8"/>
      <c r="I20" s="8"/>
      <c r="J20" s="8"/>
      <c r="K20" s="8"/>
      <c r="L20" s="8"/>
      <c r="M20" s="8"/>
      <c r="N20" s="8"/>
      <c r="O20" s="8"/>
      <c r="P20" s="8"/>
      <c r="Q20" s="8"/>
      <c r="R20" s="8"/>
      <c r="S20" s="8"/>
      <c r="T20" s="8"/>
      <c r="U20" s="8"/>
      <c r="V20" s="8"/>
      <c r="W20" s="8"/>
      <c r="X20" s="8"/>
      <c r="Y20" s="8"/>
      <c r="Z20" s="8"/>
      <c r="AA20" s="8"/>
      <c r="AB20" s="8"/>
      <c r="AC20" s="8"/>
      <c r="AF20" s="18" t="s">
        <v>237</v>
      </c>
      <c r="AG20" t="s">
        <v>189</v>
      </c>
      <c r="AH20">
        <v>20527197</v>
      </c>
      <c r="AI20" t="s">
        <v>190</v>
      </c>
      <c r="AJ20" t="s">
        <v>7</v>
      </c>
      <c r="AM20" t="str">
        <f t="shared" si="0"/>
        <v>FAISHAL BISRI ANSHORY</v>
      </c>
      <c r="AT20" s="38" t="s">
        <v>965</v>
      </c>
      <c r="AU20" s="39" t="s">
        <v>966</v>
      </c>
      <c r="AV20" s="38" t="s">
        <v>7</v>
      </c>
      <c r="AW20" s="39" t="s">
        <v>967</v>
      </c>
      <c r="AX20" s="40">
        <v>87.03</v>
      </c>
      <c r="AY20" s="40">
        <v>63.33</v>
      </c>
      <c r="AZ20" s="40">
        <v>77.55</v>
      </c>
      <c r="BA20" s="40" t="s">
        <v>459</v>
      </c>
      <c r="BB20" s="39" t="s">
        <v>475</v>
      </c>
      <c r="BD20" s="81" t="s">
        <v>2337</v>
      </c>
      <c r="BE20" s="38" t="s">
        <v>965</v>
      </c>
      <c r="BF20" s="39" t="s">
        <v>966</v>
      </c>
      <c r="BG20" t="s">
        <v>1957</v>
      </c>
    </row>
    <row r="21" spans="1:59" ht="20.100000000000001" customHeight="1" x14ac:dyDescent="0.25">
      <c r="A21" s="4">
        <v>12</v>
      </c>
      <c r="B21" s="4" t="s">
        <v>2347</v>
      </c>
      <c r="C21" s="38" t="s">
        <v>968</v>
      </c>
      <c r="D21" s="39" t="s">
        <v>969</v>
      </c>
      <c r="E21" s="38" t="s">
        <v>7</v>
      </c>
      <c r="F21" s="8"/>
      <c r="G21" s="8"/>
      <c r="H21" s="8"/>
      <c r="I21" s="8"/>
      <c r="J21" s="8"/>
      <c r="K21" s="8"/>
      <c r="L21" s="8"/>
      <c r="M21" s="8"/>
      <c r="N21" s="8"/>
      <c r="O21" s="8"/>
      <c r="P21" s="8"/>
      <c r="Q21" s="8"/>
      <c r="R21" s="8"/>
      <c r="S21" s="8"/>
      <c r="T21" s="8"/>
      <c r="U21" s="8"/>
      <c r="V21" s="8"/>
      <c r="W21" s="8"/>
      <c r="X21" s="8"/>
      <c r="Y21" s="8"/>
      <c r="Z21" s="8"/>
      <c r="AA21" s="8"/>
      <c r="AB21" s="8"/>
      <c r="AC21" s="8"/>
      <c r="AF21" s="15" t="s">
        <v>456</v>
      </c>
      <c r="AG21" t="s">
        <v>373</v>
      </c>
      <c r="AH21">
        <v>20527180</v>
      </c>
      <c r="AI21" t="s">
        <v>374</v>
      </c>
      <c r="AJ21" t="s">
        <v>7</v>
      </c>
      <c r="AM21" t="str">
        <f t="shared" si="0"/>
        <v>FATHIR PRATAMA ARIEF</v>
      </c>
      <c r="AT21" s="38" t="s">
        <v>968</v>
      </c>
      <c r="AU21" s="39" t="s">
        <v>969</v>
      </c>
      <c r="AV21" s="38" t="s">
        <v>7</v>
      </c>
      <c r="AW21" s="39" t="s">
        <v>507</v>
      </c>
      <c r="AX21" s="40">
        <v>82.03</v>
      </c>
      <c r="AY21" s="40" t="s">
        <v>502</v>
      </c>
      <c r="AZ21" s="40">
        <v>73.22</v>
      </c>
      <c r="BA21" s="40" t="s">
        <v>459</v>
      </c>
      <c r="BB21" s="39" t="s">
        <v>475</v>
      </c>
      <c r="BD21" s="81" t="s">
        <v>2347</v>
      </c>
      <c r="BE21" s="38" t="s">
        <v>968</v>
      </c>
      <c r="BF21" s="39" t="s">
        <v>969</v>
      </c>
      <c r="BG21" t="s">
        <v>1958</v>
      </c>
    </row>
    <row r="22" spans="1:59" ht="20.100000000000001" customHeight="1" x14ac:dyDescent="0.25">
      <c r="A22" s="4">
        <v>13</v>
      </c>
      <c r="B22" s="4" t="s">
        <v>2366</v>
      </c>
      <c r="C22" s="38" t="s">
        <v>970</v>
      </c>
      <c r="D22" s="39" t="s">
        <v>971</v>
      </c>
      <c r="E22" s="38" t="s">
        <v>6</v>
      </c>
      <c r="F22" s="8"/>
      <c r="G22" s="8"/>
      <c r="H22" s="8"/>
      <c r="I22" s="8"/>
      <c r="J22" s="8"/>
      <c r="K22" s="8"/>
      <c r="L22" s="8"/>
      <c r="M22" s="8"/>
      <c r="N22" s="8"/>
      <c r="O22" s="8"/>
      <c r="P22" s="8"/>
      <c r="Q22" s="8"/>
      <c r="R22" s="8"/>
      <c r="S22" s="8"/>
      <c r="T22" s="8"/>
      <c r="U22" s="8"/>
      <c r="V22" s="8"/>
      <c r="W22" s="8"/>
      <c r="X22" s="8"/>
      <c r="Y22" s="8"/>
      <c r="Z22" s="8"/>
      <c r="AA22" s="8"/>
      <c r="AB22" s="8"/>
      <c r="AC22" s="8"/>
      <c r="AF22" s="15" t="s">
        <v>456</v>
      </c>
      <c r="AG22" t="s">
        <v>297</v>
      </c>
      <c r="AH22">
        <v>20527197</v>
      </c>
      <c r="AI22" t="s">
        <v>298</v>
      </c>
      <c r="AJ22" t="s">
        <v>7</v>
      </c>
      <c r="AM22" t="str">
        <f t="shared" si="0"/>
        <v>GHAYDA AURYNA AZZARIA</v>
      </c>
      <c r="AT22" s="38" t="s">
        <v>970</v>
      </c>
      <c r="AU22" s="39" t="s">
        <v>971</v>
      </c>
      <c r="AV22" s="38" t="s">
        <v>6</v>
      </c>
      <c r="AW22" s="39" t="s">
        <v>478</v>
      </c>
      <c r="AX22" s="40">
        <v>88.09</v>
      </c>
      <c r="AY22" s="40">
        <v>70</v>
      </c>
      <c r="AZ22" s="40">
        <v>80.849999999999994</v>
      </c>
      <c r="BA22" s="40" t="s">
        <v>459</v>
      </c>
      <c r="BB22" s="39" t="s">
        <v>485</v>
      </c>
      <c r="BD22" s="81" t="s">
        <v>2366</v>
      </c>
      <c r="BE22" s="38" t="s">
        <v>970</v>
      </c>
      <c r="BF22" s="39" t="s">
        <v>971</v>
      </c>
      <c r="BG22" t="s">
        <v>1959</v>
      </c>
    </row>
    <row r="23" spans="1:59" ht="20.100000000000001" customHeight="1" x14ac:dyDescent="0.25">
      <c r="A23" s="4">
        <v>14</v>
      </c>
      <c r="B23" s="4" t="s">
        <v>2370</v>
      </c>
      <c r="C23" s="38" t="s">
        <v>972</v>
      </c>
      <c r="D23" s="39" t="s">
        <v>973</v>
      </c>
      <c r="E23" s="38" t="s">
        <v>6</v>
      </c>
      <c r="F23" s="8"/>
      <c r="G23" s="8"/>
      <c r="H23" s="8"/>
      <c r="I23" s="8"/>
      <c r="J23" s="8"/>
      <c r="K23" s="8"/>
      <c r="L23" s="8"/>
      <c r="M23" s="8"/>
      <c r="N23" s="8"/>
      <c r="O23" s="8"/>
      <c r="P23" s="8"/>
      <c r="Q23" s="8"/>
      <c r="R23" s="8"/>
      <c r="S23" s="8"/>
      <c r="T23" s="8"/>
      <c r="U23" s="8"/>
      <c r="V23" s="8"/>
      <c r="W23" s="8"/>
      <c r="X23" s="8"/>
      <c r="Y23" s="8"/>
      <c r="Z23" s="8"/>
      <c r="AA23" s="8"/>
      <c r="AB23" s="8"/>
      <c r="AC23" s="8"/>
      <c r="AF23" s="15" t="s">
        <v>456</v>
      </c>
      <c r="AG23" t="s">
        <v>282</v>
      </c>
      <c r="AH23">
        <v>20527180</v>
      </c>
      <c r="AI23" t="s">
        <v>283</v>
      </c>
      <c r="AJ23" t="s">
        <v>7</v>
      </c>
      <c r="AM23" t="str">
        <f t="shared" si="0"/>
        <v>GIOVANNI AURELIA FIDI FRONDEDY</v>
      </c>
      <c r="AT23" s="38" t="s">
        <v>972</v>
      </c>
      <c r="AU23" s="39" t="s">
        <v>973</v>
      </c>
      <c r="AV23" s="38" t="s">
        <v>6</v>
      </c>
      <c r="AW23" s="39" t="s">
        <v>974</v>
      </c>
      <c r="AX23" s="40" t="s">
        <v>975</v>
      </c>
      <c r="AY23" s="40" t="s">
        <v>473</v>
      </c>
      <c r="AZ23" s="40" t="s">
        <v>976</v>
      </c>
      <c r="BA23" s="40" t="s">
        <v>459</v>
      </c>
      <c r="BB23" s="39" t="s">
        <v>475</v>
      </c>
      <c r="BD23" s="81" t="s">
        <v>2370</v>
      </c>
      <c r="BE23" s="38" t="s">
        <v>972</v>
      </c>
      <c r="BF23" s="39" t="s">
        <v>973</v>
      </c>
      <c r="BG23" t="s">
        <v>1960</v>
      </c>
    </row>
    <row r="24" spans="1:59" ht="20.100000000000001" customHeight="1" x14ac:dyDescent="0.25">
      <c r="A24" s="4">
        <v>15</v>
      </c>
      <c r="B24" s="4" t="s">
        <v>2377</v>
      </c>
      <c r="C24" s="38" t="s">
        <v>977</v>
      </c>
      <c r="D24" s="39" t="s">
        <v>978</v>
      </c>
      <c r="E24" s="38" t="s">
        <v>6</v>
      </c>
      <c r="F24" s="8"/>
      <c r="G24" s="8"/>
      <c r="H24" s="8"/>
      <c r="I24" s="8"/>
      <c r="J24" s="8"/>
      <c r="K24" s="8"/>
      <c r="L24" s="8"/>
      <c r="M24" s="8"/>
      <c r="N24" s="8"/>
      <c r="O24" s="8"/>
      <c r="P24" s="8"/>
      <c r="Q24" s="8"/>
      <c r="R24" s="8"/>
      <c r="S24" s="8"/>
      <c r="T24" s="8"/>
      <c r="U24" s="8"/>
      <c r="V24" s="8"/>
      <c r="W24" s="8"/>
      <c r="X24" s="8"/>
      <c r="Y24" s="8"/>
      <c r="Z24" s="8"/>
      <c r="AA24" s="8"/>
      <c r="AB24" s="8"/>
      <c r="AC24" s="8"/>
      <c r="AF24" s="18" t="s">
        <v>237</v>
      </c>
      <c r="AG24">
        <v>3082973214</v>
      </c>
      <c r="AH24">
        <v>20528625</v>
      </c>
      <c r="AI24" t="s">
        <v>213</v>
      </c>
      <c r="AJ24" t="s">
        <v>7</v>
      </c>
      <c r="AM24" t="str">
        <f t="shared" si="0"/>
        <v>HUMAIRA A TAUFANI</v>
      </c>
      <c r="AT24" s="38" t="s">
        <v>977</v>
      </c>
      <c r="AU24" s="39" t="s">
        <v>978</v>
      </c>
      <c r="AV24" s="38" t="s">
        <v>6</v>
      </c>
      <c r="AW24" s="39" t="s">
        <v>979</v>
      </c>
      <c r="AX24" s="40" t="s">
        <v>980</v>
      </c>
      <c r="AY24" s="40" t="s">
        <v>811</v>
      </c>
      <c r="AZ24" s="40" t="s">
        <v>666</v>
      </c>
      <c r="BA24" s="40" t="s">
        <v>459</v>
      </c>
      <c r="BB24" s="39" t="s">
        <v>475</v>
      </c>
      <c r="BD24" s="81" t="s">
        <v>2377</v>
      </c>
      <c r="BE24" s="38" t="s">
        <v>977</v>
      </c>
      <c r="BF24" s="39" t="s">
        <v>978</v>
      </c>
      <c r="BG24" t="s">
        <v>1961</v>
      </c>
    </row>
    <row r="25" spans="1:59" ht="20.100000000000001" customHeight="1" x14ac:dyDescent="0.25">
      <c r="A25" s="4">
        <v>16</v>
      </c>
      <c r="B25" s="4" t="s">
        <v>2419</v>
      </c>
      <c r="C25" s="38" t="s">
        <v>981</v>
      </c>
      <c r="D25" s="39" t="s">
        <v>982</v>
      </c>
      <c r="E25" s="38" t="s">
        <v>6</v>
      </c>
      <c r="F25" s="8"/>
      <c r="G25" s="8"/>
      <c r="H25" s="8"/>
      <c r="I25" s="8"/>
      <c r="J25" s="8"/>
      <c r="K25" s="8"/>
      <c r="L25" s="8"/>
      <c r="M25" s="8"/>
      <c r="N25" s="8"/>
      <c r="O25" s="8"/>
      <c r="P25" s="8"/>
      <c r="Q25" s="8"/>
      <c r="R25" s="8"/>
      <c r="S25" s="8"/>
      <c r="T25" s="8"/>
      <c r="U25" s="8"/>
      <c r="V25" s="8"/>
      <c r="W25" s="8"/>
      <c r="X25" s="8"/>
      <c r="Y25" s="8"/>
      <c r="Z25" s="8"/>
      <c r="AA25" s="8"/>
      <c r="AB25" s="8"/>
      <c r="AC25" s="8"/>
      <c r="AF25" s="13" t="s">
        <v>40</v>
      </c>
      <c r="AG25" t="s">
        <v>22</v>
      </c>
      <c r="AH25">
        <v>20527202</v>
      </c>
      <c r="AI25" t="s">
        <v>23</v>
      </c>
      <c r="AJ25" t="s">
        <v>6</v>
      </c>
      <c r="AM25" t="str">
        <f t="shared" si="0"/>
        <v>MARETA DWI MELANDRI</v>
      </c>
      <c r="AT25" s="38" t="s">
        <v>981</v>
      </c>
      <c r="AU25" s="39" t="s">
        <v>982</v>
      </c>
      <c r="AV25" s="38" t="s">
        <v>6</v>
      </c>
      <c r="AW25" s="39" t="s">
        <v>983</v>
      </c>
      <c r="AX25" s="40" t="s">
        <v>984</v>
      </c>
      <c r="AY25" s="40" t="s">
        <v>985</v>
      </c>
      <c r="AZ25" s="40" t="s">
        <v>986</v>
      </c>
      <c r="BA25" s="40" t="s">
        <v>459</v>
      </c>
      <c r="BB25" s="39" t="s">
        <v>987</v>
      </c>
      <c r="BD25" s="81" t="s">
        <v>2419</v>
      </c>
      <c r="BE25" s="38" t="s">
        <v>981</v>
      </c>
      <c r="BF25" s="39" t="s">
        <v>982</v>
      </c>
      <c r="BG25" t="s">
        <v>1962</v>
      </c>
    </row>
    <row r="26" spans="1:59" ht="20.100000000000001" customHeight="1" x14ac:dyDescent="0.25">
      <c r="A26" s="4">
        <v>17</v>
      </c>
      <c r="B26" s="4" t="s">
        <v>2424</v>
      </c>
      <c r="C26" s="38" t="s">
        <v>988</v>
      </c>
      <c r="D26" s="39" t="s">
        <v>989</v>
      </c>
      <c r="E26" s="38" t="s">
        <v>6</v>
      </c>
      <c r="F26" s="8"/>
      <c r="G26" s="8"/>
      <c r="H26" s="8"/>
      <c r="I26" s="8"/>
      <c r="J26" s="8"/>
      <c r="K26" s="8"/>
      <c r="L26" s="8"/>
      <c r="M26" s="8"/>
      <c r="N26" s="8"/>
      <c r="O26" s="8"/>
      <c r="P26" s="8"/>
      <c r="Q26" s="8"/>
      <c r="R26" s="8"/>
      <c r="S26" s="8"/>
      <c r="T26" s="8"/>
      <c r="U26" s="8"/>
      <c r="V26" s="8"/>
      <c r="W26" s="8"/>
      <c r="X26" s="8"/>
      <c r="Y26" s="8"/>
      <c r="Z26" s="8"/>
      <c r="AA26" s="8"/>
      <c r="AB26" s="8"/>
      <c r="AC26" s="8"/>
      <c r="AF26" s="18" t="s">
        <v>237</v>
      </c>
      <c r="AG26" t="s">
        <v>223</v>
      </c>
      <c r="AH26">
        <v>20527197</v>
      </c>
      <c r="AI26" t="s">
        <v>224</v>
      </c>
      <c r="AJ26" t="s">
        <v>6</v>
      </c>
      <c r="AM26" t="str">
        <f t="shared" si="0"/>
        <v>MAULIDIA NABILA SAFITRI</v>
      </c>
      <c r="AT26" s="38" t="s">
        <v>988</v>
      </c>
      <c r="AU26" s="39" t="s">
        <v>989</v>
      </c>
      <c r="AV26" s="38" t="s">
        <v>6</v>
      </c>
      <c r="AW26" s="39" t="s">
        <v>478</v>
      </c>
      <c r="AX26" s="40" t="s">
        <v>990</v>
      </c>
      <c r="AY26" s="40" t="s">
        <v>548</v>
      </c>
      <c r="AZ26" s="40" t="s">
        <v>991</v>
      </c>
      <c r="BA26" s="40" t="s">
        <v>460</v>
      </c>
      <c r="BB26" s="39" t="s">
        <v>475</v>
      </c>
      <c r="BD26" s="81" t="s">
        <v>2424</v>
      </c>
      <c r="BE26" s="38" t="s">
        <v>988</v>
      </c>
      <c r="BF26" s="39" t="s">
        <v>989</v>
      </c>
      <c r="BG26" t="s">
        <v>1963</v>
      </c>
    </row>
    <row r="27" spans="1:59" ht="20.100000000000001" customHeight="1" x14ac:dyDescent="0.25">
      <c r="A27" s="4">
        <v>18</v>
      </c>
      <c r="B27" s="4" t="s">
        <v>2427</v>
      </c>
      <c r="C27" s="38" t="s">
        <v>992</v>
      </c>
      <c r="D27" s="39" t="s">
        <v>993</v>
      </c>
      <c r="E27" s="38" t="s">
        <v>6</v>
      </c>
      <c r="F27" s="8"/>
      <c r="G27" s="8"/>
      <c r="H27" s="8"/>
      <c r="I27" s="8"/>
      <c r="J27" s="8"/>
      <c r="K27" s="8"/>
      <c r="L27" s="8"/>
      <c r="M27" s="8"/>
      <c r="N27" s="8"/>
      <c r="O27" s="8"/>
      <c r="P27" s="8"/>
      <c r="Q27" s="8"/>
      <c r="R27" s="8"/>
      <c r="S27" s="8"/>
      <c r="T27" s="8"/>
      <c r="U27" s="8"/>
      <c r="V27" s="8"/>
      <c r="W27" s="8"/>
      <c r="X27" s="8"/>
      <c r="Y27" s="8"/>
      <c r="Z27" s="8"/>
      <c r="AA27" s="8"/>
      <c r="AB27" s="8"/>
      <c r="AC27" s="8"/>
      <c r="AF27" s="15" t="s">
        <v>456</v>
      </c>
      <c r="AG27" t="s">
        <v>397</v>
      </c>
      <c r="AH27">
        <v>20527197</v>
      </c>
      <c r="AI27" t="s">
        <v>398</v>
      </c>
      <c r="AJ27" t="s">
        <v>6</v>
      </c>
      <c r="AM27" t="e">
        <f>UPPER(#REF!)</f>
        <v>#REF!</v>
      </c>
      <c r="AT27" s="38" t="s">
        <v>992</v>
      </c>
      <c r="AU27" s="39" t="s">
        <v>993</v>
      </c>
      <c r="AV27" s="38" t="s">
        <v>6</v>
      </c>
      <c r="AW27" s="39" t="s">
        <v>542</v>
      </c>
      <c r="AX27" s="40" t="s">
        <v>994</v>
      </c>
      <c r="AY27" s="40" t="s">
        <v>502</v>
      </c>
      <c r="AZ27" s="40" t="s">
        <v>995</v>
      </c>
      <c r="BA27" s="40" t="s">
        <v>459</v>
      </c>
      <c r="BB27" s="39" t="s">
        <v>475</v>
      </c>
      <c r="BD27" s="81" t="s">
        <v>2427</v>
      </c>
      <c r="BE27" s="38" t="s">
        <v>992</v>
      </c>
      <c r="BF27" s="39" t="s">
        <v>993</v>
      </c>
      <c r="BG27" t="s">
        <v>1964</v>
      </c>
    </row>
    <row r="28" spans="1:59" ht="20.100000000000001" customHeight="1" x14ac:dyDescent="0.25">
      <c r="A28" s="4">
        <v>19</v>
      </c>
      <c r="B28" s="4" t="s">
        <v>2436</v>
      </c>
      <c r="C28" s="38" t="s">
        <v>996</v>
      </c>
      <c r="D28" s="39" t="s">
        <v>997</v>
      </c>
      <c r="E28" s="38" t="s">
        <v>7</v>
      </c>
      <c r="F28" s="8"/>
      <c r="G28" s="8"/>
      <c r="H28" s="8"/>
      <c r="I28" s="8"/>
      <c r="J28" s="8"/>
      <c r="K28" s="8"/>
      <c r="L28" s="8"/>
      <c r="M28" s="8"/>
      <c r="N28" s="8"/>
      <c r="O28" s="8"/>
      <c r="P28" s="8"/>
      <c r="Q28" s="8"/>
      <c r="R28" s="8"/>
      <c r="S28" s="8"/>
      <c r="T28" s="8"/>
      <c r="U28" s="8"/>
      <c r="V28" s="8"/>
      <c r="W28" s="8"/>
      <c r="X28" s="8"/>
      <c r="Y28" s="8"/>
      <c r="Z28" s="8"/>
      <c r="AA28" s="8"/>
      <c r="AB28" s="8"/>
      <c r="AC28" s="8"/>
      <c r="AF28" s="17" t="s">
        <v>128</v>
      </c>
      <c r="AG28">
        <v>3080968608</v>
      </c>
      <c r="AH28">
        <v>70027854</v>
      </c>
      <c r="AI28" t="s">
        <v>98</v>
      </c>
      <c r="AJ28" t="s">
        <v>7</v>
      </c>
      <c r="AM28" t="str">
        <f t="shared" si="0"/>
        <v>MOH AINUR ROFIQI</v>
      </c>
      <c r="AT28" s="38" t="s">
        <v>996</v>
      </c>
      <c r="AU28" s="39" t="s">
        <v>997</v>
      </c>
      <c r="AV28" s="38" t="s">
        <v>7</v>
      </c>
      <c r="AW28" s="39" t="s">
        <v>998</v>
      </c>
      <c r="AX28" s="40" t="s">
        <v>999</v>
      </c>
      <c r="AY28" s="40" t="s">
        <v>697</v>
      </c>
      <c r="AZ28" s="40" t="s">
        <v>475</v>
      </c>
      <c r="BA28" s="40" t="s">
        <v>459</v>
      </c>
      <c r="BB28" s="39" t="s">
        <v>1000</v>
      </c>
      <c r="BD28" s="81" t="s">
        <v>2436</v>
      </c>
      <c r="BE28" s="38" t="s">
        <v>996</v>
      </c>
      <c r="BF28" s="39" t="s">
        <v>997</v>
      </c>
      <c r="BG28" t="s">
        <v>1965</v>
      </c>
    </row>
    <row r="29" spans="1:59" ht="20.100000000000001" customHeight="1" x14ac:dyDescent="0.25">
      <c r="A29" s="4">
        <v>20</v>
      </c>
      <c r="B29" s="4" t="s">
        <v>2446</v>
      </c>
      <c r="C29" s="38" t="s">
        <v>1001</v>
      </c>
      <c r="D29" s="39" t="s">
        <v>1002</v>
      </c>
      <c r="E29" s="38" t="s">
        <v>7</v>
      </c>
      <c r="F29" s="8"/>
      <c r="G29" s="8"/>
      <c r="H29" s="8"/>
      <c r="I29" s="8"/>
      <c r="J29" s="8"/>
      <c r="K29" s="8"/>
      <c r="L29" s="8"/>
      <c r="M29" s="8"/>
      <c r="N29" s="8"/>
      <c r="O29" s="8"/>
      <c r="P29" s="8"/>
      <c r="Q29" s="8"/>
      <c r="R29" s="8"/>
      <c r="S29" s="8"/>
      <c r="T29" s="8"/>
      <c r="U29" s="8"/>
      <c r="V29" s="8"/>
      <c r="W29" s="8"/>
      <c r="X29" s="8"/>
      <c r="Y29" s="8"/>
      <c r="Z29" s="8"/>
      <c r="AA29" s="8"/>
      <c r="AB29" s="8"/>
      <c r="AC29" s="8"/>
      <c r="AF29" s="15" t="s">
        <v>456</v>
      </c>
      <c r="AG29" t="s">
        <v>311</v>
      </c>
      <c r="AH29">
        <v>20527197</v>
      </c>
      <c r="AI29" t="s">
        <v>312</v>
      </c>
      <c r="AJ29" t="s">
        <v>6</v>
      </c>
      <c r="AM29" t="str">
        <f t="shared" si="0"/>
        <v>MOH JULIANTO ALFARIZI</v>
      </c>
      <c r="AT29" s="38" t="s">
        <v>1001</v>
      </c>
      <c r="AU29" s="39" t="s">
        <v>1002</v>
      </c>
      <c r="AV29" s="38" t="s">
        <v>7</v>
      </c>
      <c r="AW29" s="39" t="s">
        <v>1003</v>
      </c>
      <c r="AX29" s="40" t="s">
        <v>1004</v>
      </c>
      <c r="AY29" s="40" t="s">
        <v>548</v>
      </c>
      <c r="AZ29" s="40" t="s">
        <v>1005</v>
      </c>
      <c r="BA29" s="40" t="s">
        <v>459</v>
      </c>
      <c r="BB29" s="39" t="s">
        <v>475</v>
      </c>
      <c r="BD29" s="81" t="s">
        <v>2446</v>
      </c>
      <c r="BE29" s="38" t="s">
        <v>1001</v>
      </c>
      <c r="BF29" s="39" t="s">
        <v>1002</v>
      </c>
      <c r="BG29" t="s">
        <v>1966</v>
      </c>
    </row>
    <row r="30" spans="1:59" ht="20.100000000000001" customHeight="1" x14ac:dyDescent="0.25">
      <c r="A30" s="4">
        <v>21</v>
      </c>
      <c r="B30" s="4" t="s">
        <v>2447</v>
      </c>
      <c r="C30" s="38">
        <v>3106372563</v>
      </c>
      <c r="D30" s="39" t="s">
        <v>1006</v>
      </c>
      <c r="E30" s="38" t="s">
        <v>7</v>
      </c>
      <c r="F30" s="8"/>
      <c r="G30" s="8"/>
      <c r="H30" s="8"/>
      <c r="I30" s="8"/>
      <c r="J30" s="8"/>
      <c r="K30" s="8"/>
      <c r="L30" s="8"/>
      <c r="M30" s="8"/>
      <c r="N30" s="8"/>
      <c r="O30" s="8"/>
      <c r="P30" s="8"/>
      <c r="Q30" s="8"/>
      <c r="R30" s="8"/>
      <c r="S30" s="8"/>
      <c r="T30" s="8"/>
      <c r="U30" s="8"/>
      <c r="V30" s="8"/>
      <c r="W30" s="8"/>
      <c r="X30" s="8"/>
      <c r="Y30" s="8"/>
      <c r="Z30" s="8"/>
      <c r="AA30" s="8"/>
      <c r="AB30" s="8"/>
      <c r="AC30" s="8"/>
      <c r="AF30" s="17" t="s">
        <v>128</v>
      </c>
      <c r="AG30" t="s">
        <v>122</v>
      </c>
      <c r="AH30">
        <v>20527180</v>
      </c>
      <c r="AI30" t="s">
        <v>123</v>
      </c>
      <c r="AJ30" t="s">
        <v>7</v>
      </c>
      <c r="AM30" t="str">
        <f t="shared" si="0"/>
        <v>MOH RIZKI RADITYA UMAM</v>
      </c>
      <c r="AT30" s="38">
        <v>3106372563</v>
      </c>
      <c r="AU30" s="39" t="s">
        <v>1006</v>
      </c>
      <c r="AV30" s="38" t="s">
        <v>7</v>
      </c>
      <c r="AW30" s="39" t="s">
        <v>484</v>
      </c>
      <c r="AX30" s="40">
        <v>90.86</v>
      </c>
      <c r="AY30" s="40">
        <v>78.34</v>
      </c>
      <c r="AZ30" s="40">
        <v>85.85</v>
      </c>
      <c r="BA30" s="40" t="s">
        <v>459</v>
      </c>
      <c r="BB30" s="39" t="s">
        <v>1007</v>
      </c>
      <c r="BD30" s="81" t="s">
        <v>2447</v>
      </c>
      <c r="BE30" s="42" t="s">
        <v>1983</v>
      </c>
      <c r="BF30" s="39" t="s">
        <v>1006</v>
      </c>
      <c r="BG30" t="s">
        <v>1967</v>
      </c>
    </row>
    <row r="31" spans="1:59" ht="20.100000000000001" customHeight="1" x14ac:dyDescent="0.25">
      <c r="A31" s="4">
        <v>22</v>
      </c>
      <c r="B31" s="4" t="s">
        <v>2481</v>
      </c>
      <c r="C31" s="42" t="s">
        <v>1008</v>
      </c>
      <c r="D31" s="39" t="s">
        <v>1009</v>
      </c>
      <c r="E31" s="38" t="s">
        <v>6</v>
      </c>
      <c r="F31" s="8"/>
      <c r="G31" s="8"/>
      <c r="H31" s="8"/>
      <c r="I31" s="8"/>
      <c r="J31" s="8"/>
      <c r="K31" s="8"/>
      <c r="L31" s="8"/>
      <c r="M31" s="8"/>
      <c r="N31" s="8"/>
      <c r="O31" s="8"/>
      <c r="P31" s="8"/>
      <c r="Q31" s="8"/>
      <c r="R31" s="8"/>
      <c r="S31" s="8"/>
      <c r="T31" s="8"/>
      <c r="U31" s="8"/>
      <c r="V31" s="8"/>
      <c r="W31" s="8"/>
      <c r="X31" s="8"/>
      <c r="Y31" s="8"/>
      <c r="Z31" s="8"/>
      <c r="AA31" s="8"/>
      <c r="AB31" s="8"/>
      <c r="AC31" s="8"/>
      <c r="AF31" s="14" t="s">
        <v>93</v>
      </c>
      <c r="AG31" t="s">
        <v>81</v>
      </c>
      <c r="AH31">
        <v>20527185</v>
      </c>
      <c r="AI31" t="s">
        <v>82</v>
      </c>
      <c r="AJ31" t="s">
        <v>6</v>
      </c>
      <c r="AM31" t="str">
        <f t="shared" si="0"/>
        <v>NAILA ISTNAINI ZAHRA</v>
      </c>
      <c r="AT31" s="42" t="s">
        <v>1008</v>
      </c>
      <c r="AU31" s="39" t="s">
        <v>1009</v>
      </c>
      <c r="AV31" s="38" t="s">
        <v>6</v>
      </c>
      <c r="AW31" s="39" t="s">
        <v>542</v>
      </c>
      <c r="AX31" s="40" t="s">
        <v>1010</v>
      </c>
      <c r="AY31" s="40" t="s">
        <v>561</v>
      </c>
      <c r="AZ31" s="40" t="s">
        <v>1011</v>
      </c>
      <c r="BA31" s="40" t="s">
        <v>459</v>
      </c>
      <c r="BB31" s="39" t="s">
        <v>525</v>
      </c>
      <c r="BD31" s="81" t="s">
        <v>2481</v>
      </c>
      <c r="BE31" s="42" t="s">
        <v>1008</v>
      </c>
      <c r="BF31" s="39" t="s">
        <v>1009</v>
      </c>
      <c r="BG31" t="s">
        <v>1968</v>
      </c>
    </row>
    <row r="32" spans="1:59" ht="20.100000000000001" customHeight="1" x14ac:dyDescent="0.25">
      <c r="A32" s="4">
        <v>23</v>
      </c>
      <c r="B32" s="4" t="s">
        <v>2485</v>
      </c>
      <c r="C32" s="38">
        <v>3116785893</v>
      </c>
      <c r="D32" s="39" t="s">
        <v>1012</v>
      </c>
      <c r="E32" s="38" t="s">
        <v>6</v>
      </c>
      <c r="F32" s="8"/>
      <c r="G32" s="8"/>
      <c r="H32" s="8"/>
      <c r="I32" s="8"/>
      <c r="J32" s="8"/>
      <c r="K32" s="8"/>
      <c r="L32" s="8"/>
      <c r="M32" s="8"/>
      <c r="N32" s="8"/>
      <c r="O32" s="8"/>
      <c r="P32" s="8"/>
      <c r="Q32" s="8"/>
      <c r="R32" s="8"/>
      <c r="S32" s="8"/>
      <c r="T32" s="8"/>
      <c r="U32" s="8"/>
      <c r="V32" s="8"/>
      <c r="W32" s="8"/>
      <c r="X32" s="8"/>
      <c r="Y32" s="8"/>
      <c r="Z32" s="8"/>
      <c r="AA32" s="8"/>
      <c r="AB32" s="8"/>
      <c r="AC32" s="8"/>
      <c r="AF32" s="15" t="s">
        <v>456</v>
      </c>
      <c r="AG32" t="s">
        <v>250</v>
      </c>
      <c r="AH32">
        <v>20527197</v>
      </c>
      <c r="AI32" t="s">
        <v>251</v>
      </c>
      <c r="AJ32" t="s">
        <v>6</v>
      </c>
      <c r="AM32" t="str">
        <f t="shared" si="0"/>
        <v>NAJWA AISSYATI ISMAN</v>
      </c>
      <c r="AT32" s="38">
        <v>3116785893</v>
      </c>
      <c r="AU32" s="39" t="s">
        <v>1012</v>
      </c>
      <c r="AV32" s="38" t="s">
        <v>6</v>
      </c>
      <c r="AW32" s="39" t="s">
        <v>1013</v>
      </c>
      <c r="AX32" s="40">
        <v>81.93</v>
      </c>
      <c r="AY32" s="40">
        <v>38.33</v>
      </c>
      <c r="AZ32" s="40">
        <v>64.489999999999995</v>
      </c>
      <c r="BA32" s="40" t="s">
        <v>459</v>
      </c>
      <c r="BB32" s="39" t="s">
        <v>589</v>
      </c>
      <c r="BD32" s="81" t="s">
        <v>2485</v>
      </c>
      <c r="BE32" s="42" t="s">
        <v>1984</v>
      </c>
      <c r="BF32" s="39" t="s">
        <v>1012</v>
      </c>
      <c r="BG32" t="s">
        <v>1969</v>
      </c>
    </row>
    <row r="33" spans="1:59" ht="20.100000000000001" customHeight="1" x14ac:dyDescent="0.25">
      <c r="A33" s="4">
        <v>24</v>
      </c>
      <c r="B33" s="4" t="s">
        <v>2487</v>
      </c>
      <c r="C33" s="38" t="s">
        <v>1014</v>
      </c>
      <c r="D33" s="39" t="s">
        <v>1015</v>
      </c>
      <c r="E33" s="38" t="s">
        <v>7</v>
      </c>
      <c r="F33" s="8"/>
      <c r="G33" s="8"/>
      <c r="H33" s="8"/>
      <c r="I33" s="8"/>
      <c r="J33" s="8"/>
      <c r="K33" s="8"/>
      <c r="L33" s="8"/>
      <c r="M33" s="8"/>
      <c r="N33" s="8"/>
      <c r="O33" s="8"/>
      <c r="P33" s="8"/>
      <c r="Q33" s="8"/>
      <c r="R33" s="8"/>
      <c r="S33" s="8"/>
      <c r="T33" s="8"/>
      <c r="U33" s="8"/>
      <c r="V33" s="8"/>
      <c r="W33" s="8"/>
      <c r="X33" s="8"/>
      <c r="Y33" s="8"/>
      <c r="Z33" s="8"/>
      <c r="AA33" s="8"/>
      <c r="AB33" s="8"/>
      <c r="AC33" s="8"/>
      <c r="AF33" s="15" t="s">
        <v>456</v>
      </c>
      <c r="AG33" t="s">
        <v>363</v>
      </c>
      <c r="AH33">
        <v>20583411</v>
      </c>
      <c r="AI33" t="s">
        <v>364</v>
      </c>
      <c r="AJ33" t="s">
        <v>6</v>
      </c>
      <c r="AM33" t="str">
        <f t="shared" si="0"/>
        <v>NASTAMA TRI ADITYA FASHA</v>
      </c>
      <c r="AT33" s="38" t="s">
        <v>1014</v>
      </c>
      <c r="AU33" s="39" t="s">
        <v>1015</v>
      </c>
      <c r="AV33" s="38" t="s">
        <v>7</v>
      </c>
      <c r="AW33" s="39" t="s">
        <v>484</v>
      </c>
      <c r="AX33" s="40" t="s">
        <v>481</v>
      </c>
      <c r="AY33" s="40" t="s">
        <v>1016</v>
      </c>
      <c r="AZ33" s="40" t="s">
        <v>1017</v>
      </c>
      <c r="BA33" s="40" t="s">
        <v>459</v>
      </c>
      <c r="BB33" s="39" t="s">
        <v>475</v>
      </c>
      <c r="BD33" s="81" t="s">
        <v>2487</v>
      </c>
      <c r="BE33" s="38" t="s">
        <v>1014</v>
      </c>
      <c r="BF33" s="39" t="s">
        <v>1015</v>
      </c>
      <c r="BG33" t="s">
        <v>1970</v>
      </c>
    </row>
    <row r="34" spans="1:59" ht="20.100000000000001" customHeight="1" x14ac:dyDescent="0.25">
      <c r="A34" s="4">
        <v>25</v>
      </c>
      <c r="B34" s="4" t="s">
        <v>2492</v>
      </c>
      <c r="C34" s="38" t="s">
        <v>1018</v>
      </c>
      <c r="D34" s="39" t="s">
        <v>1019</v>
      </c>
      <c r="E34" s="38" t="s">
        <v>6</v>
      </c>
      <c r="F34" s="8"/>
      <c r="G34" s="8"/>
      <c r="H34" s="8"/>
      <c r="I34" s="8"/>
      <c r="J34" s="8"/>
      <c r="K34" s="8"/>
      <c r="L34" s="8"/>
      <c r="M34" s="8"/>
      <c r="N34" s="8"/>
      <c r="O34" s="8"/>
      <c r="P34" s="8"/>
      <c r="Q34" s="8"/>
      <c r="R34" s="8"/>
      <c r="S34" s="8"/>
      <c r="T34" s="8"/>
      <c r="U34" s="8"/>
      <c r="V34" s="8"/>
      <c r="W34" s="8"/>
      <c r="X34" s="8"/>
      <c r="Y34" s="8"/>
      <c r="Z34" s="8"/>
      <c r="AA34" s="8"/>
      <c r="AB34" s="8"/>
      <c r="AC34" s="8"/>
      <c r="AF34" s="15" t="s">
        <v>456</v>
      </c>
      <c r="AG34" t="s">
        <v>256</v>
      </c>
      <c r="AH34">
        <v>20527185</v>
      </c>
      <c r="AI34" t="s">
        <v>257</v>
      </c>
      <c r="AJ34" t="s">
        <v>7</v>
      </c>
      <c r="AM34" t="str">
        <f t="shared" si="0"/>
        <v>NAZLATUR RAHMAH</v>
      </c>
      <c r="AT34" s="38" t="s">
        <v>1018</v>
      </c>
      <c r="AU34" s="39" t="s">
        <v>1019</v>
      </c>
      <c r="AV34" s="38" t="s">
        <v>6</v>
      </c>
      <c r="AW34" s="39" t="s">
        <v>902</v>
      </c>
      <c r="AX34" s="40" t="s">
        <v>1020</v>
      </c>
      <c r="AY34" s="40" t="s">
        <v>677</v>
      </c>
      <c r="AZ34" s="40" t="s">
        <v>1021</v>
      </c>
      <c r="BA34" s="40" t="s">
        <v>459</v>
      </c>
      <c r="BB34" s="39" t="s">
        <v>475</v>
      </c>
      <c r="BD34" s="81" t="s">
        <v>2492</v>
      </c>
      <c r="BE34" s="38" t="s">
        <v>1018</v>
      </c>
      <c r="BF34" s="39" t="s">
        <v>1019</v>
      </c>
      <c r="BG34" t="s">
        <v>1971</v>
      </c>
    </row>
    <row r="35" spans="1:59" ht="20.100000000000001" customHeight="1" x14ac:dyDescent="0.25">
      <c r="A35" s="4">
        <v>26</v>
      </c>
      <c r="B35" s="4" t="s">
        <v>2494</v>
      </c>
      <c r="C35" s="38" t="s">
        <v>1022</v>
      </c>
      <c r="D35" s="39" t="s">
        <v>1023</v>
      </c>
      <c r="E35" s="38" t="s">
        <v>7</v>
      </c>
      <c r="F35" s="8"/>
      <c r="G35" s="8"/>
      <c r="H35" s="8"/>
      <c r="I35" s="8"/>
      <c r="J35" s="8"/>
      <c r="K35" s="8"/>
      <c r="L35" s="8"/>
      <c r="M35" s="8"/>
      <c r="N35" s="8"/>
      <c r="O35" s="8"/>
      <c r="P35" s="8"/>
      <c r="Q35" s="8"/>
      <c r="R35" s="8"/>
      <c r="S35" s="8"/>
      <c r="T35" s="8"/>
      <c r="U35" s="8"/>
      <c r="V35" s="8"/>
      <c r="W35" s="8"/>
      <c r="X35" s="8"/>
      <c r="Y35" s="8"/>
      <c r="Z35" s="8"/>
      <c r="AA35" s="8"/>
      <c r="AB35" s="8"/>
      <c r="AC35" s="8"/>
      <c r="AF35" s="15" t="s">
        <v>456</v>
      </c>
      <c r="AG35" t="s">
        <v>417</v>
      </c>
      <c r="AH35">
        <v>20527180</v>
      </c>
      <c r="AI35" t="s">
        <v>418</v>
      </c>
      <c r="AJ35" t="s">
        <v>6</v>
      </c>
      <c r="AM35" t="str">
        <f t="shared" si="0"/>
        <v>NIZAR AHZA ALAZZAM</v>
      </c>
      <c r="AT35" s="38" t="s">
        <v>1022</v>
      </c>
      <c r="AU35" s="39" t="s">
        <v>1023</v>
      </c>
      <c r="AV35" s="38" t="s">
        <v>7</v>
      </c>
      <c r="AW35" s="39" t="s">
        <v>958</v>
      </c>
      <c r="AX35" s="40" t="s">
        <v>1024</v>
      </c>
      <c r="AY35" s="40" t="s">
        <v>489</v>
      </c>
      <c r="AZ35" s="40" t="s">
        <v>1025</v>
      </c>
      <c r="BA35" s="40" t="s">
        <v>459</v>
      </c>
      <c r="BB35" s="39" t="s">
        <v>589</v>
      </c>
      <c r="BD35" s="81" t="s">
        <v>2494</v>
      </c>
      <c r="BE35" s="38" t="s">
        <v>1022</v>
      </c>
      <c r="BF35" s="39" t="s">
        <v>1023</v>
      </c>
      <c r="BG35" t="s">
        <v>1972</v>
      </c>
    </row>
    <row r="36" spans="1:59" ht="20.100000000000001" customHeight="1" x14ac:dyDescent="0.25">
      <c r="A36" s="4">
        <v>27</v>
      </c>
      <c r="B36" s="4" t="s">
        <v>2504</v>
      </c>
      <c r="C36" s="38" t="s">
        <v>1026</v>
      </c>
      <c r="D36" s="39" t="s">
        <v>1027</v>
      </c>
      <c r="E36" s="38" t="s">
        <v>6</v>
      </c>
      <c r="F36" s="8"/>
      <c r="G36" s="8"/>
      <c r="H36" s="8"/>
      <c r="I36" s="8"/>
      <c r="J36" s="8"/>
      <c r="K36" s="8"/>
      <c r="L36" s="8"/>
      <c r="M36" s="8"/>
      <c r="N36" s="8"/>
      <c r="O36" s="8"/>
      <c r="P36" s="8"/>
      <c r="Q36" s="8"/>
      <c r="R36" s="8"/>
      <c r="S36" s="8"/>
      <c r="T36" s="8"/>
      <c r="U36" s="8"/>
      <c r="V36" s="8"/>
      <c r="W36" s="8"/>
      <c r="X36" s="8"/>
      <c r="Y36" s="8"/>
      <c r="Z36" s="8"/>
      <c r="AA36" s="8"/>
      <c r="AB36" s="8"/>
      <c r="AC36" s="8"/>
      <c r="AF36" s="17" t="s">
        <v>128</v>
      </c>
      <c r="AG36" t="s">
        <v>109</v>
      </c>
      <c r="AH36">
        <v>20583363</v>
      </c>
      <c r="AI36" t="s">
        <v>110</v>
      </c>
      <c r="AJ36" t="s">
        <v>6</v>
      </c>
      <c r="AM36" t="str">
        <f t="shared" si="0"/>
        <v>PURI AYU PUTRI BILQIS</v>
      </c>
      <c r="AT36" s="38" t="s">
        <v>1026</v>
      </c>
      <c r="AU36" s="39" t="s">
        <v>1027</v>
      </c>
      <c r="AV36" s="38" t="s">
        <v>6</v>
      </c>
      <c r="AW36" s="39" t="s">
        <v>484</v>
      </c>
      <c r="AX36" s="40">
        <v>90.89</v>
      </c>
      <c r="AY36" s="40">
        <v>71.67</v>
      </c>
      <c r="AZ36" s="40">
        <v>83.2</v>
      </c>
      <c r="BA36" s="40" t="s">
        <v>459</v>
      </c>
      <c r="BB36" s="39" t="s">
        <v>1028</v>
      </c>
      <c r="BD36" s="81" t="s">
        <v>2504</v>
      </c>
      <c r="BE36" s="38" t="s">
        <v>1026</v>
      </c>
      <c r="BF36" s="39" t="s">
        <v>1027</v>
      </c>
      <c r="BG36" t="s">
        <v>1973</v>
      </c>
    </row>
    <row r="37" spans="1:59" ht="20.100000000000001" customHeight="1" x14ac:dyDescent="0.25">
      <c r="A37" s="4">
        <v>28</v>
      </c>
      <c r="B37" s="4" t="s">
        <v>2509</v>
      </c>
      <c r="C37" s="38" t="s">
        <v>1029</v>
      </c>
      <c r="D37" s="39" t="s">
        <v>1030</v>
      </c>
      <c r="E37" s="38" t="s">
        <v>6</v>
      </c>
      <c r="F37" s="8"/>
      <c r="G37" s="8"/>
      <c r="H37" s="8"/>
      <c r="I37" s="8"/>
      <c r="J37" s="8"/>
      <c r="K37" s="8"/>
      <c r="L37" s="8"/>
      <c r="M37" s="8"/>
      <c r="N37" s="8"/>
      <c r="O37" s="8"/>
      <c r="P37" s="8"/>
      <c r="Q37" s="8"/>
      <c r="R37" s="8"/>
      <c r="S37" s="8"/>
      <c r="T37" s="8"/>
      <c r="U37" s="8"/>
      <c r="V37" s="8"/>
      <c r="W37" s="8"/>
      <c r="X37" s="8"/>
      <c r="Y37" s="8"/>
      <c r="Z37" s="8"/>
      <c r="AA37" s="8"/>
      <c r="AB37" s="8"/>
      <c r="AC37" s="8"/>
      <c r="AM37" t="str">
        <f t="shared" si="0"/>
        <v>PUTRY DESWIETA LADY AWALIA</v>
      </c>
      <c r="AT37" s="38" t="s">
        <v>1029</v>
      </c>
      <c r="AU37" s="39" t="s">
        <v>1030</v>
      </c>
      <c r="AV37" s="38" t="s">
        <v>6</v>
      </c>
      <c r="AW37" s="39" t="s">
        <v>619</v>
      </c>
      <c r="AX37" s="40" t="s">
        <v>1031</v>
      </c>
      <c r="AY37" s="40" t="s">
        <v>720</v>
      </c>
      <c r="AZ37" s="40" t="s">
        <v>1032</v>
      </c>
      <c r="BA37" s="40" t="s">
        <v>459</v>
      </c>
      <c r="BB37" s="39" t="s">
        <v>475</v>
      </c>
      <c r="BD37" s="81" t="s">
        <v>2509</v>
      </c>
      <c r="BE37" s="38" t="s">
        <v>1029</v>
      </c>
      <c r="BF37" s="39" t="s">
        <v>1030</v>
      </c>
      <c r="BG37" t="s">
        <v>1974</v>
      </c>
    </row>
    <row r="38" spans="1:59" ht="20.100000000000001" customHeight="1" x14ac:dyDescent="0.25">
      <c r="A38" s="4">
        <v>29</v>
      </c>
      <c r="B38" s="4" t="s">
        <v>2513</v>
      </c>
      <c r="C38" s="38" t="s">
        <v>1033</v>
      </c>
      <c r="D38" s="39" t="s">
        <v>1034</v>
      </c>
      <c r="E38" s="38" t="s">
        <v>7</v>
      </c>
      <c r="F38" s="8"/>
      <c r="G38" s="8"/>
      <c r="H38" s="8"/>
      <c r="I38" s="8"/>
      <c r="J38" s="8"/>
      <c r="K38" s="8"/>
      <c r="L38" s="8"/>
      <c r="M38" s="8"/>
      <c r="N38" s="8"/>
      <c r="O38" s="8"/>
      <c r="P38" s="8"/>
      <c r="Q38" s="8"/>
      <c r="R38" s="8"/>
      <c r="S38" s="8"/>
      <c r="T38" s="8"/>
      <c r="U38" s="8"/>
      <c r="V38" s="8"/>
      <c r="W38" s="8"/>
      <c r="X38" s="8"/>
      <c r="Y38" s="8"/>
      <c r="Z38" s="8"/>
      <c r="AA38" s="8"/>
      <c r="AB38" s="8"/>
      <c r="AC38" s="8"/>
      <c r="AM38" t="str">
        <f t="shared" si="0"/>
        <v>R FAKHRI ADLI NASHSHAR</v>
      </c>
      <c r="AT38" s="38" t="s">
        <v>1033</v>
      </c>
      <c r="AU38" s="39" t="s">
        <v>1034</v>
      </c>
      <c r="AV38" s="38" t="s">
        <v>7</v>
      </c>
      <c r="AW38" s="39" t="s">
        <v>494</v>
      </c>
      <c r="AX38" s="40" t="s">
        <v>1035</v>
      </c>
      <c r="AY38" s="40" t="s">
        <v>1036</v>
      </c>
      <c r="AZ38" s="40" t="s">
        <v>1037</v>
      </c>
      <c r="BA38" s="40" t="s">
        <v>459</v>
      </c>
      <c r="BB38" s="39" t="s">
        <v>525</v>
      </c>
      <c r="BD38" s="81" t="s">
        <v>2513</v>
      </c>
      <c r="BE38" s="38" t="s">
        <v>1033</v>
      </c>
      <c r="BF38" s="39" t="s">
        <v>1034</v>
      </c>
      <c r="BG38" t="s">
        <v>1975</v>
      </c>
    </row>
    <row r="39" spans="1:59" ht="20.100000000000001" customHeight="1" x14ac:dyDescent="0.25">
      <c r="A39" s="4">
        <v>30</v>
      </c>
      <c r="B39" s="4" t="s">
        <v>2514</v>
      </c>
      <c r="C39" s="38" t="s">
        <v>1038</v>
      </c>
      <c r="D39" s="39" t="s">
        <v>1039</v>
      </c>
      <c r="E39" s="38" t="s">
        <v>6</v>
      </c>
      <c r="F39" s="8"/>
      <c r="G39" s="8"/>
      <c r="H39" s="8"/>
      <c r="I39" s="8"/>
      <c r="J39" s="8"/>
      <c r="K39" s="8"/>
      <c r="L39" s="8"/>
      <c r="M39" s="8"/>
      <c r="N39" s="8"/>
      <c r="O39" s="8"/>
      <c r="P39" s="8"/>
      <c r="Q39" s="8"/>
      <c r="R39" s="8"/>
      <c r="S39" s="8"/>
      <c r="T39" s="8"/>
      <c r="U39" s="8"/>
      <c r="V39" s="8"/>
      <c r="W39" s="8"/>
      <c r="X39" s="8"/>
      <c r="Y39" s="8"/>
      <c r="Z39" s="8"/>
      <c r="AA39" s="8"/>
      <c r="AB39" s="8"/>
      <c r="AC39" s="8"/>
      <c r="AM39" t="str">
        <f t="shared" si="0"/>
        <v>RA SAFARAZ AUFA AZALIA</v>
      </c>
      <c r="AT39" s="38" t="s">
        <v>1038</v>
      </c>
      <c r="AU39" s="39" t="s">
        <v>1039</v>
      </c>
      <c r="AV39" s="38" t="s">
        <v>6</v>
      </c>
      <c r="AW39" s="39" t="s">
        <v>484</v>
      </c>
      <c r="AX39" s="40" t="s">
        <v>1040</v>
      </c>
      <c r="AY39" s="40" t="s">
        <v>502</v>
      </c>
      <c r="AZ39" s="40" t="s">
        <v>1041</v>
      </c>
      <c r="BA39" s="40" t="s">
        <v>459</v>
      </c>
      <c r="BB39" s="39" t="s">
        <v>475</v>
      </c>
      <c r="BD39" s="81" t="s">
        <v>2514</v>
      </c>
      <c r="BE39" s="38" t="s">
        <v>1038</v>
      </c>
      <c r="BF39" s="39" t="s">
        <v>1039</v>
      </c>
      <c r="BG39" t="s">
        <v>1976</v>
      </c>
    </row>
    <row r="40" spans="1:59" ht="20.100000000000001" customHeight="1" x14ac:dyDescent="0.25">
      <c r="A40" s="4">
        <v>31</v>
      </c>
      <c r="B40" s="4" t="s">
        <v>2515</v>
      </c>
      <c r="C40" s="38" t="s">
        <v>1042</v>
      </c>
      <c r="D40" s="39" t="s">
        <v>1043</v>
      </c>
      <c r="E40" s="38" t="s">
        <v>7</v>
      </c>
      <c r="F40" s="8"/>
      <c r="G40" s="8"/>
      <c r="H40" s="8"/>
      <c r="I40" s="8"/>
      <c r="J40" s="8"/>
      <c r="K40" s="8"/>
      <c r="L40" s="8"/>
      <c r="M40" s="8"/>
      <c r="N40" s="8"/>
      <c r="O40" s="8"/>
      <c r="P40" s="8"/>
      <c r="Q40" s="8"/>
      <c r="R40" s="8"/>
      <c r="S40" s="8"/>
      <c r="T40" s="8"/>
      <c r="U40" s="8"/>
      <c r="V40" s="8"/>
      <c r="W40" s="8"/>
      <c r="X40" s="8"/>
      <c r="Y40" s="8"/>
      <c r="Z40" s="8"/>
      <c r="AA40" s="8"/>
      <c r="AB40" s="8"/>
      <c r="AC40" s="8"/>
      <c r="AM40" t="str">
        <f t="shared" si="0"/>
        <v>RAFI AGUNG PRAMANA</v>
      </c>
      <c r="AT40" s="38" t="s">
        <v>1042</v>
      </c>
      <c r="AU40" s="39" t="s">
        <v>1043</v>
      </c>
      <c r="AV40" s="38" t="s">
        <v>7</v>
      </c>
      <c r="AW40" s="39" t="s">
        <v>494</v>
      </c>
      <c r="AX40" s="40">
        <v>90.8</v>
      </c>
      <c r="AY40" s="40">
        <v>65</v>
      </c>
      <c r="AZ40" s="40">
        <v>80.48</v>
      </c>
      <c r="BA40" s="40" t="s">
        <v>459</v>
      </c>
      <c r="BB40" s="39" t="s">
        <v>475</v>
      </c>
      <c r="BD40" s="81" t="s">
        <v>2515</v>
      </c>
      <c r="BE40" s="38" t="s">
        <v>1042</v>
      </c>
      <c r="BF40" s="39" t="s">
        <v>1043</v>
      </c>
      <c r="BG40" t="s">
        <v>1977</v>
      </c>
    </row>
    <row r="41" spans="1:59" ht="20.100000000000001" customHeight="1" x14ac:dyDescent="0.25">
      <c r="A41" s="4">
        <v>32</v>
      </c>
      <c r="B41" s="4" t="s">
        <v>2543</v>
      </c>
      <c r="C41" s="38" t="s">
        <v>1044</v>
      </c>
      <c r="D41" s="39" t="s">
        <v>1045</v>
      </c>
      <c r="E41" s="38" t="s">
        <v>6</v>
      </c>
      <c r="F41" s="8"/>
      <c r="G41" s="8"/>
      <c r="H41" s="8"/>
      <c r="I41" s="8"/>
      <c r="J41" s="8"/>
      <c r="K41" s="8"/>
      <c r="L41" s="8"/>
      <c r="M41" s="8"/>
      <c r="N41" s="8"/>
      <c r="O41" s="8"/>
      <c r="P41" s="8"/>
      <c r="Q41" s="8"/>
      <c r="R41" s="8"/>
      <c r="S41" s="8"/>
      <c r="T41" s="8"/>
      <c r="U41" s="8"/>
      <c r="V41" s="8"/>
      <c r="W41" s="8"/>
      <c r="X41" s="8"/>
      <c r="Y41" s="8"/>
      <c r="Z41" s="8"/>
      <c r="AA41" s="8"/>
      <c r="AB41" s="8"/>
      <c r="AC41" s="8"/>
      <c r="AM41" t="str">
        <f t="shared" si="0"/>
        <v>SABRINA ATHIFA KESUMA</v>
      </c>
      <c r="AT41" s="38" t="s">
        <v>1044</v>
      </c>
      <c r="AU41" s="39" t="s">
        <v>1045</v>
      </c>
      <c r="AV41" s="38" t="s">
        <v>6</v>
      </c>
      <c r="AW41" s="39" t="s">
        <v>902</v>
      </c>
      <c r="AX41" s="40">
        <v>88.63</v>
      </c>
      <c r="AY41" s="40">
        <v>66.67</v>
      </c>
      <c r="AZ41" s="40" t="s">
        <v>1046</v>
      </c>
      <c r="BA41" s="40" t="s">
        <v>459</v>
      </c>
      <c r="BB41" s="39" t="s">
        <v>475</v>
      </c>
      <c r="BD41" s="81" t="s">
        <v>2543</v>
      </c>
      <c r="BE41" s="38" t="s">
        <v>1044</v>
      </c>
      <c r="BF41" s="39" t="s">
        <v>1045</v>
      </c>
      <c r="BG41" t="s">
        <v>1978</v>
      </c>
    </row>
    <row r="42" spans="1:59" ht="20.100000000000001" customHeight="1" x14ac:dyDescent="0.25">
      <c r="A42" s="4">
        <v>33</v>
      </c>
      <c r="B42" s="4" t="s">
        <v>2557</v>
      </c>
      <c r="C42" s="38" t="s">
        <v>1047</v>
      </c>
      <c r="D42" s="39" t="s">
        <v>1048</v>
      </c>
      <c r="E42" s="38" t="s">
        <v>6</v>
      </c>
      <c r="F42" s="8"/>
      <c r="G42" s="8"/>
      <c r="H42" s="8"/>
      <c r="I42" s="8"/>
      <c r="J42" s="8"/>
      <c r="K42" s="8"/>
      <c r="L42" s="8"/>
      <c r="M42" s="8"/>
      <c r="N42" s="8"/>
      <c r="O42" s="8"/>
      <c r="P42" s="8"/>
      <c r="Q42" s="8"/>
      <c r="R42" s="8"/>
      <c r="S42" s="8"/>
      <c r="T42" s="8"/>
      <c r="U42" s="8"/>
      <c r="V42" s="8"/>
      <c r="W42" s="8"/>
      <c r="X42" s="8"/>
      <c r="Y42" s="8"/>
      <c r="Z42" s="8"/>
      <c r="AA42" s="8"/>
      <c r="AB42" s="8"/>
      <c r="AC42" s="8"/>
      <c r="AM42" t="str">
        <f t="shared" si="0"/>
        <v>SHERLY NATASYA NURIMAN</v>
      </c>
      <c r="AT42" s="38" t="s">
        <v>1047</v>
      </c>
      <c r="AU42" s="39" t="s">
        <v>1048</v>
      </c>
      <c r="AV42" s="38" t="s">
        <v>6</v>
      </c>
      <c r="AW42" s="39" t="s">
        <v>1049</v>
      </c>
      <c r="AX42" s="40" t="s">
        <v>1050</v>
      </c>
      <c r="AY42" s="40" t="s">
        <v>561</v>
      </c>
      <c r="AZ42" s="40" t="s">
        <v>1051</v>
      </c>
      <c r="BA42" s="40" t="s">
        <v>459</v>
      </c>
      <c r="BB42" s="39" t="s">
        <v>475</v>
      </c>
      <c r="BD42" s="81" t="s">
        <v>2557</v>
      </c>
      <c r="BE42" s="38" t="s">
        <v>1047</v>
      </c>
      <c r="BF42" s="39" t="s">
        <v>1048</v>
      </c>
      <c r="BG42" t="s">
        <v>1979</v>
      </c>
    </row>
    <row r="43" spans="1:59" ht="20.100000000000001" customHeight="1" x14ac:dyDescent="0.25">
      <c r="A43" s="4">
        <v>34</v>
      </c>
      <c r="B43" s="4" t="s">
        <v>2560</v>
      </c>
      <c r="C43" s="38" t="s">
        <v>1052</v>
      </c>
      <c r="D43" s="39" t="s">
        <v>1053</v>
      </c>
      <c r="E43" s="38" t="s">
        <v>6</v>
      </c>
      <c r="F43" s="8"/>
      <c r="G43" s="8"/>
      <c r="H43" s="8"/>
      <c r="I43" s="8"/>
      <c r="J43" s="8"/>
      <c r="K43" s="8"/>
      <c r="L43" s="8"/>
      <c r="M43" s="8"/>
      <c r="N43" s="8"/>
      <c r="O43" s="8"/>
      <c r="P43" s="8"/>
      <c r="Q43" s="8"/>
      <c r="R43" s="8"/>
      <c r="S43" s="8"/>
      <c r="T43" s="8"/>
      <c r="U43" s="8"/>
      <c r="V43" s="8"/>
      <c r="W43" s="8"/>
      <c r="X43" s="8"/>
      <c r="Y43" s="8"/>
      <c r="Z43" s="8"/>
      <c r="AA43" s="8"/>
      <c r="AB43" s="8"/>
      <c r="AC43" s="8"/>
      <c r="AM43" t="str">
        <f t="shared" si="0"/>
        <v>SITI ICHA MIFTAHUL JENNAH</v>
      </c>
      <c r="AT43" s="38" t="s">
        <v>1052</v>
      </c>
      <c r="AU43" s="39" t="s">
        <v>1053</v>
      </c>
      <c r="AV43" s="38" t="s">
        <v>6</v>
      </c>
      <c r="AW43" s="39" t="s">
        <v>1054</v>
      </c>
      <c r="AX43" s="40" t="s">
        <v>1055</v>
      </c>
      <c r="AY43" s="40" t="s">
        <v>548</v>
      </c>
      <c r="AZ43" s="40" t="s">
        <v>1056</v>
      </c>
      <c r="BA43" s="40" t="s">
        <v>459</v>
      </c>
      <c r="BB43" s="39" t="s">
        <v>475</v>
      </c>
      <c r="BD43" s="81" t="s">
        <v>2560</v>
      </c>
      <c r="BE43" s="38" t="s">
        <v>1052</v>
      </c>
      <c r="BF43" s="39" t="s">
        <v>1053</v>
      </c>
      <c r="BG43" t="s">
        <v>1980</v>
      </c>
    </row>
    <row r="44" spans="1:59" ht="20.100000000000001" customHeight="1" x14ac:dyDescent="0.25">
      <c r="A44" s="4">
        <v>35</v>
      </c>
      <c r="B44" s="4" t="s">
        <v>2566</v>
      </c>
      <c r="C44" s="38" t="s">
        <v>1057</v>
      </c>
      <c r="D44" s="39" t="s">
        <v>1058</v>
      </c>
      <c r="E44" s="38" t="s">
        <v>6</v>
      </c>
      <c r="F44" s="8"/>
      <c r="G44" s="8"/>
      <c r="H44" s="8"/>
      <c r="I44" s="8"/>
      <c r="J44" s="8"/>
      <c r="K44" s="8"/>
      <c r="L44" s="8"/>
      <c r="M44" s="8"/>
      <c r="N44" s="8"/>
      <c r="O44" s="8"/>
      <c r="P44" s="8"/>
      <c r="Q44" s="8"/>
      <c r="R44" s="8"/>
      <c r="S44" s="8"/>
      <c r="T44" s="8"/>
      <c r="U44" s="8"/>
      <c r="V44" s="8"/>
      <c r="W44" s="8"/>
      <c r="X44" s="8"/>
      <c r="Y44" s="8"/>
      <c r="Z44" s="8"/>
      <c r="AA44" s="8"/>
      <c r="AB44" s="8"/>
      <c r="AC44" s="8"/>
      <c r="AM44" t="str">
        <f t="shared" si="0"/>
        <v>TRI MEYSILA ATMANEGARA</v>
      </c>
      <c r="AT44" s="38" t="s">
        <v>1057</v>
      </c>
      <c r="AU44" s="39" t="s">
        <v>1058</v>
      </c>
      <c r="AV44" s="38" t="s">
        <v>6</v>
      </c>
      <c r="AW44" s="39" t="s">
        <v>1059</v>
      </c>
      <c r="AX44" s="40" t="s">
        <v>1060</v>
      </c>
      <c r="AY44" s="40" t="s">
        <v>537</v>
      </c>
      <c r="AZ44" s="40" t="s">
        <v>1061</v>
      </c>
      <c r="BA44" s="40" t="s">
        <v>459</v>
      </c>
      <c r="BB44" s="39" t="s">
        <v>475</v>
      </c>
      <c r="BD44" s="81" t="s">
        <v>2566</v>
      </c>
      <c r="BE44" s="38" t="s">
        <v>1057</v>
      </c>
      <c r="BF44" s="39" t="s">
        <v>1058</v>
      </c>
      <c r="BG44" t="s">
        <v>1981</v>
      </c>
    </row>
    <row r="45" spans="1:59" ht="20.100000000000001" customHeight="1" x14ac:dyDescent="0.25">
      <c r="A45" s="4">
        <v>36</v>
      </c>
      <c r="B45" s="4" t="s">
        <v>2587</v>
      </c>
      <c r="C45" s="38" t="s">
        <v>1062</v>
      </c>
      <c r="D45" s="39" t="s">
        <v>1063</v>
      </c>
      <c r="E45" s="38" t="s">
        <v>6</v>
      </c>
      <c r="F45" s="8"/>
      <c r="G45" s="8"/>
      <c r="H45" s="8"/>
      <c r="I45" s="8"/>
      <c r="J45" s="8"/>
      <c r="K45" s="8"/>
      <c r="L45" s="8"/>
      <c r="M45" s="8"/>
      <c r="N45" s="8"/>
      <c r="O45" s="8"/>
      <c r="P45" s="8"/>
      <c r="Q45" s="8"/>
      <c r="R45" s="8"/>
      <c r="S45" s="8"/>
      <c r="T45" s="8"/>
      <c r="U45" s="8"/>
      <c r="V45" s="8"/>
      <c r="W45" s="8"/>
      <c r="X45" s="8"/>
      <c r="Y45" s="8"/>
      <c r="Z45" s="8"/>
      <c r="AA45" s="8"/>
      <c r="AB45" s="8"/>
      <c r="AC45" s="8"/>
      <c r="AM45" t="str">
        <f t="shared" si="0"/>
        <v>YUNITA CAMELA DEWI</v>
      </c>
      <c r="AT45" s="38" t="s">
        <v>1062</v>
      </c>
      <c r="AU45" s="39" t="s">
        <v>1063</v>
      </c>
      <c r="AV45" s="38" t="s">
        <v>6</v>
      </c>
      <c r="AW45" s="39" t="s">
        <v>1064</v>
      </c>
      <c r="AX45" s="40">
        <v>84.09</v>
      </c>
      <c r="AY45" s="40">
        <v>60</v>
      </c>
      <c r="AZ45" s="40">
        <v>74.45</v>
      </c>
      <c r="BA45" s="40" t="s">
        <v>459</v>
      </c>
      <c r="BB45" s="39" t="s">
        <v>1065</v>
      </c>
      <c r="BD45" s="81" t="s">
        <v>2587</v>
      </c>
      <c r="BE45" s="38" t="s">
        <v>1062</v>
      </c>
      <c r="BF45" s="39" t="s">
        <v>1063</v>
      </c>
      <c r="BG45" t="s">
        <v>1982</v>
      </c>
    </row>
    <row r="46" spans="1:59" x14ac:dyDescent="0.25">
      <c r="A46" s="58" t="s">
        <v>8</v>
      </c>
      <c r="B46" s="58"/>
      <c r="C46" s="58"/>
      <c r="D46" s="10" t="s">
        <v>9</v>
      </c>
      <c r="E46" s="8">
        <f>COUNTIFS($E$10:$E$45,"L")</f>
        <v>12</v>
      </c>
      <c r="F46" s="8"/>
      <c r="G46" s="8"/>
      <c r="H46" s="8"/>
      <c r="I46" s="8"/>
      <c r="J46" s="8"/>
      <c r="K46" s="8"/>
      <c r="L46" s="8"/>
      <c r="M46" s="8"/>
      <c r="N46" s="8"/>
      <c r="O46" s="8"/>
      <c r="P46" s="8"/>
      <c r="Q46" s="8"/>
      <c r="R46" s="8"/>
      <c r="S46" s="8"/>
      <c r="T46" s="8"/>
      <c r="U46" s="8"/>
      <c r="V46" s="8"/>
      <c r="W46" s="8"/>
      <c r="X46" s="8"/>
      <c r="Y46" s="8"/>
      <c r="Z46" s="8"/>
      <c r="AA46" s="8"/>
      <c r="AB46" s="8"/>
      <c r="AC46" s="8"/>
    </row>
    <row r="47" spans="1:59" x14ac:dyDescent="0.25">
      <c r="A47" s="58" t="s">
        <v>10</v>
      </c>
      <c r="B47" s="58"/>
      <c r="C47" s="58"/>
      <c r="D47" s="10" t="s">
        <v>11</v>
      </c>
      <c r="E47" s="8">
        <f>COUNTIFS($E$10:$E$45,"P")</f>
        <v>24</v>
      </c>
      <c r="F47" s="8"/>
      <c r="G47" s="8"/>
      <c r="H47" s="8"/>
      <c r="I47" s="8"/>
      <c r="J47" s="8"/>
      <c r="K47" s="8"/>
      <c r="L47" s="8"/>
      <c r="M47" s="8"/>
      <c r="N47" s="8"/>
      <c r="O47" s="8"/>
      <c r="P47" s="8"/>
      <c r="Q47" s="8"/>
      <c r="R47" s="8"/>
      <c r="S47" s="8"/>
      <c r="T47" s="8"/>
      <c r="U47" s="8"/>
      <c r="V47" s="8"/>
      <c r="W47" s="8"/>
      <c r="X47" s="8"/>
      <c r="Y47" s="8"/>
      <c r="Z47" s="8"/>
      <c r="AA47" s="8"/>
      <c r="AB47" s="8"/>
      <c r="AC47" s="8"/>
    </row>
    <row r="48" spans="1:59"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pageMargins left="0.62992125984251968" right="0" top="0.43307086614173229" bottom="0.74803149606299213" header="0.31496062992125984" footer="0.31496062992125984"/>
  <pageSetup paperSize="5" scale="80"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48"/>
  <sheetViews>
    <sheetView topLeftCell="A34" workbookViewId="0">
      <selection activeCell="B10" sqref="B10:B44"/>
    </sheetView>
  </sheetViews>
  <sheetFormatPr defaultColWidth="3.28515625" defaultRowHeight="15" x14ac:dyDescent="0.25"/>
  <cols>
    <col min="1" max="1" width="4.5703125" bestFit="1" customWidth="1"/>
    <col min="2" max="2" width="6.140625" customWidth="1"/>
    <col min="3" max="3" width="11" bestFit="1" customWidth="1"/>
    <col min="4" max="4" width="32.7109375" customWidth="1"/>
    <col min="5" max="5" width="3.7109375" bestFit="1" customWidth="1"/>
    <col min="6" max="29" width="2.7109375" customWidth="1"/>
    <col min="31" max="46" width="0" hidden="1" customWidth="1"/>
    <col min="48" max="48" width="6" bestFit="1" customWidth="1"/>
    <col min="49" max="49" width="11.42578125" customWidth="1"/>
    <col min="50" max="50" width="34.140625" customWidth="1"/>
    <col min="59" max="59" width="8.28515625" customWidth="1"/>
    <col min="60" max="60" width="12.7109375" customWidth="1"/>
    <col min="61" max="61" width="10.7109375" customWidth="1"/>
  </cols>
  <sheetData>
    <row r="1" spans="1:62"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E1" s="18" t="s">
        <v>237</v>
      </c>
      <c r="AF1" t="s">
        <v>183</v>
      </c>
      <c r="AG1">
        <v>20527197</v>
      </c>
      <c r="AH1" t="s">
        <v>184</v>
      </c>
      <c r="AI1" t="s">
        <v>6</v>
      </c>
    </row>
    <row r="2" spans="1:62"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E2" s="15" t="s">
        <v>456</v>
      </c>
      <c r="AF2" t="s">
        <v>325</v>
      </c>
      <c r="AG2">
        <v>20566545</v>
      </c>
      <c r="AH2" t="s">
        <v>326</v>
      </c>
      <c r="AI2" t="s">
        <v>7</v>
      </c>
    </row>
    <row r="3" spans="1:62"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E3" s="15" t="s">
        <v>456</v>
      </c>
      <c r="AF3" t="s">
        <v>288</v>
      </c>
      <c r="AG3">
        <v>20527180</v>
      </c>
      <c r="AH3" t="s">
        <v>289</v>
      </c>
      <c r="AI3" t="s">
        <v>7</v>
      </c>
    </row>
    <row r="4" spans="1:62"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E4" s="13" t="s">
        <v>40</v>
      </c>
      <c r="AF4" t="s">
        <v>36</v>
      </c>
      <c r="AG4">
        <v>20527166</v>
      </c>
      <c r="AH4" t="s">
        <v>37</v>
      </c>
      <c r="AI4" t="s">
        <v>7</v>
      </c>
    </row>
    <row r="5" spans="1:62" x14ac:dyDescent="0.25">
      <c r="A5" s="1"/>
      <c r="B5" s="1"/>
      <c r="C5" s="2"/>
      <c r="P5" s="11"/>
      <c r="AE5" s="14" t="s">
        <v>93</v>
      </c>
      <c r="AF5" t="s">
        <v>61</v>
      </c>
      <c r="AG5">
        <v>20527197</v>
      </c>
      <c r="AH5" t="s">
        <v>62</v>
      </c>
      <c r="AI5" t="s">
        <v>6</v>
      </c>
    </row>
    <row r="6" spans="1:62" ht="3.75" customHeight="1" x14ac:dyDescent="0.25">
      <c r="A6" s="1"/>
      <c r="B6" s="1"/>
      <c r="C6" s="2"/>
      <c r="AE6" s="15" t="s">
        <v>456</v>
      </c>
      <c r="AF6" t="s">
        <v>419</v>
      </c>
      <c r="AG6">
        <v>20566545</v>
      </c>
      <c r="AH6" t="s">
        <v>420</v>
      </c>
      <c r="AI6" t="s">
        <v>6</v>
      </c>
    </row>
    <row r="7" spans="1:62" x14ac:dyDescent="0.25">
      <c r="A7" s="52" t="s">
        <v>0</v>
      </c>
      <c r="B7" s="53" t="s">
        <v>467</v>
      </c>
      <c r="C7" s="53" t="s">
        <v>1</v>
      </c>
      <c r="D7" s="52" t="s">
        <v>2</v>
      </c>
      <c r="E7" s="54" t="s">
        <v>3</v>
      </c>
      <c r="F7" s="55" t="s">
        <v>4</v>
      </c>
      <c r="G7" s="56"/>
      <c r="H7" s="57"/>
      <c r="I7" s="59" t="s">
        <v>1854</v>
      </c>
      <c r="J7" s="60"/>
      <c r="K7" s="60"/>
      <c r="L7" s="60"/>
      <c r="M7" s="60"/>
      <c r="N7" s="60"/>
      <c r="O7" s="60"/>
      <c r="P7" s="60"/>
      <c r="Q7" s="60"/>
      <c r="R7" s="60"/>
      <c r="S7" s="61"/>
      <c r="T7" s="58" t="s">
        <v>5</v>
      </c>
      <c r="U7" s="58"/>
      <c r="V7" s="67" t="s">
        <v>1858</v>
      </c>
      <c r="W7" s="68"/>
      <c r="X7" s="68"/>
      <c r="Y7" s="68"/>
      <c r="Z7" s="68"/>
      <c r="AA7" s="68"/>
      <c r="AB7" s="68"/>
      <c r="AC7" s="68"/>
      <c r="AE7" s="15" t="s">
        <v>456</v>
      </c>
      <c r="AF7" t="s">
        <v>339</v>
      </c>
      <c r="AG7">
        <v>20527180</v>
      </c>
      <c r="AH7" t="s">
        <v>340</v>
      </c>
      <c r="AI7" t="s">
        <v>6</v>
      </c>
    </row>
    <row r="8" spans="1:62"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E8" s="18" t="s">
        <v>237</v>
      </c>
      <c r="AF8" t="s">
        <v>137</v>
      </c>
      <c r="AG8">
        <v>20527185</v>
      </c>
      <c r="AH8" t="s">
        <v>138</v>
      </c>
      <c r="AI8" t="s">
        <v>7</v>
      </c>
    </row>
    <row r="9" spans="1:62"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E9" s="18" t="s">
        <v>237</v>
      </c>
      <c r="AF9" t="s">
        <v>225</v>
      </c>
      <c r="AG9">
        <v>20527197</v>
      </c>
      <c r="AH9" t="s">
        <v>226</v>
      </c>
      <c r="AI9" t="s">
        <v>6</v>
      </c>
    </row>
    <row r="10" spans="1:62" ht="20.100000000000001" customHeight="1" x14ac:dyDescent="0.25">
      <c r="A10" s="4">
        <v>1</v>
      </c>
      <c r="B10" s="4" t="s">
        <v>2239</v>
      </c>
      <c r="C10" s="38" t="s">
        <v>1066</v>
      </c>
      <c r="D10" s="39" t="s">
        <v>1067</v>
      </c>
      <c r="E10" s="7" t="s">
        <v>7</v>
      </c>
      <c r="F10" s="8"/>
      <c r="G10" s="8"/>
      <c r="H10" s="8"/>
      <c r="I10" s="8"/>
      <c r="J10" s="8"/>
      <c r="K10" s="8"/>
      <c r="L10" s="8"/>
      <c r="M10" s="8"/>
      <c r="N10" s="8"/>
      <c r="O10" s="8"/>
      <c r="P10" s="8"/>
      <c r="Q10" s="8"/>
      <c r="R10" s="8"/>
      <c r="S10" s="8"/>
      <c r="T10" s="8"/>
      <c r="U10" s="8"/>
      <c r="V10" s="8"/>
      <c r="W10" s="8"/>
      <c r="X10" s="8"/>
      <c r="Y10" s="8"/>
      <c r="Z10" s="8"/>
      <c r="AA10" s="8"/>
      <c r="AB10" s="8"/>
      <c r="AC10" s="8"/>
      <c r="AE10" s="14" t="s">
        <v>93</v>
      </c>
      <c r="AF10" t="s">
        <v>69</v>
      </c>
      <c r="AG10">
        <v>20527180</v>
      </c>
      <c r="AH10" t="s">
        <v>70</v>
      </c>
      <c r="AI10" t="s">
        <v>7</v>
      </c>
      <c r="AM10" t="str">
        <f>UPPER('X-7'!D10)</f>
        <v>AIDA DESTIYANA PUTRI</v>
      </c>
      <c r="AV10" s="38" t="s">
        <v>1066</v>
      </c>
      <c r="AW10" s="39" t="s">
        <v>1067</v>
      </c>
      <c r="AX10" s="38" t="s">
        <v>7</v>
      </c>
      <c r="AY10" s="39" t="s">
        <v>619</v>
      </c>
      <c r="AZ10" s="40">
        <v>81.260000000000005</v>
      </c>
      <c r="BA10" s="40">
        <v>45</v>
      </c>
      <c r="BB10" s="40">
        <v>66.760000000000005</v>
      </c>
      <c r="BC10" s="40" t="s">
        <v>460</v>
      </c>
      <c r="BD10" s="39" t="s">
        <v>525</v>
      </c>
      <c r="BG10" s="81" t="s">
        <v>2239</v>
      </c>
      <c r="BH10" s="38" t="s">
        <v>1066</v>
      </c>
      <c r="BI10" s="39" t="s">
        <v>1067</v>
      </c>
      <c r="BJ10" t="s">
        <v>1985</v>
      </c>
    </row>
    <row r="11" spans="1:62" ht="20.100000000000001" customHeight="1" x14ac:dyDescent="0.25">
      <c r="A11" s="4">
        <v>2</v>
      </c>
      <c r="B11" s="4" t="s">
        <v>2272</v>
      </c>
      <c r="C11" s="38" t="s">
        <v>1068</v>
      </c>
      <c r="D11" s="39" t="s">
        <v>1069</v>
      </c>
      <c r="E11" s="7" t="s">
        <v>6</v>
      </c>
      <c r="F11" s="8"/>
      <c r="G11" s="8"/>
      <c r="H11" s="8"/>
      <c r="I11" s="8"/>
      <c r="J11" s="8"/>
      <c r="K11" s="8"/>
      <c r="L11" s="8"/>
      <c r="M11" s="8"/>
      <c r="N11" s="8"/>
      <c r="O11" s="8"/>
      <c r="P11" s="8"/>
      <c r="Q11" s="8"/>
      <c r="R11" s="8"/>
      <c r="S11" s="8"/>
      <c r="T11" s="8"/>
      <c r="U11" s="8"/>
      <c r="V11" s="8"/>
      <c r="W11" s="8"/>
      <c r="X11" s="8"/>
      <c r="Y11" s="8"/>
      <c r="Z11" s="8"/>
      <c r="AA11" s="8"/>
      <c r="AB11" s="8"/>
      <c r="AC11" s="8"/>
      <c r="AE11" s="15" t="s">
        <v>456</v>
      </c>
      <c r="AF11" t="s">
        <v>284</v>
      </c>
      <c r="AG11">
        <v>20527197</v>
      </c>
      <c r="AH11" t="s">
        <v>285</v>
      </c>
      <c r="AI11" t="s">
        <v>6</v>
      </c>
      <c r="AM11" t="str">
        <f>UPPER('X-10'!D14)</f>
        <v>ANDINI UTAMI ARYPUTRI</v>
      </c>
      <c r="AV11" s="38" t="s">
        <v>1068</v>
      </c>
      <c r="AW11" s="39" t="s">
        <v>1069</v>
      </c>
      <c r="AX11" s="38" t="s">
        <v>6</v>
      </c>
      <c r="AY11" s="39" t="s">
        <v>1070</v>
      </c>
      <c r="AZ11" s="40">
        <v>91.86</v>
      </c>
      <c r="BA11" s="40">
        <v>63.34</v>
      </c>
      <c r="BB11" s="40">
        <v>80.45</v>
      </c>
      <c r="BC11" s="40" t="s">
        <v>460</v>
      </c>
      <c r="BD11" s="39" t="s">
        <v>1071</v>
      </c>
      <c r="BG11" s="81" t="s">
        <v>2272</v>
      </c>
      <c r="BH11" s="38" t="s">
        <v>1068</v>
      </c>
      <c r="BI11" s="39" t="s">
        <v>1069</v>
      </c>
      <c r="BJ11" t="s">
        <v>1992</v>
      </c>
    </row>
    <row r="12" spans="1:62" ht="20.100000000000001" customHeight="1" x14ac:dyDescent="0.25">
      <c r="A12" s="4">
        <v>3</v>
      </c>
      <c r="B12" s="4" t="s">
        <v>2277</v>
      </c>
      <c r="C12" s="38" t="s">
        <v>1072</v>
      </c>
      <c r="D12" s="39" t="s">
        <v>1073</v>
      </c>
      <c r="E12" s="7" t="s">
        <v>6</v>
      </c>
      <c r="F12" s="8"/>
      <c r="G12" s="8"/>
      <c r="H12" s="8"/>
      <c r="I12" s="8"/>
      <c r="J12" s="8"/>
      <c r="K12" s="8"/>
      <c r="L12" s="8"/>
      <c r="M12" s="8"/>
      <c r="N12" s="8"/>
      <c r="O12" s="8"/>
      <c r="P12" s="8"/>
      <c r="Q12" s="8"/>
      <c r="R12" s="8"/>
      <c r="S12" s="8"/>
      <c r="T12" s="8"/>
      <c r="U12" s="8"/>
      <c r="V12" s="8"/>
      <c r="W12" s="8"/>
      <c r="X12" s="8"/>
      <c r="Y12" s="8"/>
      <c r="Z12" s="8"/>
      <c r="AA12" s="8"/>
      <c r="AB12" s="8"/>
      <c r="AC12" s="8"/>
      <c r="AE12" s="15" t="s">
        <v>456</v>
      </c>
      <c r="AF12" t="s">
        <v>375</v>
      </c>
      <c r="AG12">
        <v>20527197</v>
      </c>
      <c r="AH12" t="s">
        <v>376</v>
      </c>
      <c r="AI12" t="s">
        <v>7</v>
      </c>
      <c r="AM12" t="str">
        <f>UPPER('X-7'!D12)</f>
        <v>ALMIRA BASHITA KURNIAWAN</v>
      </c>
      <c r="AV12" s="38" t="s">
        <v>1072</v>
      </c>
      <c r="AW12" s="39" t="s">
        <v>1073</v>
      </c>
      <c r="AX12" s="38" t="s">
        <v>6</v>
      </c>
      <c r="AY12" s="39" t="s">
        <v>1074</v>
      </c>
      <c r="AZ12" s="40" t="s">
        <v>1075</v>
      </c>
      <c r="BA12" s="40" t="s">
        <v>512</v>
      </c>
      <c r="BB12" s="40" t="s">
        <v>1076</v>
      </c>
      <c r="BC12" s="40" t="s">
        <v>460</v>
      </c>
      <c r="BD12" s="39" t="s">
        <v>475</v>
      </c>
      <c r="BG12" s="81" t="s">
        <v>2277</v>
      </c>
      <c r="BH12" s="38" t="s">
        <v>1072</v>
      </c>
      <c r="BI12" s="39" t="s">
        <v>1073</v>
      </c>
      <c r="BJ12" t="s">
        <v>1993</v>
      </c>
    </row>
    <row r="13" spans="1:62" ht="20.100000000000001" customHeight="1" x14ac:dyDescent="0.25">
      <c r="A13" s="4">
        <v>4</v>
      </c>
      <c r="B13" s="4" t="s">
        <v>2288</v>
      </c>
      <c r="C13" s="38" t="s">
        <v>1077</v>
      </c>
      <c r="D13" s="39" t="s">
        <v>1078</v>
      </c>
      <c r="E13" s="7" t="s">
        <v>6</v>
      </c>
      <c r="F13" s="8"/>
      <c r="G13" s="8"/>
      <c r="H13" s="8"/>
      <c r="I13" s="8"/>
      <c r="J13" s="8"/>
      <c r="K13" s="8"/>
      <c r="L13" s="8"/>
      <c r="M13" s="8"/>
      <c r="N13" s="8"/>
      <c r="O13" s="8"/>
      <c r="P13" s="8"/>
      <c r="Q13" s="8"/>
      <c r="R13" s="8"/>
      <c r="S13" s="8"/>
      <c r="T13" s="8"/>
      <c r="U13" s="8"/>
      <c r="V13" s="8"/>
      <c r="W13" s="8"/>
      <c r="X13" s="8"/>
      <c r="Y13" s="8"/>
      <c r="Z13" s="8"/>
      <c r="AA13" s="8"/>
      <c r="AB13" s="8"/>
      <c r="AC13" s="8"/>
      <c r="AE13" s="15" t="s">
        <v>456</v>
      </c>
      <c r="AF13">
        <v>3089324280</v>
      </c>
      <c r="AG13">
        <v>20566545</v>
      </c>
      <c r="AH13" t="s">
        <v>445</v>
      </c>
      <c r="AI13" t="s">
        <v>6</v>
      </c>
      <c r="AM13" t="str">
        <f>UPPER('X-7'!D13)</f>
        <v>BAGAS DWI BUSRI YAQIN</v>
      </c>
      <c r="AV13" s="38" t="s">
        <v>1077</v>
      </c>
      <c r="AW13" s="39" t="s">
        <v>1078</v>
      </c>
      <c r="AX13" s="38" t="s">
        <v>6</v>
      </c>
      <c r="AY13" s="39" t="s">
        <v>494</v>
      </c>
      <c r="AZ13" s="40" t="s">
        <v>1079</v>
      </c>
      <c r="BA13" s="40" t="s">
        <v>517</v>
      </c>
      <c r="BB13" s="40" t="s">
        <v>1080</v>
      </c>
      <c r="BC13" s="40" t="s">
        <v>460</v>
      </c>
      <c r="BD13" s="39" t="s">
        <v>475</v>
      </c>
      <c r="BG13" s="81" t="s">
        <v>2288</v>
      </c>
      <c r="BH13" s="38" t="s">
        <v>1077</v>
      </c>
      <c r="BI13" s="39" t="s">
        <v>1078</v>
      </c>
      <c r="BJ13" t="s">
        <v>1994</v>
      </c>
    </row>
    <row r="14" spans="1:62" ht="20.100000000000001" customHeight="1" x14ac:dyDescent="0.25">
      <c r="A14" s="4">
        <v>5</v>
      </c>
      <c r="B14" s="4" t="s">
        <v>2301</v>
      </c>
      <c r="C14" s="47" t="s">
        <v>1081</v>
      </c>
      <c r="D14" s="39" t="s">
        <v>1082</v>
      </c>
      <c r="E14" s="7" t="s">
        <v>7</v>
      </c>
      <c r="F14" s="8"/>
      <c r="G14" s="8"/>
      <c r="H14" s="8"/>
      <c r="I14" s="8"/>
      <c r="J14" s="8"/>
      <c r="K14" s="8"/>
      <c r="L14" s="8"/>
      <c r="M14" s="8"/>
      <c r="N14" s="8"/>
      <c r="O14" s="8"/>
      <c r="P14" s="8"/>
      <c r="Q14" s="8"/>
      <c r="R14" s="8"/>
      <c r="S14" s="8"/>
      <c r="T14" s="8"/>
      <c r="U14" s="8"/>
      <c r="V14" s="8"/>
      <c r="W14" s="8"/>
      <c r="X14" s="8"/>
      <c r="Y14" s="8"/>
      <c r="Z14" s="8"/>
      <c r="AA14" s="8"/>
      <c r="AB14" s="8"/>
      <c r="AC14" s="8"/>
      <c r="AE14" s="15" t="s">
        <v>456</v>
      </c>
      <c r="AF14" t="s">
        <v>260</v>
      </c>
      <c r="AG14">
        <v>20527197</v>
      </c>
      <c r="AH14" t="s">
        <v>261</v>
      </c>
      <c r="AI14" t="s">
        <v>6</v>
      </c>
      <c r="AM14" t="str">
        <f>UPPER('X-7'!D14)</f>
        <v>CARISA DAFITRI EFFENDI</v>
      </c>
      <c r="AV14" s="47" t="s">
        <v>1081</v>
      </c>
      <c r="AW14" s="39" t="s">
        <v>1082</v>
      </c>
      <c r="AX14" s="38" t="s">
        <v>7</v>
      </c>
      <c r="AY14" s="39" t="s">
        <v>887</v>
      </c>
      <c r="AZ14" s="40" t="s">
        <v>1083</v>
      </c>
      <c r="BA14" s="40" t="s">
        <v>599</v>
      </c>
      <c r="BB14" s="40" t="s">
        <v>1084</v>
      </c>
      <c r="BC14" s="40" t="s">
        <v>460</v>
      </c>
      <c r="BD14" s="39" t="s">
        <v>475</v>
      </c>
      <c r="BG14" s="81" t="s">
        <v>2301</v>
      </c>
      <c r="BH14" s="80" t="s">
        <v>1081</v>
      </c>
      <c r="BI14" s="39" t="s">
        <v>1082</v>
      </c>
      <c r="BJ14" t="s">
        <v>1995</v>
      </c>
    </row>
    <row r="15" spans="1:62" ht="20.100000000000001" customHeight="1" x14ac:dyDescent="0.25">
      <c r="A15" s="4">
        <v>6</v>
      </c>
      <c r="B15" s="4" t="s">
        <v>2314</v>
      </c>
      <c r="C15" s="38" t="s">
        <v>1085</v>
      </c>
      <c r="D15" s="39" t="s">
        <v>1086</v>
      </c>
      <c r="E15" s="7" t="s">
        <v>6</v>
      </c>
      <c r="F15" s="8"/>
      <c r="G15" s="8"/>
      <c r="H15" s="8"/>
      <c r="I15" s="8"/>
      <c r="J15" s="8"/>
      <c r="K15" s="8"/>
      <c r="L15" s="8"/>
      <c r="M15" s="8"/>
      <c r="N15" s="8"/>
      <c r="O15" s="8"/>
      <c r="P15" s="8"/>
      <c r="Q15" s="8"/>
      <c r="R15" s="8"/>
      <c r="S15" s="8"/>
      <c r="T15" s="8"/>
      <c r="U15" s="8"/>
      <c r="V15" s="8"/>
      <c r="W15" s="8"/>
      <c r="X15" s="8"/>
      <c r="Y15" s="8"/>
      <c r="Z15" s="8"/>
      <c r="AA15" s="8"/>
      <c r="AB15" s="8"/>
      <c r="AC15" s="8"/>
      <c r="AE15" s="18" t="s">
        <v>237</v>
      </c>
      <c r="AF15" t="s">
        <v>143</v>
      </c>
      <c r="AG15">
        <v>20583367</v>
      </c>
      <c r="AH15" t="s">
        <v>144</v>
      </c>
      <c r="AI15" t="s">
        <v>6</v>
      </c>
      <c r="AM15" t="str">
        <f>UPPER('X-7'!D15)</f>
        <v>DAANISH RAFFI ALFARISI</v>
      </c>
      <c r="AV15" s="38" t="s">
        <v>1085</v>
      </c>
      <c r="AW15" s="39" t="s">
        <v>1086</v>
      </c>
      <c r="AX15" s="38" t="s">
        <v>6</v>
      </c>
      <c r="AY15" s="39" t="s">
        <v>603</v>
      </c>
      <c r="AZ15" s="40">
        <v>87.49</v>
      </c>
      <c r="BA15" s="40">
        <v>75</v>
      </c>
      <c r="BB15" s="40">
        <v>82.49</v>
      </c>
      <c r="BC15" s="40" t="s">
        <v>460</v>
      </c>
      <c r="BD15" s="39" t="s">
        <v>648</v>
      </c>
      <c r="BG15" s="81" t="s">
        <v>2314</v>
      </c>
      <c r="BH15" s="38" t="s">
        <v>1085</v>
      </c>
      <c r="BI15" s="39" t="s">
        <v>1086</v>
      </c>
      <c r="BJ15" t="s">
        <v>1996</v>
      </c>
    </row>
    <row r="16" spans="1:62" ht="20.100000000000001" customHeight="1" x14ac:dyDescent="0.25">
      <c r="A16" s="4">
        <v>7</v>
      </c>
      <c r="B16" s="4" t="s">
        <v>2321</v>
      </c>
      <c r="C16" s="38" t="s">
        <v>1087</v>
      </c>
      <c r="D16" s="39" t="s">
        <v>1088</v>
      </c>
      <c r="E16" s="7" t="s">
        <v>7</v>
      </c>
      <c r="F16" s="8"/>
      <c r="G16" s="8"/>
      <c r="H16" s="8"/>
      <c r="I16" s="8"/>
      <c r="J16" s="8"/>
      <c r="K16" s="8"/>
      <c r="L16" s="8"/>
      <c r="M16" s="8"/>
      <c r="N16" s="8"/>
      <c r="O16" s="8"/>
      <c r="P16" s="8"/>
      <c r="Q16" s="8"/>
      <c r="R16" s="8"/>
      <c r="S16" s="8"/>
      <c r="T16" s="8"/>
      <c r="U16" s="8"/>
      <c r="V16" s="8"/>
      <c r="W16" s="8"/>
      <c r="X16" s="8"/>
      <c r="Y16" s="8"/>
      <c r="Z16" s="8"/>
      <c r="AA16" s="8"/>
      <c r="AB16" s="8"/>
      <c r="AC16" s="8"/>
      <c r="AE16" s="18" t="s">
        <v>237</v>
      </c>
      <c r="AF16" t="s">
        <v>165</v>
      </c>
      <c r="AG16">
        <v>20583367</v>
      </c>
      <c r="AH16" t="s">
        <v>166</v>
      </c>
      <c r="AI16" t="s">
        <v>7</v>
      </c>
      <c r="AM16" t="str">
        <f>UPPER('X-10'!D38)</f>
        <v>PUTERA IRJAYANI RAHMAN</v>
      </c>
      <c r="AV16" s="38" t="s">
        <v>1087</v>
      </c>
      <c r="AW16" s="39" t="s">
        <v>1088</v>
      </c>
      <c r="AX16" s="38" t="s">
        <v>7</v>
      </c>
      <c r="AY16" s="39" t="s">
        <v>507</v>
      </c>
      <c r="AZ16" s="40" t="s">
        <v>1089</v>
      </c>
      <c r="BA16" s="40" t="s">
        <v>769</v>
      </c>
      <c r="BB16" s="40" t="s">
        <v>1090</v>
      </c>
      <c r="BC16" s="40" t="s">
        <v>460</v>
      </c>
      <c r="BD16" s="39" t="s">
        <v>475</v>
      </c>
      <c r="BG16" s="81" t="s">
        <v>2321</v>
      </c>
      <c r="BH16" s="38" t="s">
        <v>1087</v>
      </c>
      <c r="BI16" s="39" t="s">
        <v>1088</v>
      </c>
      <c r="BJ16" t="s">
        <v>1997</v>
      </c>
    </row>
    <row r="17" spans="1:62" ht="20.100000000000001" customHeight="1" x14ac:dyDescent="0.25">
      <c r="A17" s="4">
        <v>8</v>
      </c>
      <c r="B17" s="4" t="s">
        <v>2326</v>
      </c>
      <c r="C17" s="38" t="s">
        <v>1091</v>
      </c>
      <c r="D17" s="39" t="s">
        <v>1092</v>
      </c>
      <c r="E17" s="7" t="s">
        <v>7</v>
      </c>
      <c r="F17" s="8"/>
      <c r="G17" s="8"/>
      <c r="H17" s="8"/>
      <c r="I17" s="8"/>
      <c r="J17" s="8"/>
      <c r="K17" s="8"/>
      <c r="L17" s="8"/>
      <c r="M17" s="8"/>
      <c r="N17" s="8"/>
      <c r="O17" s="8"/>
      <c r="P17" s="8"/>
      <c r="Q17" s="8"/>
      <c r="R17" s="8"/>
      <c r="S17" s="8"/>
      <c r="T17" s="8"/>
      <c r="U17" s="8"/>
      <c r="V17" s="8"/>
      <c r="W17" s="8"/>
      <c r="X17" s="8"/>
      <c r="Y17" s="8"/>
      <c r="Z17" s="8"/>
      <c r="AA17" s="8"/>
      <c r="AB17" s="8"/>
      <c r="AC17" s="8"/>
      <c r="AE17" s="18" t="s">
        <v>237</v>
      </c>
      <c r="AF17" t="s">
        <v>191</v>
      </c>
      <c r="AG17">
        <v>20527197</v>
      </c>
      <c r="AH17" t="s">
        <v>192</v>
      </c>
      <c r="AI17" t="s">
        <v>7</v>
      </c>
      <c r="AM17" t="str">
        <f>UPPER('X-7'!D17)</f>
        <v>DELISHA SABRINA PUTRI SURYA</v>
      </c>
      <c r="AV17" s="38" t="s">
        <v>1091</v>
      </c>
      <c r="AW17" s="39" t="s">
        <v>1092</v>
      </c>
      <c r="AX17" s="38" t="s">
        <v>7</v>
      </c>
      <c r="AY17" s="39" t="s">
        <v>1049</v>
      </c>
      <c r="AZ17" s="40" t="s">
        <v>1093</v>
      </c>
      <c r="BA17" s="40" t="s">
        <v>561</v>
      </c>
      <c r="BB17" s="40" t="s">
        <v>1041</v>
      </c>
      <c r="BC17" s="40" t="s">
        <v>460</v>
      </c>
      <c r="BD17" s="39" t="s">
        <v>648</v>
      </c>
      <c r="BG17" s="81" t="s">
        <v>2326</v>
      </c>
      <c r="BH17" s="38" t="s">
        <v>1091</v>
      </c>
      <c r="BI17" s="39" t="s">
        <v>1092</v>
      </c>
      <c r="BJ17" t="s">
        <v>1998</v>
      </c>
    </row>
    <row r="18" spans="1:62" ht="20.100000000000001" customHeight="1" x14ac:dyDescent="0.25">
      <c r="A18" s="4">
        <v>9</v>
      </c>
      <c r="B18" s="4" t="s">
        <v>2329</v>
      </c>
      <c r="C18" s="38" t="s">
        <v>1094</v>
      </c>
      <c r="D18" s="39" t="s">
        <v>1095</v>
      </c>
      <c r="E18" s="7" t="s">
        <v>6</v>
      </c>
      <c r="F18" s="8"/>
      <c r="G18" s="8"/>
      <c r="H18" s="8"/>
      <c r="I18" s="8"/>
      <c r="J18" s="8"/>
      <c r="K18" s="8"/>
      <c r="L18" s="8"/>
      <c r="M18" s="8"/>
      <c r="N18" s="8"/>
      <c r="O18" s="8"/>
      <c r="P18" s="8"/>
      <c r="Q18" s="8"/>
      <c r="R18" s="8"/>
      <c r="S18" s="8"/>
      <c r="T18" s="8"/>
      <c r="U18" s="8"/>
      <c r="V18" s="8"/>
      <c r="W18" s="8"/>
      <c r="X18" s="8"/>
      <c r="Y18" s="8"/>
      <c r="Z18" s="8"/>
      <c r="AA18" s="8"/>
      <c r="AB18" s="8"/>
      <c r="AC18" s="8"/>
      <c r="AE18" s="15" t="s">
        <v>456</v>
      </c>
      <c r="AF18" t="s">
        <v>387</v>
      </c>
      <c r="AG18">
        <v>20579418</v>
      </c>
      <c r="AH18" t="s">
        <v>388</v>
      </c>
      <c r="AI18" t="s">
        <v>7</v>
      </c>
      <c r="AM18" t="str">
        <f>UPPER('X-7'!D18)</f>
        <v>FAIHA NADA ZALFA</v>
      </c>
      <c r="AV18" s="38" t="s">
        <v>1094</v>
      </c>
      <c r="AW18" s="39" t="s">
        <v>1095</v>
      </c>
      <c r="AX18" s="38" t="s">
        <v>6</v>
      </c>
      <c r="AY18" s="39" t="s">
        <v>1096</v>
      </c>
      <c r="AZ18" s="40" t="s">
        <v>1097</v>
      </c>
      <c r="BA18" s="40" t="s">
        <v>480</v>
      </c>
      <c r="BB18" s="40" t="s">
        <v>1098</v>
      </c>
      <c r="BC18" s="40" t="s">
        <v>460</v>
      </c>
      <c r="BD18" s="39" t="s">
        <v>475</v>
      </c>
      <c r="BG18" s="81" t="s">
        <v>2329</v>
      </c>
      <c r="BH18" s="38" t="s">
        <v>1094</v>
      </c>
      <c r="BI18" s="39" t="s">
        <v>1095</v>
      </c>
      <c r="BJ18" t="s">
        <v>1999</v>
      </c>
    </row>
    <row r="19" spans="1:62" ht="20.100000000000001" customHeight="1" x14ac:dyDescent="0.25">
      <c r="A19" s="4">
        <v>10</v>
      </c>
      <c r="B19" s="4" t="s">
        <v>2339</v>
      </c>
      <c r="C19" s="38" t="s">
        <v>1099</v>
      </c>
      <c r="D19" s="39" t="s">
        <v>1100</v>
      </c>
      <c r="E19" s="7" t="s">
        <v>6</v>
      </c>
      <c r="F19" s="8"/>
      <c r="G19" s="8"/>
      <c r="H19" s="8"/>
      <c r="I19" s="8"/>
      <c r="J19" s="8"/>
      <c r="K19" s="8"/>
      <c r="L19" s="8"/>
      <c r="M19" s="8"/>
      <c r="N19" s="8"/>
      <c r="O19" s="8"/>
      <c r="P19" s="8"/>
      <c r="Q19" s="8"/>
      <c r="R19" s="8"/>
      <c r="S19" s="8"/>
      <c r="T19" s="8"/>
      <c r="U19" s="8"/>
      <c r="V19" s="8"/>
      <c r="W19" s="8"/>
      <c r="X19" s="8"/>
      <c r="Y19" s="8"/>
      <c r="Z19" s="8"/>
      <c r="AA19" s="8"/>
      <c r="AB19" s="8"/>
      <c r="AC19" s="8"/>
      <c r="AE19" s="15" t="s">
        <v>456</v>
      </c>
      <c r="AF19" t="s">
        <v>301</v>
      </c>
      <c r="AG19">
        <v>20527197</v>
      </c>
      <c r="AH19" t="s">
        <v>302</v>
      </c>
      <c r="AI19" t="s">
        <v>7</v>
      </c>
      <c r="AM19" t="str">
        <f>UPPER('X-7'!D19)</f>
        <v>FITRIA ASIFATUS ZAHRO</v>
      </c>
      <c r="AV19" s="38" t="s">
        <v>1099</v>
      </c>
      <c r="AW19" s="39" t="s">
        <v>1100</v>
      </c>
      <c r="AX19" s="38" t="s">
        <v>6</v>
      </c>
      <c r="AY19" s="39" t="s">
        <v>825</v>
      </c>
      <c r="AZ19" s="40">
        <v>91.2</v>
      </c>
      <c r="BA19" s="40">
        <v>76.67</v>
      </c>
      <c r="BB19" s="40">
        <v>85.39</v>
      </c>
      <c r="BC19" s="40" t="s">
        <v>460</v>
      </c>
      <c r="BD19" s="39" t="s">
        <v>1101</v>
      </c>
      <c r="BG19" s="81" t="s">
        <v>2339</v>
      </c>
      <c r="BH19" s="38" t="s">
        <v>1099</v>
      </c>
      <c r="BI19" s="39" t="s">
        <v>1100</v>
      </c>
      <c r="BJ19" t="s">
        <v>2000</v>
      </c>
    </row>
    <row r="20" spans="1:62" ht="20.100000000000001" customHeight="1" x14ac:dyDescent="0.25">
      <c r="A20" s="4">
        <v>11</v>
      </c>
      <c r="B20" s="4" t="s">
        <v>2341</v>
      </c>
      <c r="C20" s="38" t="s">
        <v>1102</v>
      </c>
      <c r="D20" s="39" t="s">
        <v>1103</v>
      </c>
      <c r="E20" s="7" t="s">
        <v>6</v>
      </c>
      <c r="F20" s="8"/>
      <c r="G20" s="8"/>
      <c r="H20" s="8"/>
      <c r="I20" s="8"/>
      <c r="J20" s="8"/>
      <c r="K20" s="8"/>
      <c r="L20" s="8"/>
      <c r="M20" s="8"/>
      <c r="N20" s="8"/>
      <c r="O20" s="8"/>
      <c r="P20" s="8"/>
      <c r="Q20" s="8"/>
      <c r="R20" s="8"/>
      <c r="S20" s="8"/>
      <c r="T20" s="8"/>
      <c r="U20" s="8"/>
      <c r="V20" s="8"/>
      <c r="W20" s="8"/>
      <c r="X20" s="8"/>
      <c r="Y20" s="8"/>
      <c r="Z20" s="8"/>
      <c r="AA20" s="8"/>
      <c r="AB20" s="8"/>
      <c r="AC20" s="8"/>
      <c r="AE20" s="17" t="s">
        <v>128</v>
      </c>
      <c r="AF20" t="s">
        <v>101</v>
      </c>
      <c r="AG20">
        <v>20527195</v>
      </c>
      <c r="AH20" t="s">
        <v>102</v>
      </c>
      <c r="AI20" t="s">
        <v>7</v>
      </c>
      <c r="AM20" t="str">
        <f>UPPER('X-7'!D20)</f>
        <v>FITRIYAH</v>
      </c>
      <c r="AV20" s="38" t="s">
        <v>1102</v>
      </c>
      <c r="AW20" s="39" t="s">
        <v>1103</v>
      </c>
      <c r="AX20" s="38" t="s">
        <v>6</v>
      </c>
      <c r="AY20" s="39" t="s">
        <v>953</v>
      </c>
      <c r="AZ20" s="40" t="s">
        <v>575</v>
      </c>
      <c r="BA20" s="40" t="s">
        <v>480</v>
      </c>
      <c r="BB20" s="40" t="s">
        <v>1104</v>
      </c>
      <c r="BC20" s="40" t="s">
        <v>460</v>
      </c>
      <c r="BD20" s="39" t="s">
        <v>475</v>
      </c>
      <c r="BG20" s="81" t="s">
        <v>2341</v>
      </c>
      <c r="BH20" s="38" t="s">
        <v>1102</v>
      </c>
      <c r="BI20" s="39" t="s">
        <v>1103</v>
      </c>
      <c r="BJ20" t="s">
        <v>2001</v>
      </c>
    </row>
    <row r="21" spans="1:62" ht="20.100000000000001" customHeight="1" x14ac:dyDescent="0.25">
      <c r="A21" s="4">
        <v>12</v>
      </c>
      <c r="B21" s="4" t="s">
        <v>2356</v>
      </c>
      <c r="C21" s="38" t="s">
        <v>1105</v>
      </c>
      <c r="D21" s="39" t="s">
        <v>1106</v>
      </c>
      <c r="E21" s="7" t="s">
        <v>6</v>
      </c>
      <c r="F21" s="8"/>
      <c r="G21" s="8"/>
      <c r="H21" s="8"/>
      <c r="I21" s="8"/>
      <c r="J21" s="8"/>
      <c r="K21" s="8"/>
      <c r="L21" s="8"/>
      <c r="M21" s="8"/>
      <c r="N21" s="8"/>
      <c r="O21" s="8"/>
      <c r="P21" s="8"/>
      <c r="Q21" s="8"/>
      <c r="R21" s="8"/>
      <c r="S21" s="8"/>
      <c r="T21" s="8"/>
      <c r="U21" s="8"/>
      <c r="V21" s="8"/>
      <c r="W21" s="8"/>
      <c r="X21" s="8"/>
      <c r="Y21" s="8"/>
      <c r="Z21" s="8"/>
      <c r="AA21" s="8"/>
      <c r="AB21" s="8"/>
      <c r="AC21" s="8"/>
      <c r="AE21" s="15" t="s">
        <v>456</v>
      </c>
      <c r="AF21" t="s">
        <v>240</v>
      </c>
      <c r="AG21">
        <v>20527180</v>
      </c>
      <c r="AH21" t="s">
        <v>241</v>
      </c>
      <c r="AI21" t="s">
        <v>7</v>
      </c>
      <c r="AM21" t="str">
        <f>UPPER('X-7'!D21)</f>
        <v>GIBRAN ABDILLAH DHOVAIRY</v>
      </c>
      <c r="AV21" s="38" t="s">
        <v>1105</v>
      </c>
      <c r="AW21" s="39" t="s">
        <v>1106</v>
      </c>
      <c r="AX21" s="38" t="s">
        <v>6</v>
      </c>
      <c r="AY21" s="39" t="s">
        <v>1070</v>
      </c>
      <c r="AZ21" s="40">
        <v>91.03</v>
      </c>
      <c r="BA21" s="40">
        <v>71.67</v>
      </c>
      <c r="BB21" s="40">
        <v>83.29</v>
      </c>
      <c r="BC21" s="40" t="s">
        <v>460</v>
      </c>
      <c r="BD21" s="39" t="s">
        <v>475</v>
      </c>
      <c r="BG21" s="81" t="s">
        <v>2356</v>
      </c>
      <c r="BH21" s="38" t="s">
        <v>1105</v>
      </c>
      <c r="BI21" s="39" t="s">
        <v>1106</v>
      </c>
      <c r="BJ21" t="s">
        <v>2002</v>
      </c>
    </row>
    <row r="22" spans="1:62" ht="20.100000000000001" customHeight="1" x14ac:dyDescent="0.25">
      <c r="A22" s="4">
        <v>13</v>
      </c>
      <c r="B22" s="4" t="s">
        <v>2358</v>
      </c>
      <c r="C22" s="38" t="s">
        <v>1107</v>
      </c>
      <c r="D22" s="39" t="s">
        <v>1108</v>
      </c>
      <c r="E22" s="7" t="s">
        <v>6</v>
      </c>
      <c r="F22" s="8"/>
      <c r="G22" s="8"/>
      <c r="H22" s="8"/>
      <c r="I22" s="8"/>
      <c r="J22" s="8"/>
      <c r="K22" s="8"/>
      <c r="L22" s="8"/>
      <c r="M22" s="8"/>
      <c r="N22" s="8"/>
      <c r="O22" s="8"/>
      <c r="P22" s="8"/>
      <c r="Q22" s="8"/>
      <c r="R22" s="8"/>
      <c r="S22" s="8"/>
      <c r="T22" s="8"/>
      <c r="U22" s="8"/>
      <c r="V22" s="8"/>
      <c r="W22" s="8"/>
      <c r="X22" s="8"/>
      <c r="Y22" s="8"/>
      <c r="Z22" s="8"/>
      <c r="AA22" s="8"/>
      <c r="AB22" s="8"/>
      <c r="AC22" s="8"/>
      <c r="AE22" s="18" t="s">
        <v>237</v>
      </c>
      <c r="AF22" t="s">
        <v>214</v>
      </c>
      <c r="AG22">
        <v>20528625</v>
      </c>
      <c r="AH22" t="s">
        <v>215</v>
      </c>
      <c r="AI22" t="s">
        <v>7</v>
      </c>
      <c r="AM22" t="str">
        <f>UPPER('X-7'!D22)</f>
        <v>IZZA SAYRA QIRANI</v>
      </c>
      <c r="AV22" s="38" t="s">
        <v>1107</v>
      </c>
      <c r="AW22" s="39" t="s">
        <v>1108</v>
      </c>
      <c r="AX22" s="38" t="s">
        <v>6</v>
      </c>
      <c r="AY22" s="39" t="s">
        <v>1109</v>
      </c>
      <c r="AZ22" s="40" t="s">
        <v>1110</v>
      </c>
      <c r="BA22" s="40" t="s">
        <v>523</v>
      </c>
      <c r="BB22" s="40" t="s">
        <v>1111</v>
      </c>
      <c r="BC22" s="40" t="s">
        <v>460</v>
      </c>
      <c r="BD22" s="39" t="s">
        <v>485</v>
      </c>
      <c r="BG22" s="81" t="s">
        <v>2358</v>
      </c>
      <c r="BH22" s="38" t="s">
        <v>1107</v>
      </c>
      <c r="BI22" s="39" t="s">
        <v>1108</v>
      </c>
      <c r="BJ22" t="s">
        <v>2003</v>
      </c>
    </row>
    <row r="23" spans="1:62" ht="20.100000000000001" customHeight="1" x14ac:dyDescent="0.25">
      <c r="A23" s="4">
        <v>14</v>
      </c>
      <c r="B23" s="4" t="s">
        <v>2361</v>
      </c>
      <c r="C23" s="38" t="s">
        <v>1112</v>
      </c>
      <c r="D23" s="39" t="s">
        <v>1113</v>
      </c>
      <c r="E23" s="7" t="s">
        <v>6</v>
      </c>
      <c r="F23" s="8"/>
      <c r="G23" s="8"/>
      <c r="H23" s="8"/>
      <c r="I23" s="8"/>
      <c r="J23" s="8"/>
      <c r="K23" s="8"/>
      <c r="L23" s="8"/>
      <c r="M23" s="8"/>
      <c r="N23" s="8"/>
      <c r="O23" s="8"/>
      <c r="P23" s="8"/>
      <c r="Q23" s="8"/>
      <c r="R23" s="8"/>
      <c r="S23" s="8"/>
      <c r="T23" s="8"/>
      <c r="U23" s="8"/>
      <c r="V23" s="8"/>
      <c r="W23" s="8"/>
      <c r="X23" s="8"/>
      <c r="Y23" s="8"/>
      <c r="Z23" s="8"/>
      <c r="AA23" s="8"/>
      <c r="AB23" s="8"/>
      <c r="AC23" s="8"/>
      <c r="AE23" s="15" t="s">
        <v>456</v>
      </c>
      <c r="AF23" t="s">
        <v>450</v>
      </c>
      <c r="AG23">
        <v>20527180</v>
      </c>
      <c r="AH23" t="s">
        <v>451</v>
      </c>
      <c r="AI23" t="s">
        <v>7</v>
      </c>
      <c r="AM23" t="str">
        <f>UPPER('X-7'!D23)</f>
        <v>JUNDIYULHAQ ALMUJADID</v>
      </c>
      <c r="AV23" s="38" t="s">
        <v>1112</v>
      </c>
      <c r="AW23" s="39" t="s">
        <v>1113</v>
      </c>
      <c r="AX23" s="38" t="s">
        <v>6</v>
      </c>
      <c r="AY23" s="39" t="s">
        <v>494</v>
      </c>
      <c r="AZ23" s="40" t="s">
        <v>1050</v>
      </c>
      <c r="BA23" s="40">
        <v>65</v>
      </c>
      <c r="BB23" s="40" t="s">
        <v>1114</v>
      </c>
      <c r="BC23" s="40" t="s">
        <v>460</v>
      </c>
      <c r="BD23" s="39" t="s">
        <v>1115</v>
      </c>
      <c r="BG23" s="81" t="s">
        <v>2361</v>
      </c>
      <c r="BH23" s="38" t="s">
        <v>1112</v>
      </c>
      <c r="BI23" s="39" t="s">
        <v>1113</v>
      </c>
      <c r="BJ23" t="s">
        <v>2004</v>
      </c>
    </row>
    <row r="24" spans="1:62" ht="20.100000000000001" customHeight="1" x14ac:dyDescent="0.25">
      <c r="A24" s="4">
        <v>15</v>
      </c>
      <c r="B24" s="4" t="s">
        <v>2373</v>
      </c>
      <c r="C24" s="38" t="s">
        <v>1116</v>
      </c>
      <c r="D24" s="39" t="s">
        <v>1117</v>
      </c>
      <c r="E24" s="7" t="s">
        <v>7</v>
      </c>
      <c r="F24" s="8"/>
      <c r="G24" s="8"/>
      <c r="H24" s="8"/>
      <c r="I24" s="8"/>
      <c r="J24" s="8"/>
      <c r="K24" s="8"/>
      <c r="L24" s="8"/>
      <c r="M24" s="8"/>
      <c r="N24" s="8"/>
      <c r="O24" s="8"/>
      <c r="P24" s="8"/>
      <c r="Q24" s="8"/>
      <c r="R24" s="8"/>
      <c r="S24" s="8"/>
      <c r="T24" s="8"/>
      <c r="U24" s="8"/>
      <c r="V24" s="8"/>
      <c r="W24" s="8"/>
      <c r="X24" s="8"/>
      <c r="Y24" s="8"/>
      <c r="Z24" s="8"/>
      <c r="AA24" s="8"/>
      <c r="AB24" s="8"/>
      <c r="AC24" s="8"/>
      <c r="AE24" s="15" t="s">
        <v>456</v>
      </c>
      <c r="AF24" t="s">
        <v>258</v>
      </c>
      <c r="AG24">
        <v>20527180</v>
      </c>
      <c r="AH24" t="s">
        <v>259</v>
      </c>
      <c r="AI24" t="s">
        <v>7</v>
      </c>
      <c r="AM24" t="str">
        <f>UPPER('X-7'!D24)</f>
        <v>KARINA ULYA HARYADI</v>
      </c>
      <c r="AV24" s="38" t="s">
        <v>1116</v>
      </c>
      <c r="AW24" s="39" t="s">
        <v>1117</v>
      </c>
      <c r="AX24" s="38" t="s">
        <v>7</v>
      </c>
      <c r="AY24" s="39" t="s">
        <v>478</v>
      </c>
      <c r="AZ24" s="40">
        <v>85.69</v>
      </c>
      <c r="BA24" s="40">
        <v>58.33</v>
      </c>
      <c r="BB24" s="40">
        <v>74.75</v>
      </c>
      <c r="BC24" s="40" t="s">
        <v>460</v>
      </c>
      <c r="BD24" s="39" t="s">
        <v>1118</v>
      </c>
      <c r="BG24" s="81" t="s">
        <v>2373</v>
      </c>
      <c r="BH24" s="38" t="s">
        <v>1116</v>
      </c>
      <c r="BI24" s="39" t="s">
        <v>1117</v>
      </c>
      <c r="BJ24" t="s">
        <v>2005</v>
      </c>
    </row>
    <row r="25" spans="1:62" ht="20.100000000000001" customHeight="1" x14ac:dyDescent="0.25">
      <c r="A25" s="4">
        <v>16</v>
      </c>
      <c r="B25" s="4" t="s">
        <v>2394</v>
      </c>
      <c r="C25" s="38" t="s">
        <v>1119</v>
      </c>
      <c r="D25" s="39" t="s">
        <v>1120</v>
      </c>
      <c r="E25" s="7" t="s">
        <v>6</v>
      </c>
      <c r="F25" s="8"/>
      <c r="G25" s="8"/>
      <c r="H25" s="8"/>
      <c r="I25" s="8"/>
      <c r="J25" s="8"/>
      <c r="K25" s="8"/>
      <c r="L25" s="8"/>
      <c r="M25" s="8"/>
      <c r="N25" s="8"/>
      <c r="O25" s="8"/>
      <c r="P25" s="8"/>
      <c r="Q25" s="8"/>
      <c r="R25" s="8"/>
      <c r="S25" s="8"/>
      <c r="T25" s="8"/>
      <c r="U25" s="8"/>
      <c r="V25" s="8"/>
      <c r="W25" s="8"/>
      <c r="X25" s="8"/>
      <c r="Y25" s="8"/>
      <c r="Z25" s="8"/>
      <c r="AA25" s="8"/>
      <c r="AB25" s="8"/>
      <c r="AC25" s="8"/>
      <c r="AE25" s="15" t="s">
        <v>456</v>
      </c>
      <c r="AF25" t="s">
        <v>425</v>
      </c>
      <c r="AG25">
        <v>20566545</v>
      </c>
      <c r="AH25" t="s">
        <v>426</v>
      </c>
      <c r="AI25" t="s">
        <v>7</v>
      </c>
      <c r="AM25" t="str">
        <f>UPPER('X-7'!D25)</f>
        <v>KHAIZURAN RABBANI AHNAF</v>
      </c>
      <c r="AV25" s="38" t="s">
        <v>1119</v>
      </c>
      <c r="AW25" s="39" t="s">
        <v>1120</v>
      </c>
      <c r="AX25" s="38" t="s">
        <v>6</v>
      </c>
      <c r="AY25" s="39" t="s">
        <v>494</v>
      </c>
      <c r="AZ25" s="40" t="s">
        <v>1121</v>
      </c>
      <c r="BA25" s="40" t="s">
        <v>489</v>
      </c>
      <c r="BB25" s="40" t="s">
        <v>1122</v>
      </c>
      <c r="BC25" s="40" t="s">
        <v>460</v>
      </c>
      <c r="BD25" s="39" t="s">
        <v>1123</v>
      </c>
      <c r="BG25" s="81" t="s">
        <v>2394</v>
      </c>
      <c r="BH25" s="38" t="s">
        <v>1119</v>
      </c>
      <c r="BI25" s="39" t="s">
        <v>1120</v>
      </c>
      <c r="BJ25" t="s">
        <v>2006</v>
      </c>
    </row>
    <row r="26" spans="1:62" ht="20.100000000000001" customHeight="1" x14ac:dyDescent="0.25">
      <c r="A26" s="4">
        <v>17</v>
      </c>
      <c r="B26" s="4" t="s">
        <v>2396</v>
      </c>
      <c r="C26" s="38" t="s">
        <v>1124</v>
      </c>
      <c r="D26" s="39" t="s">
        <v>1125</v>
      </c>
      <c r="E26" s="7" t="s">
        <v>6</v>
      </c>
      <c r="F26" s="8"/>
      <c r="G26" s="8"/>
      <c r="H26" s="8"/>
      <c r="I26" s="8"/>
      <c r="J26" s="8"/>
      <c r="K26" s="8"/>
      <c r="L26" s="8"/>
      <c r="M26" s="8"/>
      <c r="N26" s="8"/>
      <c r="O26" s="8"/>
      <c r="P26" s="8"/>
      <c r="Q26" s="8"/>
      <c r="R26" s="8"/>
      <c r="S26" s="8"/>
      <c r="T26" s="8"/>
      <c r="U26" s="8"/>
      <c r="V26" s="8"/>
      <c r="W26" s="8"/>
      <c r="X26" s="8"/>
      <c r="Y26" s="8"/>
      <c r="Z26" s="8"/>
      <c r="AA26" s="8"/>
      <c r="AB26" s="8"/>
      <c r="AC26" s="8"/>
      <c r="AE26" s="18" t="s">
        <v>237</v>
      </c>
      <c r="AF26">
        <v>3099461393</v>
      </c>
      <c r="AG26">
        <v>20528625</v>
      </c>
      <c r="AH26" t="s">
        <v>169</v>
      </c>
      <c r="AI26" t="s">
        <v>6</v>
      </c>
      <c r="AM26" t="e">
        <f>UPPER('X-7'!#REF!)</f>
        <v>#REF!</v>
      </c>
      <c r="AV26" s="38" t="s">
        <v>1124</v>
      </c>
      <c r="AW26" s="39" t="s">
        <v>1125</v>
      </c>
      <c r="AX26" s="38" t="s">
        <v>6</v>
      </c>
      <c r="AY26" s="39" t="s">
        <v>478</v>
      </c>
      <c r="AZ26" s="40" t="s">
        <v>1126</v>
      </c>
      <c r="BA26" s="40" t="s">
        <v>985</v>
      </c>
      <c r="BB26" s="40" t="s">
        <v>1127</v>
      </c>
      <c r="BC26" s="40" t="s">
        <v>460</v>
      </c>
      <c r="BD26" s="39" t="s">
        <v>1128</v>
      </c>
      <c r="BG26" s="81" t="s">
        <v>2396</v>
      </c>
      <c r="BH26" s="38" t="s">
        <v>1124</v>
      </c>
      <c r="BI26" s="39" t="s">
        <v>1125</v>
      </c>
      <c r="BJ26" t="s">
        <v>2007</v>
      </c>
    </row>
    <row r="27" spans="1:62" ht="20.100000000000001" customHeight="1" x14ac:dyDescent="0.25">
      <c r="A27" s="4">
        <v>18</v>
      </c>
      <c r="B27" s="4" t="s">
        <v>2401</v>
      </c>
      <c r="C27" s="38" t="s">
        <v>1129</v>
      </c>
      <c r="D27" s="39" t="s">
        <v>1130</v>
      </c>
      <c r="E27" s="7" t="s">
        <v>6</v>
      </c>
      <c r="F27" s="8"/>
      <c r="G27" s="8"/>
      <c r="H27" s="8"/>
      <c r="I27" s="8"/>
      <c r="J27" s="8"/>
      <c r="K27" s="8"/>
      <c r="L27" s="8"/>
      <c r="M27" s="8"/>
      <c r="N27" s="8"/>
      <c r="O27" s="8"/>
      <c r="P27" s="8"/>
      <c r="Q27" s="8"/>
      <c r="R27" s="8"/>
      <c r="S27" s="8"/>
      <c r="T27" s="8"/>
      <c r="U27" s="8"/>
      <c r="V27" s="8"/>
      <c r="W27" s="8"/>
      <c r="X27" s="8"/>
      <c r="Y27" s="8"/>
      <c r="Z27" s="8"/>
      <c r="AA27" s="8"/>
      <c r="AB27" s="8"/>
      <c r="AC27" s="8"/>
      <c r="AE27" s="17" t="s">
        <v>128</v>
      </c>
      <c r="AF27" t="s">
        <v>113</v>
      </c>
      <c r="AG27">
        <v>20527197</v>
      </c>
      <c r="AH27" t="s">
        <v>114</v>
      </c>
      <c r="AI27" t="s">
        <v>6</v>
      </c>
      <c r="AM27" t="str">
        <f>UPPER('X-10'!D45)</f>
        <v>ZAKI AGATHA</v>
      </c>
      <c r="AV27" s="38" t="s">
        <v>1129</v>
      </c>
      <c r="AW27" s="39" t="s">
        <v>1130</v>
      </c>
      <c r="AX27" s="38" t="s">
        <v>6</v>
      </c>
      <c r="AY27" s="39" t="s">
        <v>925</v>
      </c>
      <c r="AZ27" s="40" t="s">
        <v>909</v>
      </c>
      <c r="BA27" s="40" t="s">
        <v>502</v>
      </c>
      <c r="BB27" s="40" t="s">
        <v>1131</v>
      </c>
      <c r="BC27" s="40" t="s">
        <v>460</v>
      </c>
      <c r="BD27" s="39" t="s">
        <v>475</v>
      </c>
      <c r="BG27" s="81" t="s">
        <v>2401</v>
      </c>
      <c r="BH27" s="38" t="s">
        <v>1129</v>
      </c>
      <c r="BI27" s="39" t="s">
        <v>1130</v>
      </c>
      <c r="BJ27" t="s">
        <v>2008</v>
      </c>
    </row>
    <row r="28" spans="1:62" ht="20.100000000000001" customHeight="1" x14ac:dyDescent="0.25">
      <c r="A28" s="4">
        <v>19</v>
      </c>
      <c r="B28" s="4" t="s">
        <v>2406</v>
      </c>
      <c r="C28" s="38" t="s">
        <v>1132</v>
      </c>
      <c r="D28" s="39" t="s">
        <v>1133</v>
      </c>
      <c r="E28" s="7" t="s">
        <v>6</v>
      </c>
      <c r="F28" s="8"/>
      <c r="G28" s="8"/>
      <c r="H28" s="8"/>
      <c r="I28" s="8"/>
      <c r="J28" s="8"/>
      <c r="K28" s="8"/>
      <c r="L28" s="8"/>
      <c r="M28" s="8"/>
      <c r="N28" s="8"/>
      <c r="O28" s="8"/>
      <c r="P28" s="8"/>
      <c r="Q28" s="8"/>
      <c r="R28" s="8"/>
      <c r="S28" s="8"/>
      <c r="T28" s="8"/>
      <c r="U28" s="8"/>
      <c r="V28" s="8"/>
      <c r="W28" s="8"/>
      <c r="X28" s="8"/>
      <c r="Y28" s="8"/>
      <c r="Z28" s="8"/>
      <c r="AA28" s="8"/>
      <c r="AB28" s="8"/>
      <c r="AC28" s="8"/>
      <c r="AE28" s="18" t="s">
        <v>237</v>
      </c>
      <c r="AF28" t="s">
        <v>203</v>
      </c>
      <c r="AG28">
        <v>20527197</v>
      </c>
      <c r="AH28" t="s">
        <v>204</v>
      </c>
      <c r="AI28" t="s">
        <v>6</v>
      </c>
      <c r="AM28" t="str">
        <f>UPPER('X-7'!D28)</f>
        <v>LYNA ELZA RAMADANI</v>
      </c>
      <c r="AV28" s="38" t="s">
        <v>1132</v>
      </c>
      <c r="AW28" s="39" t="s">
        <v>1133</v>
      </c>
      <c r="AX28" s="38" t="s">
        <v>6</v>
      </c>
      <c r="AY28" s="39" t="s">
        <v>887</v>
      </c>
      <c r="AZ28" s="40" t="s">
        <v>1134</v>
      </c>
      <c r="BA28" s="40" t="s">
        <v>677</v>
      </c>
      <c r="BB28" s="40" t="s">
        <v>1135</v>
      </c>
      <c r="BC28" s="40" t="s">
        <v>460</v>
      </c>
      <c r="BD28" s="39" t="s">
        <v>1136</v>
      </c>
      <c r="BG28" s="81" t="s">
        <v>2406</v>
      </c>
      <c r="BH28" s="38" t="s">
        <v>1132</v>
      </c>
      <c r="BI28" s="39" t="s">
        <v>1133</v>
      </c>
      <c r="BJ28" t="s">
        <v>2009</v>
      </c>
    </row>
    <row r="29" spans="1:62" ht="20.100000000000001" customHeight="1" x14ac:dyDescent="0.25">
      <c r="A29" s="4">
        <v>20</v>
      </c>
      <c r="B29" s="4" t="s">
        <v>2416</v>
      </c>
      <c r="C29" s="38" t="s">
        <v>1137</v>
      </c>
      <c r="D29" s="39" t="s">
        <v>1138</v>
      </c>
      <c r="E29" s="7" t="s">
        <v>7</v>
      </c>
      <c r="F29" s="8"/>
      <c r="G29" s="8"/>
      <c r="H29" s="8"/>
      <c r="I29" s="8"/>
      <c r="J29" s="8"/>
      <c r="K29" s="8"/>
      <c r="L29" s="8"/>
      <c r="M29" s="8"/>
      <c r="N29" s="8"/>
      <c r="O29" s="8"/>
      <c r="P29" s="8"/>
      <c r="Q29" s="8"/>
      <c r="R29" s="8"/>
      <c r="S29" s="8"/>
      <c r="T29" s="8"/>
      <c r="U29" s="8"/>
      <c r="V29" s="8"/>
      <c r="W29" s="8"/>
      <c r="X29" s="8"/>
      <c r="Y29" s="8"/>
      <c r="Z29" s="8"/>
      <c r="AA29" s="8"/>
      <c r="AB29" s="8"/>
      <c r="AC29" s="8"/>
      <c r="AE29" s="15" t="s">
        <v>456</v>
      </c>
      <c r="AF29" t="s">
        <v>351</v>
      </c>
      <c r="AG29">
        <v>20527197</v>
      </c>
      <c r="AH29" t="s">
        <v>352</v>
      </c>
      <c r="AI29" t="s">
        <v>7</v>
      </c>
      <c r="AM29" t="str">
        <f>UPPER('X-7'!D29)</f>
        <v>M FAUZUL RAHMAN IRDIANSYAH</v>
      </c>
      <c r="AV29" s="38" t="s">
        <v>1137</v>
      </c>
      <c r="AW29" s="39" t="s">
        <v>1138</v>
      </c>
      <c r="AX29" s="38" t="s">
        <v>7</v>
      </c>
      <c r="AY29" s="39" t="s">
        <v>546</v>
      </c>
      <c r="AZ29" s="40" t="s">
        <v>1139</v>
      </c>
      <c r="BA29" s="40" t="s">
        <v>1140</v>
      </c>
      <c r="BB29" s="40" t="s">
        <v>1141</v>
      </c>
      <c r="BC29" s="40" t="s">
        <v>460</v>
      </c>
      <c r="BD29" s="39" t="s">
        <v>1142</v>
      </c>
      <c r="BG29" s="81" t="s">
        <v>2416</v>
      </c>
      <c r="BH29" s="38" t="s">
        <v>1137</v>
      </c>
      <c r="BI29" s="39" t="s">
        <v>1138</v>
      </c>
      <c r="BJ29" t="s">
        <v>2010</v>
      </c>
    </row>
    <row r="30" spans="1:62" ht="20.100000000000001" customHeight="1" x14ac:dyDescent="0.25">
      <c r="A30" s="4">
        <v>21</v>
      </c>
      <c r="B30" s="4" t="s">
        <v>2428</v>
      </c>
      <c r="C30" s="38" t="s">
        <v>1143</v>
      </c>
      <c r="D30" s="39" t="s">
        <v>1144</v>
      </c>
      <c r="E30" s="7" t="s">
        <v>6</v>
      </c>
      <c r="F30" s="8"/>
      <c r="G30" s="8"/>
      <c r="H30" s="8"/>
      <c r="I30" s="8"/>
      <c r="J30" s="8"/>
      <c r="K30" s="8"/>
      <c r="L30" s="8"/>
      <c r="M30" s="8"/>
      <c r="N30" s="8"/>
      <c r="O30" s="8"/>
      <c r="P30" s="8"/>
      <c r="Q30" s="8"/>
      <c r="R30" s="8"/>
      <c r="S30" s="8"/>
      <c r="T30" s="8"/>
      <c r="U30" s="8"/>
      <c r="V30" s="8"/>
      <c r="W30" s="8"/>
      <c r="X30" s="8"/>
      <c r="Y30" s="8"/>
      <c r="Z30" s="8"/>
      <c r="AA30" s="8"/>
      <c r="AB30" s="8"/>
      <c r="AC30" s="8"/>
      <c r="AE30" s="12" t="s">
        <v>49</v>
      </c>
      <c r="AF30" t="s">
        <v>43</v>
      </c>
      <c r="AG30">
        <v>20527197</v>
      </c>
      <c r="AH30" t="s">
        <v>44</v>
      </c>
      <c r="AI30" t="s">
        <v>6</v>
      </c>
      <c r="AM30" t="str">
        <f>UPPER('X-5'!D13)</f>
        <v>AISAH SABRINA SALSABIYLA</v>
      </c>
      <c r="AV30" s="38" t="s">
        <v>1143</v>
      </c>
      <c r="AW30" s="39" t="s">
        <v>1144</v>
      </c>
      <c r="AX30" s="38" t="s">
        <v>6</v>
      </c>
      <c r="AY30" s="39" t="s">
        <v>807</v>
      </c>
      <c r="AZ30" s="40">
        <v>87.11</v>
      </c>
      <c r="BA30" s="40">
        <v>52</v>
      </c>
      <c r="BB30" s="40">
        <v>72.930000000000007</v>
      </c>
      <c r="BC30" s="40" t="s">
        <v>460</v>
      </c>
      <c r="BD30" s="39" t="s">
        <v>475</v>
      </c>
      <c r="BG30" s="81" t="s">
        <v>2428</v>
      </c>
      <c r="BH30" s="38" t="s">
        <v>1143</v>
      </c>
      <c r="BI30" s="39" t="s">
        <v>1144</v>
      </c>
      <c r="BJ30" t="s">
        <v>2011</v>
      </c>
    </row>
    <row r="31" spans="1:62" ht="20.100000000000001" customHeight="1" x14ac:dyDescent="0.25">
      <c r="A31" s="4">
        <v>22</v>
      </c>
      <c r="B31" s="4" t="s">
        <v>2440</v>
      </c>
      <c r="C31" s="38" t="s">
        <v>1145</v>
      </c>
      <c r="D31" s="39" t="s">
        <v>1146</v>
      </c>
      <c r="E31" s="7" t="s">
        <v>7</v>
      </c>
      <c r="F31" s="8"/>
      <c r="G31" s="8"/>
      <c r="H31" s="8"/>
      <c r="I31" s="8"/>
      <c r="J31" s="8"/>
      <c r="K31" s="8"/>
      <c r="L31" s="8"/>
      <c r="M31" s="8"/>
      <c r="N31" s="8"/>
      <c r="O31" s="8"/>
      <c r="P31" s="8"/>
      <c r="Q31" s="8"/>
      <c r="R31" s="8"/>
      <c r="S31" s="8"/>
      <c r="T31" s="8"/>
      <c r="U31" s="8"/>
      <c r="V31" s="8"/>
      <c r="W31" s="8"/>
      <c r="X31" s="8"/>
      <c r="Y31" s="8"/>
      <c r="Z31" s="8"/>
      <c r="AA31" s="8"/>
      <c r="AB31" s="8"/>
      <c r="AC31" s="8"/>
      <c r="AE31" s="15" t="s">
        <v>456</v>
      </c>
      <c r="AF31" t="s">
        <v>399</v>
      </c>
      <c r="AG31">
        <v>20527197</v>
      </c>
      <c r="AH31" t="s">
        <v>400</v>
      </c>
      <c r="AI31" t="s">
        <v>6</v>
      </c>
      <c r="AM31" t="str">
        <f>UPPER('X-9'!D19)</f>
        <v>BELLY WIJAYA PRATAMA</v>
      </c>
      <c r="AV31" s="38" t="s">
        <v>1145</v>
      </c>
      <c r="AW31" s="39" t="s">
        <v>1146</v>
      </c>
      <c r="AX31" s="38" t="s">
        <v>7</v>
      </c>
      <c r="AY31" s="39" t="s">
        <v>484</v>
      </c>
      <c r="AZ31" s="40" t="s">
        <v>1147</v>
      </c>
      <c r="BA31" s="40" t="s">
        <v>985</v>
      </c>
      <c r="BB31" s="40" t="s">
        <v>1148</v>
      </c>
      <c r="BC31" s="40" t="s">
        <v>460</v>
      </c>
      <c r="BD31" s="39" t="s">
        <v>475</v>
      </c>
      <c r="BG31" s="81" t="s">
        <v>2440</v>
      </c>
      <c r="BH31" s="38" t="s">
        <v>1145</v>
      </c>
      <c r="BI31" s="39" t="s">
        <v>1146</v>
      </c>
      <c r="BJ31" t="s">
        <v>2012</v>
      </c>
    </row>
    <row r="32" spans="1:62" ht="20.100000000000001" customHeight="1" x14ac:dyDescent="0.25">
      <c r="A32" s="4">
        <v>23</v>
      </c>
      <c r="B32" s="4" t="s">
        <v>2452</v>
      </c>
      <c r="C32" s="38" t="s">
        <v>1149</v>
      </c>
      <c r="D32" s="39" t="s">
        <v>1150</v>
      </c>
      <c r="E32" s="7" t="s">
        <v>7</v>
      </c>
      <c r="F32" s="8"/>
      <c r="G32" s="8"/>
      <c r="H32" s="8"/>
      <c r="I32" s="8"/>
      <c r="J32" s="8"/>
      <c r="K32" s="8"/>
      <c r="L32" s="8"/>
      <c r="M32" s="8"/>
      <c r="N32" s="8"/>
      <c r="O32" s="8"/>
      <c r="P32" s="8"/>
      <c r="Q32" s="8"/>
      <c r="R32" s="8"/>
      <c r="S32" s="8"/>
      <c r="T32" s="8"/>
      <c r="U32" s="8"/>
      <c r="V32" s="8"/>
      <c r="W32" s="8"/>
      <c r="X32" s="8"/>
      <c r="Y32" s="8"/>
      <c r="Z32" s="8"/>
      <c r="AA32" s="8"/>
      <c r="AB32" s="8"/>
      <c r="AC32" s="8"/>
      <c r="AE32" s="14" t="s">
        <v>93</v>
      </c>
      <c r="AF32" t="s">
        <v>83</v>
      </c>
      <c r="AG32">
        <v>20529915</v>
      </c>
      <c r="AH32" t="s">
        <v>84</v>
      </c>
      <c r="AI32" t="s">
        <v>6</v>
      </c>
      <c r="AM32" t="str">
        <f>UPPER('X-7'!D33)</f>
        <v>MUHAMMAD RAFI ABDULLAH</v>
      </c>
      <c r="AV32" s="38" t="s">
        <v>1149</v>
      </c>
      <c r="AW32" s="39" t="s">
        <v>1150</v>
      </c>
      <c r="AX32" s="38" t="s">
        <v>7</v>
      </c>
      <c r="AY32" s="39" t="s">
        <v>507</v>
      </c>
      <c r="AZ32" s="40" t="s">
        <v>1151</v>
      </c>
      <c r="BA32" s="40" t="s">
        <v>537</v>
      </c>
      <c r="BB32" s="40" t="s">
        <v>1152</v>
      </c>
      <c r="BC32" s="40" t="s">
        <v>460</v>
      </c>
      <c r="BD32" s="39" t="s">
        <v>475</v>
      </c>
      <c r="BG32" s="81" t="s">
        <v>2452</v>
      </c>
      <c r="BH32" s="38" t="s">
        <v>1149</v>
      </c>
      <c r="BI32" s="39" t="s">
        <v>1150</v>
      </c>
      <c r="BJ32" t="s">
        <v>2013</v>
      </c>
    </row>
    <row r="33" spans="1:62" ht="20.100000000000001" customHeight="1" x14ac:dyDescent="0.25">
      <c r="A33" s="4">
        <v>24</v>
      </c>
      <c r="B33" s="4" t="s">
        <v>2464</v>
      </c>
      <c r="C33" s="38" t="s">
        <v>1153</v>
      </c>
      <c r="D33" s="39" t="s">
        <v>1154</v>
      </c>
      <c r="E33" s="7" t="s">
        <v>7</v>
      </c>
      <c r="F33" s="8"/>
      <c r="G33" s="8"/>
      <c r="H33" s="8"/>
      <c r="I33" s="8"/>
      <c r="J33" s="8"/>
      <c r="K33" s="8"/>
      <c r="L33" s="8"/>
      <c r="M33" s="8"/>
      <c r="N33" s="8"/>
      <c r="O33" s="8"/>
      <c r="P33" s="8"/>
      <c r="Q33" s="8"/>
      <c r="R33" s="8"/>
      <c r="S33" s="8"/>
      <c r="T33" s="8"/>
      <c r="U33" s="8"/>
      <c r="V33" s="8"/>
      <c r="W33" s="8"/>
      <c r="X33" s="8"/>
      <c r="Y33" s="8"/>
      <c r="Z33" s="8"/>
      <c r="AA33" s="8"/>
      <c r="AB33" s="8"/>
      <c r="AC33" s="8"/>
      <c r="AE33" s="15" t="s">
        <v>456</v>
      </c>
      <c r="AF33" t="s">
        <v>313</v>
      </c>
      <c r="AG33">
        <v>20583367</v>
      </c>
      <c r="AH33" t="s">
        <v>314</v>
      </c>
      <c r="AI33" t="s">
        <v>6</v>
      </c>
      <c r="AM33" t="str">
        <f>UPPER('X-7'!D34)</f>
        <v>MUHAMMAD RIZQI ZAMZAMI</v>
      </c>
      <c r="AV33" s="38" t="s">
        <v>1153</v>
      </c>
      <c r="AW33" s="39" t="s">
        <v>1154</v>
      </c>
      <c r="AX33" s="38" t="s">
        <v>7</v>
      </c>
      <c r="AY33" s="39" t="s">
        <v>1155</v>
      </c>
      <c r="AZ33" s="40" t="s">
        <v>1156</v>
      </c>
      <c r="BA33" s="40" t="s">
        <v>811</v>
      </c>
      <c r="BB33" s="40" t="s">
        <v>1157</v>
      </c>
      <c r="BC33" s="40" t="s">
        <v>460</v>
      </c>
      <c r="BD33" s="39" t="s">
        <v>485</v>
      </c>
      <c r="BG33" s="81" t="s">
        <v>2464</v>
      </c>
      <c r="BH33" s="38" t="s">
        <v>1153</v>
      </c>
      <c r="BI33" s="39" t="s">
        <v>1154</v>
      </c>
      <c r="BJ33" t="s">
        <v>2014</v>
      </c>
    </row>
    <row r="34" spans="1:62" ht="20.100000000000001" customHeight="1" x14ac:dyDescent="0.25">
      <c r="A34" s="4">
        <v>25</v>
      </c>
      <c r="B34" s="4" t="s">
        <v>2488</v>
      </c>
      <c r="C34" s="38" t="s">
        <v>1158</v>
      </c>
      <c r="D34" s="39" t="s">
        <v>1159</v>
      </c>
      <c r="E34" s="7" t="s">
        <v>6</v>
      </c>
      <c r="F34" s="8"/>
      <c r="G34" s="8"/>
      <c r="H34" s="8"/>
      <c r="I34" s="8"/>
      <c r="J34" s="8"/>
      <c r="K34" s="8"/>
      <c r="L34" s="8"/>
      <c r="M34" s="8"/>
      <c r="N34" s="8"/>
      <c r="O34" s="8"/>
      <c r="P34" s="8"/>
      <c r="Q34" s="8"/>
      <c r="R34" s="8"/>
      <c r="S34" s="8"/>
      <c r="T34" s="8"/>
      <c r="U34" s="8"/>
      <c r="V34" s="8"/>
      <c r="W34" s="8"/>
      <c r="X34" s="8"/>
      <c r="Y34" s="8"/>
      <c r="Z34" s="8"/>
      <c r="AA34" s="8"/>
      <c r="AB34" s="8"/>
      <c r="AC34" s="8"/>
      <c r="AE34" s="13" t="s">
        <v>40</v>
      </c>
      <c r="AF34" t="s">
        <v>24</v>
      </c>
      <c r="AG34">
        <v>20527202</v>
      </c>
      <c r="AH34" t="s">
        <v>25</v>
      </c>
      <c r="AI34" t="s">
        <v>6</v>
      </c>
      <c r="AM34" t="str">
        <f>UPPER('X-7'!D35)</f>
        <v>NADIA PUTRI RENATA</v>
      </c>
      <c r="AV34" s="38" t="s">
        <v>1158</v>
      </c>
      <c r="AW34" s="39" t="s">
        <v>1159</v>
      </c>
      <c r="AX34" s="38" t="s">
        <v>6</v>
      </c>
      <c r="AY34" s="39" t="s">
        <v>494</v>
      </c>
      <c r="AZ34" s="40" t="s">
        <v>1160</v>
      </c>
      <c r="BA34" s="40" t="s">
        <v>579</v>
      </c>
      <c r="BB34" s="40" t="s">
        <v>1080</v>
      </c>
      <c r="BC34" s="40" t="s">
        <v>461</v>
      </c>
      <c r="BD34" s="39" t="s">
        <v>475</v>
      </c>
      <c r="BG34" s="81" t="s">
        <v>2488</v>
      </c>
      <c r="BH34" s="38" t="s">
        <v>1158</v>
      </c>
      <c r="BI34" s="39" t="s">
        <v>1159</v>
      </c>
      <c r="BJ34" t="s">
        <v>2015</v>
      </c>
    </row>
    <row r="35" spans="1:62" ht="20.100000000000001" customHeight="1" x14ac:dyDescent="0.25">
      <c r="A35" s="4">
        <v>26</v>
      </c>
      <c r="B35" s="4" t="s">
        <v>2512</v>
      </c>
      <c r="C35" s="38" t="s">
        <v>1164</v>
      </c>
      <c r="D35" s="39" t="s">
        <v>1165</v>
      </c>
      <c r="E35" s="7" t="s">
        <v>6</v>
      </c>
      <c r="F35" s="8"/>
      <c r="G35" s="8"/>
      <c r="H35" s="8"/>
      <c r="I35" s="8"/>
      <c r="J35" s="8"/>
      <c r="K35" s="8"/>
      <c r="L35" s="8"/>
      <c r="M35" s="8"/>
      <c r="N35" s="8"/>
      <c r="O35" s="8"/>
      <c r="P35" s="8"/>
      <c r="Q35" s="8"/>
      <c r="R35" s="8"/>
      <c r="S35" s="8"/>
      <c r="T35" s="8"/>
      <c r="U35" s="8"/>
      <c r="V35" s="8"/>
      <c r="W35" s="8"/>
      <c r="X35" s="8"/>
      <c r="Y35" s="8"/>
      <c r="Z35" s="8"/>
      <c r="AA35" s="8"/>
      <c r="AB35" s="8"/>
      <c r="AC35" s="8"/>
      <c r="AE35" s="17" t="s">
        <v>128</v>
      </c>
      <c r="AF35" t="s">
        <v>124</v>
      </c>
      <c r="AG35">
        <v>20527169</v>
      </c>
      <c r="AH35" t="s">
        <v>125</v>
      </c>
      <c r="AI35" t="s">
        <v>7</v>
      </c>
      <c r="AM35" t="str">
        <f>UPPER('X-7'!D36)</f>
        <v>NADITA CITRA PRATIWI</v>
      </c>
      <c r="AV35" s="38" t="s">
        <v>1161</v>
      </c>
      <c r="AW35" s="39" t="s">
        <v>1162</v>
      </c>
      <c r="AX35" s="38" t="s">
        <v>6</v>
      </c>
      <c r="AY35" s="39" t="s">
        <v>484</v>
      </c>
      <c r="AZ35" s="40">
        <v>89.46</v>
      </c>
      <c r="BA35" s="40">
        <v>78.33</v>
      </c>
      <c r="BB35" s="40">
        <v>85.01</v>
      </c>
      <c r="BC35" s="40" t="s">
        <v>460</v>
      </c>
      <c r="BD35" s="39" t="s">
        <v>1163</v>
      </c>
      <c r="BG35" s="81" t="s">
        <v>2512</v>
      </c>
      <c r="BH35" s="38" t="s">
        <v>1164</v>
      </c>
      <c r="BI35" s="39" t="s">
        <v>1165</v>
      </c>
      <c r="BJ35" t="s">
        <v>2016</v>
      </c>
    </row>
    <row r="36" spans="1:62" ht="20.100000000000001" customHeight="1" x14ac:dyDescent="0.25">
      <c r="A36" s="4">
        <v>27</v>
      </c>
      <c r="B36" s="4" t="s">
        <v>2523</v>
      </c>
      <c r="C36" s="38" t="s">
        <v>1168</v>
      </c>
      <c r="D36" s="39" t="s">
        <v>1169</v>
      </c>
      <c r="E36" s="7" t="s">
        <v>7</v>
      </c>
      <c r="F36" s="8"/>
      <c r="G36" s="8"/>
      <c r="H36" s="8"/>
      <c r="I36" s="8"/>
      <c r="J36" s="8"/>
      <c r="K36" s="8"/>
      <c r="L36" s="8"/>
      <c r="M36" s="8"/>
      <c r="N36" s="8"/>
      <c r="O36" s="8"/>
      <c r="P36" s="8"/>
      <c r="Q36" s="8"/>
      <c r="R36" s="8"/>
      <c r="S36" s="8"/>
      <c r="T36" s="8"/>
      <c r="U36" s="8"/>
      <c r="V36" s="8"/>
      <c r="W36" s="8"/>
      <c r="X36" s="8"/>
      <c r="Y36" s="8"/>
      <c r="Z36" s="8"/>
      <c r="AA36" s="8"/>
      <c r="AB36" s="8"/>
      <c r="AC36" s="8"/>
      <c r="AE36" s="15" t="s">
        <v>456</v>
      </c>
      <c r="AF36" t="s">
        <v>365</v>
      </c>
      <c r="AG36">
        <v>20527180</v>
      </c>
      <c r="AH36" t="s">
        <v>366</v>
      </c>
      <c r="AI36" t="s">
        <v>6</v>
      </c>
      <c r="AM36" t="str">
        <f>UPPER('X-7'!D37)</f>
        <v>NAYLA RACHMATUL AZZA</v>
      </c>
      <c r="AV36" s="38" t="s">
        <v>1164</v>
      </c>
      <c r="AW36" s="39" t="s">
        <v>1165</v>
      </c>
      <c r="AX36" s="38" t="s">
        <v>6</v>
      </c>
      <c r="AY36" s="39" t="s">
        <v>634</v>
      </c>
      <c r="AZ36" s="40" t="s">
        <v>1166</v>
      </c>
      <c r="BA36" s="40">
        <v>75</v>
      </c>
      <c r="BB36" s="40">
        <v>86.02</v>
      </c>
      <c r="BC36" s="40" t="s">
        <v>460</v>
      </c>
      <c r="BD36" s="39" t="s">
        <v>1167</v>
      </c>
      <c r="BG36" s="81" t="s">
        <v>2523</v>
      </c>
      <c r="BH36" s="38" t="s">
        <v>1168</v>
      </c>
      <c r="BI36" s="39" t="s">
        <v>1169</v>
      </c>
      <c r="BJ36" t="s">
        <v>2017</v>
      </c>
    </row>
    <row r="37" spans="1:62" ht="20.100000000000001" customHeight="1" x14ac:dyDescent="0.25">
      <c r="A37" s="4">
        <v>28</v>
      </c>
      <c r="B37" s="4" t="s">
        <v>2542</v>
      </c>
      <c r="C37" s="38" t="s">
        <v>1171</v>
      </c>
      <c r="D37" s="39" t="s">
        <v>1172</v>
      </c>
      <c r="E37" s="7" t="s">
        <v>6</v>
      </c>
      <c r="F37" s="8"/>
      <c r="G37" s="8"/>
      <c r="H37" s="8"/>
      <c r="I37" s="8"/>
      <c r="J37" s="8"/>
      <c r="K37" s="8"/>
      <c r="L37" s="8"/>
      <c r="M37" s="8"/>
      <c r="N37" s="8"/>
      <c r="O37" s="8"/>
      <c r="P37" s="8"/>
      <c r="Q37" s="8"/>
      <c r="R37" s="8"/>
      <c r="S37" s="8"/>
      <c r="T37" s="8"/>
      <c r="U37" s="8"/>
      <c r="V37" s="8"/>
      <c r="W37" s="8"/>
      <c r="X37" s="8"/>
      <c r="Y37" s="8"/>
      <c r="Z37" s="8"/>
      <c r="AA37" s="8"/>
      <c r="AB37" s="8"/>
      <c r="AC37" s="8"/>
      <c r="AM37" t="e">
        <f>UPPER('X-7'!#REF!)</f>
        <v>#REF!</v>
      </c>
      <c r="AV37" s="38" t="s">
        <v>1168</v>
      </c>
      <c r="AW37" s="39" t="s">
        <v>1169</v>
      </c>
      <c r="AX37" s="38" t="s">
        <v>7</v>
      </c>
      <c r="AY37" s="39" t="s">
        <v>1170</v>
      </c>
      <c r="AZ37" s="40">
        <v>88.4</v>
      </c>
      <c r="BA37" s="40">
        <v>65</v>
      </c>
      <c r="BB37" s="40">
        <v>79.040000000000006</v>
      </c>
      <c r="BC37" s="40" t="s">
        <v>460</v>
      </c>
      <c r="BD37" s="39" t="s">
        <v>475</v>
      </c>
      <c r="BG37" s="81" t="s">
        <v>2542</v>
      </c>
      <c r="BH37" s="38" t="s">
        <v>1171</v>
      </c>
      <c r="BI37" s="39" t="s">
        <v>1172</v>
      </c>
      <c r="BJ37" t="s">
        <v>2018</v>
      </c>
    </row>
    <row r="38" spans="1:62" ht="20.100000000000001" customHeight="1" x14ac:dyDescent="0.25">
      <c r="A38" s="4">
        <v>29</v>
      </c>
      <c r="B38" s="4" t="s">
        <v>2553</v>
      </c>
      <c r="C38" s="38" t="s">
        <v>1174</v>
      </c>
      <c r="D38" s="39" t="s">
        <v>1175</v>
      </c>
      <c r="E38" s="7" t="s">
        <v>7</v>
      </c>
      <c r="F38" s="8"/>
      <c r="G38" s="8"/>
      <c r="H38" s="8"/>
      <c r="I38" s="8"/>
      <c r="J38" s="8"/>
      <c r="K38" s="8"/>
      <c r="L38" s="8"/>
      <c r="M38" s="8"/>
      <c r="N38" s="8"/>
      <c r="O38" s="8"/>
      <c r="P38" s="8"/>
      <c r="Q38" s="8"/>
      <c r="R38" s="8"/>
      <c r="S38" s="8"/>
      <c r="T38" s="8"/>
      <c r="U38" s="8"/>
      <c r="V38" s="8"/>
      <c r="W38" s="8"/>
      <c r="X38" s="8"/>
      <c r="Y38" s="8"/>
      <c r="Z38" s="8"/>
      <c r="AA38" s="8"/>
      <c r="AB38" s="8"/>
      <c r="AC38" s="8"/>
      <c r="AM38" t="str">
        <f>UPPER('X-8'!D34)</f>
        <v>OFELIA NUR AROFAH</v>
      </c>
      <c r="AV38" s="38" t="s">
        <v>1171</v>
      </c>
      <c r="AW38" s="39" t="s">
        <v>1172</v>
      </c>
      <c r="AX38" s="38" t="s">
        <v>6</v>
      </c>
      <c r="AY38" s="39" t="s">
        <v>528</v>
      </c>
      <c r="AZ38" s="40">
        <v>91.13</v>
      </c>
      <c r="BA38" s="40" t="s">
        <v>677</v>
      </c>
      <c r="BB38" s="40">
        <v>82.68</v>
      </c>
      <c r="BC38" s="40" t="s">
        <v>459</v>
      </c>
      <c r="BD38" s="39" t="s">
        <v>1173</v>
      </c>
      <c r="BG38" s="81" t="s">
        <v>2553</v>
      </c>
      <c r="BH38" s="38" t="s">
        <v>1174</v>
      </c>
      <c r="BI38" s="39" t="s">
        <v>1175</v>
      </c>
      <c r="BJ38" t="s">
        <v>2019</v>
      </c>
    </row>
    <row r="39" spans="1:62" ht="20.100000000000001" customHeight="1" x14ac:dyDescent="0.25">
      <c r="A39" s="4">
        <v>30</v>
      </c>
      <c r="B39" s="4" t="s">
        <v>2559</v>
      </c>
      <c r="C39" s="38" t="s">
        <v>1177</v>
      </c>
      <c r="D39" s="39" t="s">
        <v>1178</v>
      </c>
      <c r="E39" s="7" t="s">
        <v>6</v>
      </c>
      <c r="F39" s="8"/>
      <c r="G39" s="8"/>
      <c r="H39" s="8"/>
      <c r="I39" s="8"/>
      <c r="J39" s="8"/>
      <c r="K39" s="8"/>
      <c r="L39" s="8"/>
      <c r="M39" s="8"/>
      <c r="N39" s="8"/>
      <c r="O39" s="8"/>
      <c r="P39" s="8"/>
      <c r="Q39" s="8"/>
      <c r="R39" s="8"/>
      <c r="S39" s="8"/>
      <c r="T39" s="8"/>
      <c r="U39" s="8"/>
      <c r="V39" s="8"/>
      <c r="W39" s="8"/>
      <c r="X39" s="8"/>
      <c r="Y39" s="8"/>
      <c r="Z39" s="8"/>
      <c r="AA39" s="8"/>
      <c r="AB39" s="8"/>
      <c r="AC39" s="8"/>
      <c r="AM39" t="str">
        <f>UPPER('X-7'!D39)</f>
        <v>NURRIYAH BELQIS</v>
      </c>
      <c r="AV39" s="38" t="s">
        <v>1174</v>
      </c>
      <c r="AW39" s="39" t="s">
        <v>1175</v>
      </c>
      <c r="AX39" s="38" t="s">
        <v>7</v>
      </c>
      <c r="AY39" s="39" t="s">
        <v>1176</v>
      </c>
      <c r="AZ39" s="40">
        <v>88.17</v>
      </c>
      <c r="BA39" s="40">
        <v>60</v>
      </c>
      <c r="BB39" s="40">
        <v>76.900000000000006</v>
      </c>
      <c r="BC39" s="40" t="s">
        <v>460</v>
      </c>
      <c r="BD39" s="39" t="s">
        <v>475</v>
      </c>
      <c r="BG39" s="81" t="s">
        <v>2559</v>
      </c>
      <c r="BH39" s="38" t="s">
        <v>1177</v>
      </c>
      <c r="BI39" s="39" t="s">
        <v>1178</v>
      </c>
      <c r="BJ39" t="s">
        <v>2020</v>
      </c>
    </row>
    <row r="40" spans="1:62" ht="20.100000000000001" customHeight="1" x14ac:dyDescent="0.25">
      <c r="A40" s="4">
        <v>31</v>
      </c>
      <c r="B40" s="4" t="s">
        <v>2567</v>
      </c>
      <c r="C40" s="38" t="s">
        <v>1182</v>
      </c>
      <c r="D40" s="39" t="s">
        <v>1183</v>
      </c>
      <c r="E40" s="7" t="s">
        <v>7</v>
      </c>
      <c r="F40" s="8"/>
      <c r="G40" s="8"/>
      <c r="H40" s="8"/>
      <c r="I40" s="8"/>
      <c r="J40" s="8"/>
      <c r="K40" s="8"/>
      <c r="L40" s="8"/>
      <c r="M40" s="8"/>
      <c r="N40" s="8"/>
      <c r="O40" s="8"/>
      <c r="P40" s="8"/>
      <c r="Q40" s="8"/>
      <c r="R40" s="8"/>
      <c r="S40" s="8"/>
      <c r="T40" s="8"/>
      <c r="U40" s="8"/>
      <c r="V40" s="8"/>
      <c r="W40" s="8"/>
      <c r="X40" s="8"/>
      <c r="Y40" s="8"/>
      <c r="Z40" s="8"/>
      <c r="AA40" s="8"/>
      <c r="AB40" s="8"/>
      <c r="AC40" s="8"/>
      <c r="AM40" t="str">
        <f>UPPER('X-7'!D40)</f>
        <v>RIFA NAYSHA QONITA MUSTOFA</v>
      </c>
      <c r="AV40" s="38" t="s">
        <v>1177</v>
      </c>
      <c r="AW40" s="39" t="s">
        <v>1178</v>
      </c>
      <c r="AX40" s="38" t="s">
        <v>6</v>
      </c>
      <c r="AY40" s="39" t="s">
        <v>557</v>
      </c>
      <c r="AZ40" s="40" t="s">
        <v>1179</v>
      </c>
      <c r="BA40" s="40" t="s">
        <v>548</v>
      </c>
      <c r="BB40" s="40" t="s">
        <v>1180</v>
      </c>
      <c r="BC40" s="40" t="s">
        <v>459</v>
      </c>
      <c r="BD40" s="39" t="s">
        <v>1181</v>
      </c>
      <c r="BG40" s="81" t="s">
        <v>2567</v>
      </c>
      <c r="BH40" s="38" t="s">
        <v>1182</v>
      </c>
      <c r="BI40" s="39" t="s">
        <v>1183</v>
      </c>
      <c r="BJ40" t="s">
        <v>2021</v>
      </c>
    </row>
    <row r="41" spans="1:62" ht="20.100000000000001" customHeight="1" x14ac:dyDescent="0.25">
      <c r="A41" s="4">
        <v>32</v>
      </c>
      <c r="B41" s="4" t="s">
        <v>2569</v>
      </c>
      <c r="C41" s="38" t="s">
        <v>1185</v>
      </c>
      <c r="D41" s="39" t="s">
        <v>1186</v>
      </c>
      <c r="E41" s="7" t="s">
        <v>6</v>
      </c>
      <c r="F41" s="8"/>
      <c r="G41" s="8"/>
      <c r="H41" s="8"/>
      <c r="I41" s="8"/>
      <c r="J41" s="8"/>
      <c r="K41" s="8"/>
      <c r="L41" s="8"/>
      <c r="M41" s="8"/>
      <c r="N41" s="8"/>
      <c r="O41" s="8"/>
      <c r="P41" s="8"/>
      <c r="Q41" s="8"/>
      <c r="R41" s="8"/>
      <c r="S41" s="8"/>
      <c r="T41" s="8"/>
      <c r="U41" s="8"/>
      <c r="V41" s="8"/>
      <c r="W41" s="8"/>
      <c r="X41" s="8"/>
      <c r="Y41" s="8"/>
      <c r="Z41" s="8"/>
      <c r="AA41" s="8"/>
      <c r="AB41" s="8"/>
      <c r="AC41" s="8"/>
      <c r="AM41" t="str">
        <f>UPPER('X-7'!D41)</f>
        <v>RIVALINA MULYASARI</v>
      </c>
      <c r="AV41" s="38" t="s">
        <v>1182</v>
      </c>
      <c r="AW41" s="39" t="s">
        <v>1183</v>
      </c>
      <c r="AX41" s="38" t="s">
        <v>7</v>
      </c>
      <c r="AY41" s="39" t="s">
        <v>1184</v>
      </c>
      <c r="AZ41" s="40">
        <v>93.83</v>
      </c>
      <c r="BA41" s="40">
        <v>53.34</v>
      </c>
      <c r="BB41" s="40">
        <v>77.63</v>
      </c>
      <c r="BC41" s="40" t="s">
        <v>460</v>
      </c>
      <c r="BD41" s="39" t="s">
        <v>485</v>
      </c>
      <c r="BG41" s="81" t="s">
        <v>2569</v>
      </c>
      <c r="BH41" s="38" t="s">
        <v>1185</v>
      </c>
      <c r="BI41" s="39" t="s">
        <v>1186</v>
      </c>
      <c r="BJ41" t="s">
        <v>2022</v>
      </c>
    </row>
    <row r="42" spans="1:62" ht="20.100000000000001" customHeight="1" x14ac:dyDescent="0.25">
      <c r="A42" s="4">
        <v>33</v>
      </c>
      <c r="B42" s="4" t="s">
        <v>2576</v>
      </c>
      <c r="C42" s="38" t="s">
        <v>1189</v>
      </c>
      <c r="D42" s="39" t="s">
        <v>1190</v>
      </c>
      <c r="E42" s="7" t="s">
        <v>7</v>
      </c>
      <c r="F42" s="8"/>
      <c r="G42" s="8"/>
      <c r="H42" s="8"/>
      <c r="I42" s="8"/>
      <c r="J42" s="8"/>
      <c r="K42" s="8"/>
      <c r="L42" s="8"/>
      <c r="M42" s="8"/>
      <c r="N42" s="8"/>
      <c r="O42" s="8"/>
      <c r="P42" s="8"/>
      <c r="Q42" s="8"/>
      <c r="R42" s="8"/>
      <c r="S42" s="8"/>
      <c r="T42" s="8"/>
      <c r="U42" s="8"/>
      <c r="V42" s="8"/>
      <c r="W42" s="8"/>
      <c r="X42" s="8"/>
      <c r="Y42" s="8"/>
      <c r="Z42" s="8"/>
      <c r="AA42" s="8"/>
      <c r="AB42" s="8"/>
      <c r="AC42" s="8"/>
      <c r="AM42" t="str">
        <f>UPPER('X-7'!D42)</f>
        <v>SAHIRA AMIRA SUBHANI</v>
      </c>
      <c r="AV42" s="38" t="s">
        <v>1185</v>
      </c>
      <c r="AW42" s="39" t="s">
        <v>1186</v>
      </c>
      <c r="AX42" s="38" t="s">
        <v>6</v>
      </c>
      <c r="AY42" s="39" t="s">
        <v>1187</v>
      </c>
      <c r="AZ42" s="40" t="s">
        <v>1188</v>
      </c>
      <c r="BA42" s="40" t="s">
        <v>475</v>
      </c>
      <c r="BB42" s="40" t="s">
        <v>475</v>
      </c>
      <c r="BC42" s="40" t="s">
        <v>460</v>
      </c>
      <c r="BD42" s="39" t="s">
        <v>475</v>
      </c>
      <c r="BG42" s="81" t="s">
        <v>2576</v>
      </c>
      <c r="BH42" s="38" t="s">
        <v>1189</v>
      </c>
      <c r="BI42" s="39" t="s">
        <v>1190</v>
      </c>
      <c r="BJ42" t="s">
        <v>2023</v>
      </c>
    </row>
    <row r="43" spans="1:62" ht="20.100000000000001" customHeight="1" x14ac:dyDescent="0.25">
      <c r="A43" s="4">
        <v>34</v>
      </c>
      <c r="B43" s="4" t="s">
        <v>2586</v>
      </c>
      <c r="C43" s="38" t="s">
        <v>1191</v>
      </c>
      <c r="D43" s="39" t="s">
        <v>1192</v>
      </c>
      <c r="E43" s="7" t="s">
        <v>7</v>
      </c>
      <c r="F43" s="8"/>
      <c r="G43" s="8"/>
      <c r="H43" s="8"/>
      <c r="I43" s="8"/>
      <c r="J43" s="8"/>
      <c r="K43" s="8"/>
      <c r="L43" s="8"/>
      <c r="M43" s="8"/>
      <c r="N43" s="8"/>
      <c r="O43" s="8"/>
      <c r="P43" s="8"/>
      <c r="Q43" s="8"/>
      <c r="R43" s="8"/>
      <c r="S43" s="8"/>
      <c r="T43" s="8"/>
      <c r="U43" s="8"/>
      <c r="V43" s="8"/>
      <c r="W43" s="8"/>
      <c r="X43" s="8"/>
      <c r="Y43" s="8"/>
      <c r="Z43" s="8"/>
      <c r="AA43" s="8"/>
      <c r="AB43" s="8"/>
      <c r="AC43" s="8"/>
      <c r="AM43" t="str">
        <f>UPPER('X-8'!D43)</f>
        <v>WITRANA GALIH TARMIDI NUR</v>
      </c>
      <c r="AV43" s="38" t="s">
        <v>1189</v>
      </c>
      <c r="AW43" s="39" t="s">
        <v>1190</v>
      </c>
      <c r="AX43" s="38" t="s">
        <v>7</v>
      </c>
      <c r="AY43" s="39" t="s">
        <v>484</v>
      </c>
      <c r="AZ43" s="40">
        <v>85.34</v>
      </c>
      <c r="BA43" s="40">
        <v>68.34</v>
      </c>
      <c r="BB43" s="40">
        <v>78.540000000000006</v>
      </c>
      <c r="BC43" s="40" t="s">
        <v>460</v>
      </c>
      <c r="BD43" s="39" t="s">
        <v>475</v>
      </c>
      <c r="BG43" s="81" t="s">
        <v>2586</v>
      </c>
      <c r="BH43" s="38" t="s">
        <v>1191</v>
      </c>
      <c r="BI43" s="39" t="s">
        <v>1192</v>
      </c>
      <c r="BJ43" t="s">
        <v>2024</v>
      </c>
    </row>
    <row r="44" spans="1:62" ht="20.100000000000001" customHeight="1" x14ac:dyDescent="0.25">
      <c r="A44" s="4">
        <v>35</v>
      </c>
      <c r="B44" s="4" t="s">
        <v>2595</v>
      </c>
      <c r="C44" s="38" t="s">
        <v>1195</v>
      </c>
      <c r="D44" s="39" t="s">
        <v>1196</v>
      </c>
      <c r="E44" s="7" t="s">
        <v>6</v>
      </c>
      <c r="F44" s="8"/>
      <c r="G44" s="8"/>
      <c r="H44" s="8"/>
      <c r="I44" s="8"/>
      <c r="J44" s="8"/>
      <c r="K44" s="8"/>
      <c r="L44" s="8"/>
      <c r="M44" s="8"/>
      <c r="N44" s="8"/>
      <c r="O44" s="8"/>
      <c r="P44" s="8"/>
      <c r="Q44" s="8"/>
      <c r="R44" s="8"/>
      <c r="S44" s="8"/>
      <c r="T44" s="8"/>
      <c r="U44" s="8"/>
      <c r="V44" s="8"/>
      <c r="W44" s="8"/>
      <c r="X44" s="8"/>
      <c r="Y44" s="8"/>
      <c r="Z44" s="8"/>
      <c r="AA44" s="8"/>
      <c r="AB44" s="8"/>
      <c r="AC44" s="8"/>
      <c r="AM44" t="str">
        <f>UPPER('X-7'!D44)</f>
        <v>VIKA NOVIYANTI ARIEF</v>
      </c>
      <c r="AV44" s="38" t="s">
        <v>1191</v>
      </c>
      <c r="AW44" s="39" t="s">
        <v>1192</v>
      </c>
      <c r="AX44" s="38" t="s">
        <v>7</v>
      </c>
      <c r="AY44" s="39" t="s">
        <v>603</v>
      </c>
      <c r="AZ44" s="40" t="s">
        <v>1193</v>
      </c>
      <c r="BA44" s="40" t="s">
        <v>512</v>
      </c>
      <c r="BB44" s="40" t="s">
        <v>1194</v>
      </c>
      <c r="BC44" s="40" t="s">
        <v>460</v>
      </c>
      <c r="BD44" s="39" t="s">
        <v>648</v>
      </c>
      <c r="BG44" s="81" t="s">
        <v>2595</v>
      </c>
      <c r="BH44" s="38" t="s">
        <v>1195</v>
      </c>
      <c r="BI44" s="39" t="s">
        <v>1196</v>
      </c>
      <c r="BJ44" t="s">
        <v>2025</v>
      </c>
    </row>
    <row r="45" spans="1:62" ht="20.100000000000001" customHeight="1" x14ac:dyDescent="0.25">
      <c r="A45" s="4">
        <v>36</v>
      </c>
      <c r="B45" s="4"/>
      <c r="E45" s="8"/>
      <c r="F45" s="8"/>
      <c r="G45" s="8"/>
      <c r="H45" s="8"/>
      <c r="I45" s="8"/>
      <c r="J45" s="8"/>
      <c r="K45" s="8"/>
      <c r="L45" s="8"/>
      <c r="M45" s="8"/>
      <c r="N45" s="8"/>
      <c r="O45" s="8"/>
      <c r="P45" s="8"/>
      <c r="Q45" s="8"/>
      <c r="R45" s="8"/>
      <c r="S45" s="8"/>
      <c r="T45" s="8"/>
      <c r="U45" s="8"/>
      <c r="V45" s="8"/>
      <c r="W45" s="8"/>
      <c r="X45" s="8"/>
      <c r="Y45" s="8"/>
      <c r="Z45" s="8"/>
      <c r="AA45" s="8"/>
      <c r="AB45" s="8"/>
      <c r="AC45" s="8"/>
      <c r="AM45" t="str">
        <f>UPPER('X-7'!D45)</f>
        <v>YANUAR WISHNU PRATAMA</v>
      </c>
      <c r="AV45" s="38" t="s">
        <v>1195</v>
      </c>
      <c r="AW45" s="39" t="s">
        <v>1196</v>
      </c>
      <c r="AX45" s="38" t="s">
        <v>6</v>
      </c>
      <c r="AY45" s="39" t="s">
        <v>1197</v>
      </c>
      <c r="AZ45" s="40" t="s">
        <v>683</v>
      </c>
      <c r="BA45" s="40" t="s">
        <v>480</v>
      </c>
      <c r="BB45" s="40" t="s">
        <v>1198</v>
      </c>
      <c r="BC45" s="40" t="s">
        <v>460</v>
      </c>
      <c r="BD45" s="39" t="s">
        <v>485</v>
      </c>
    </row>
    <row r="46" spans="1:62" x14ac:dyDescent="0.25">
      <c r="A46" s="58" t="s">
        <v>8</v>
      </c>
      <c r="B46" s="58"/>
      <c r="C46" s="58"/>
      <c r="D46" s="10" t="s">
        <v>9</v>
      </c>
      <c r="E46" s="8">
        <f>COUNTIFS($E$10:$E$44,"L")</f>
        <v>14</v>
      </c>
      <c r="F46" s="8"/>
      <c r="G46" s="8"/>
      <c r="H46" s="8"/>
      <c r="I46" s="8"/>
      <c r="J46" s="8"/>
      <c r="K46" s="8"/>
      <c r="L46" s="8"/>
      <c r="M46" s="8"/>
      <c r="N46" s="8"/>
      <c r="O46" s="8"/>
      <c r="P46" s="8"/>
      <c r="Q46" s="8"/>
      <c r="R46" s="8"/>
      <c r="S46" s="8"/>
      <c r="T46" s="8"/>
      <c r="U46" s="8"/>
      <c r="V46" s="8"/>
      <c r="W46" s="8"/>
      <c r="X46" s="8"/>
      <c r="Y46" s="8"/>
      <c r="Z46" s="8"/>
      <c r="AA46" s="8"/>
      <c r="AB46" s="8"/>
      <c r="AC46" s="8"/>
      <c r="AM46" t="str">
        <f>UPPER('X-7'!D46)</f>
        <v>L :</v>
      </c>
    </row>
    <row r="47" spans="1:62" x14ac:dyDescent="0.25">
      <c r="A47" s="58" t="s">
        <v>10</v>
      </c>
      <c r="B47" s="58"/>
      <c r="C47" s="58"/>
      <c r="D47" s="10" t="s">
        <v>11</v>
      </c>
      <c r="E47" s="8">
        <f>COUNTIFS($E$10:$E$44,"P")</f>
        <v>21</v>
      </c>
      <c r="F47" s="8"/>
      <c r="G47" s="8"/>
      <c r="H47" s="8"/>
      <c r="I47" s="8"/>
      <c r="J47" s="8"/>
      <c r="K47" s="8"/>
      <c r="L47" s="8"/>
      <c r="M47" s="8"/>
      <c r="N47" s="8"/>
      <c r="O47" s="8"/>
      <c r="P47" s="8"/>
      <c r="Q47" s="8"/>
      <c r="R47" s="8"/>
      <c r="S47" s="8"/>
      <c r="T47" s="8"/>
      <c r="U47" s="8"/>
      <c r="V47" s="8"/>
      <c r="W47" s="8"/>
      <c r="X47" s="8"/>
      <c r="Y47" s="8"/>
      <c r="Z47" s="8"/>
      <c r="AA47" s="8"/>
      <c r="AB47" s="8"/>
      <c r="AC47" s="8"/>
      <c r="AM47" t="str">
        <f>UPPER('X-7'!D47)</f>
        <v>P :</v>
      </c>
    </row>
    <row r="48" spans="1:62" x14ac:dyDescent="0.25">
      <c r="A48" s="1"/>
      <c r="B48" s="1"/>
      <c r="C48" s="2"/>
      <c r="E48">
        <f>E46+E47</f>
        <v>35</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AX10:AX28 AX30:AX34 AX36:AX42">
    <cfRule type="colorScale" priority="5">
      <colorScale>
        <cfvo type="min"/>
        <cfvo type="max"/>
        <color rgb="FFFCFCFF"/>
        <color rgb="FF63BE7B"/>
      </colorScale>
    </cfRule>
    <cfRule type="duplicateValues" dxfId="81" priority="6"/>
  </conditionalFormatting>
  <conditionalFormatting sqref="AX29">
    <cfRule type="colorScale" priority="7">
      <colorScale>
        <cfvo type="min"/>
        <cfvo type="max"/>
        <color rgb="FFFCFCFF"/>
        <color rgb="FF63BE7B"/>
      </colorScale>
    </cfRule>
    <cfRule type="duplicateValues" dxfId="80" priority="8"/>
  </conditionalFormatting>
  <conditionalFormatting sqref="AX35">
    <cfRule type="colorScale" priority="1">
      <colorScale>
        <cfvo type="min"/>
        <cfvo type="max"/>
        <color rgb="FFFCFCFF"/>
        <color rgb="FF63BE7B"/>
      </colorScale>
    </cfRule>
    <cfRule type="duplicateValues" dxfId="79" priority="2"/>
  </conditionalFormatting>
  <conditionalFormatting sqref="AX43:AX45">
    <cfRule type="colorScale" priority="3">
      <colorScale>
        <cfvo type="min"/>
        <cfvo type="max"/>
        <color rgb="FFFCFCFF"/>
        <color rgb="FF63BE7B"/>
      </colorScale>
    </cfRule>
    <cfRule type="duplicateValues" dxfId="78" priority="4"/>
  </conditionalFormatting>
  <pageMargins left="0.55118110236220474" right="0" top="0.39370078740157483" bottom="0.74803149606299213" header="0.31496062992125984" footer="0.31496062992125984"/>
  <pageSetup paperSize="5" scale="80"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48"/>
  <sheetViews>
    <sheetView topLeftCell="A34" workbookViewId="0">
      <selection activeCell="B10" sqref="B10:B45"/>
    </sheetView>
  </sheetViews>
  <sheetFormatPr defaultColWidth="3.28515625" defaultRowHeight="15" x14ac:dyDescent="0.25"/>
  <cols>
    <col min="1" max="1" width="4.5703125" bestFit="1" customWidth="1"/>
    <col min="2" max="2" width="6" customWidth="1"/>
    <col min="3" max="3" width="11" bestFit="1" customWidth="1"/>
    <col min="4" max="4" width="31.42578125" customWidth="1"/>
    <col min="5" max="5" width="3.7109375" bestFit="1" customWidth="1"/>
    <col min="6" max="29" width="2.7109375" customWidth="1"/>
    <col min="32" max="32" width="0" hidden="1" customWidth="1"/>
    <col min="33" max="33" width="9.28515625" hidden="1" customWidth="1"/>
    <col min="34" max="34" width="9" hidden="1" customWidth="1"/>
    <col min="35" max="35" width="35.5703125" hidden="1" customWidth="1"/>
    <col min="36" max="44" width="0" hidden="1" customWidth="1"/>
    <col min="45" max="45" width="13.7109375" customWidth="1"/>
    <col min="46" max="46" width="11.28515625" customWidth="1"/>
    <col min="47" max="47" width="29.5703125" customWidth="1"/>
    <col min="56" max="56" width="6.5703125" customWidth="1"/>
    <col min="57" max="57" width="10.7109375" customWidth="1"/>
    <col min="58" max="58" width="9.140625" customWidth="1"/>
  </cols>
  <sheetData>
    <row r="1" spans="1:59"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F1" s="18" t="s">
        <v>237</v>
      </c>
      <c r="AG1" t="s">
        <v>185</v>
      </c>
      <c r="AH1">
        <v>20527197</v>
      </c>
      <c r="AI1" t="s">
        <v>186</v>
      </c>
      <c r="AJ1" t="s">
        <v>6</v>
      </c>
    </row>
    <row r="2" spans="1:59"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F2" s="18" t="s">
        <v>237</v>
      </c>
      <c r="AG2" t="s">
        <v>216</v>
      </c>
      <c r="AH2">
        <v>20529909</v>
      </c>
      <c r="AI2" t="s">
        <v>217</v>
      </c>
      <c r="AJ2" t="s">
        <v>7</v>
      </c>
    </row>
    <row r="3" spans="1:59"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F3" s="18" t="s">
        <v>237</v>
      </c>
      <c r="AG3" t="s">
        <v>193</v>
      </c>
      <c r="AH3">
        <v>20527197</v>
      </c>
      <c r="AI3" t="s">
        <v>194</v>
      </c>
      <c r="AJ3" t="s">
        <v>7</v>
      </c>
    </row>
    <row r="4" spans="1:59"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F4" s="15" t="s">
        <v>456</v>
      </c>
      <c r="AG4" t="s">
        <v>401</v>
      </c>
      <c r="AH4">
        <v>20527180</v>
      </c>
      <c r="AI4" t="s">
        <v>402</v>
      </c>
      <c r="AJ4" t="s">
        <v>6</v>
      </c>
    </row>
    <row r="5" spans="1:59" x14ac:dyDescent="0.25">
      <c r="A5" s="1"/>
      <c r="B5" s="1"/>
      <c r="C5" s="2"/>
      <c r="P5" s="11"/>
      <c r="AF5" s="13" t="s">
        <v>40</v>
      </c>
      <c r="AG5" t="s">
        <v>26</v>
      </c>
      <c r="AH5">
        <v>20527166</v>
      </c>
      <c r="AI5" t="s">
        <v>27</v>
      </c>
      <c r="AJ5" t="s">
        <v>6</v>
      </c>
    </row>
    <row r="6" spans="1:59" ht="3.75" customHeight="1" x14ac:dyDescent="0.25">
      <c r="A6" s="1"/>
      <c r="B6" s="1"/>
      <c r="C6" s="2"/>
      <c r="AF6" s="15" t="s">
        <v>456</v>
      </c>
      <c r="AG6" t="s">
        <v>452</v>
      </c>
      <c r="AH6">
        <v>20566545</v>
      </c>
      <c r="AI6" t="s">
        <v>453</v>
      </c>
      <c r="AJ6" t="s">
        <v>7</v>
      </c>
    </row>
    <row r="7" spans="1:59" x14ac:dyDescent="0.25">
      <c r="A7" s="52" t="s">
        <v>0</v>
      </c>
      <c r="B7" s="53" t="s">
        <v>467</v>
      </c>
      <c r="C7" s="69" t="s">
        <v>1</v>
      </c>
      <c r="D7" s="52" t="s">
        <v>2</v>
      </c>
      <c r="E7" s="54" t="s">
        <v>3</v>
      </c>
      <c r="F7" s="55" t="s">
        <v>4</v>
      </c>
      <c r="G7" s="56"/>
      <c r="H7" s="57"/>
      <c r="I7" s="59" t="s">
        <v>1859</v>
      </c>
      <c r="J7" s="60"/>
      <c r="K7" s="60"/>
      <c r="L7" s="60"/>
      <c r="M7" s="60"/>
      <c r="N7" s="60"/>
      <c r="O7" s="60"/>
      <c r="P7" s="60"/>
      <c r="Q7" s="60"/>
      <c r="R7" s="60"/>
      <c r="S7" s="61"/>
      <c r="T7" s="58" t="s">
        <v>5</v>
      </c>
      <c r="U7" s="58"/>
      <c r="V7" s="70" t="s">
        <v>1860</v>
      </c>
      <c r="W7" s="71"/>
      <c r="X7" s="71"/>
      <c r="Y7" s="71"/>
      <c r="Z7" s="71"/>
      <c r="AA7" s="71"/>
      <c r="AB7" s="71"/>
      <c r="AC7" s="71"/>
      <c r="AF7" s="18" t="s">
        <v>237</v>
      </c>
      <c r="AG7" t="s">
        <v>205</v>
      </c>
      <c r="AH7">
        <v>20500505</v>
      </c>
      <c r="AI7" t="s">
        <v>206</v>
      </c>
      <c r="AJ7" t="s">
        <v>6</v>
      </c>
    </row>
    <row r="8" spans="1:59" x14ac:dyDescent="0.25">
      <c r="A8" s="52"/>
      <c r="B8" s="53"/>
      <c r="C8" s="69"/>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F8" s="18" t="s">
        <v>237</v>
      </c>
      <c r="AG8" t="s">
        <v>170</v>
      </c>
      <c r="AH8">
        <v>20527197</v>
      </c>
      <c r="AI8" t="s">
        <v>171</v>
      </c>
      <c r="AJ8" t="s">
        <v>6</v>
      </c>
    </row>
    <row r="9" spans="1:59" x14ac:dyDescent="0.25">
      <c r="A9" s="52"/>
      <c r="B9" s="53"/>
      <c r="C9" s="69"/>
      <c r="D9" s="52"/>
      <c r="E9" s="54"/>
      <c r="F9" s="3"/>
      <c r="G9" s="3"/>
      <c r="H9" s="3"/>
      <c r="I9" s="3"/>
      <c r="J9" s="3"/>
      <c r="K9" s="3"/>
      <c r="L9" s="3"/>
      <c r="M9" s="3"/>
      <c r="N9" s="3"/>
      <c r="O9" s="3"/>
      <c r="P9" s="3"/>
      <c r="Q9" s="3"/>
      <c r="R9" s="3"/>
      <c r="S9" s="3"/>
      <c r="T9" s="3"/>
      <c r="U9" s="3"/>
      <c r="V9" s="3"/>
      <c r="W9" s="3"/>
      <c r="X9" s="3"/>
      <c r="Y9" s="3"/>
      <c r="Z9" s="3"/>
      <c r="AA9" s="3"/>
      <c r="AB9" s="3"/>
      <c r="AC9" s="3"/>
      <c r="AF9" s="15" t="s">
        <v>456</v>
      </c>
      <c r="AG9" t="s">
        <v>421</v>
      </c>
      <c r="AH9">
        <v>20566545</v>
      </c>
      <c r="AI9" t="s">
        <v>422</v>
      </c>
      <c r="AJ9" t="s">
        <v>6</v>
      </c>
    </row>
    <row r="10" spans="1:59" ht="20.100000000000001" customHeight="1" x14ac:dyDescent="0.25">
      <c r="A10" s="4">
        <v>1</v>
      </c>
      <c r="B10" s="4" t="s">
        <v>2242</v>
      </c>
      <c r="C10" s="38" t="s">
        <v>1199</v>
      </c>
      <c r="D10" s="39" t="s">
        <v>1200</v>
      </c>
      <c r="E10" s="7" t="s">
        <v>6</v>
      </c>
      <c r="F10" s="8"/>
      <c r="G10" s="8"/>
      <c r="H10" s="8"/>
      <c r="I10" s="8"/>
      <c r="J10" s="8"/>
      <c r="K10" s="8"/>
      <c r="L10" s="8"/>
      <c r="M10" s="8"/>
      <c r="N10" s="8"/>
      <c r="O10" s="8"/>
      <c r="P10" s="8"/>
      <c r="Q10" s="8"/>
      <c r="R10" s="8"/>
      <c r="S10" s="8"/>
      <c r="T10" s="8"/>
      <c r="U10" s="8"/>
      <c r="V10" s="8"/>
      <c r="W10" s="8"/>
      <c r="X10" s="8"/>
      <c r="Y10" s="8"/>
      <c r="Z10" s="8"/>
      <c r="AA10" s="8"/>
      <c r="AB10" s="8"/>
      <c r="AC10" s="8"/>
      <c r="AF10" s="15" t="s">
        <v>456</v>
      </c>
      <c r="AG10" t="s">
        <v>290</v>
      </c>
      <c r="AH10">
        <v>20527180</v>
      </c>
      <c r="AI10" t="s">
        <v>291</v>
      </c>
      <c r="AJ10" t="s">
        <v>7</v>
      </c>
      <c r="AL10" t="str">
        <f>UPPER(D10)</f>
        <v>ADILAH ALTHAFUNNISA</v>
      </c>
      <c r="AS10" s="38" t="s">
        <v>1199</v>
      </c>
      <c r="AT10" s="39" t="s">
        <v>1200</v>
      </c>
      <c r="AU10" s="38" t="s">
        <v>6</v>
      </c>
      <c r="AV10" s="39" t="s">
        <v>902</v>
      </c>
      <c r="AW10" s="40" t="s">
        <v>1201</v>
      </c>
      <c r="AX10" s="40" t="s">
        <v>561</v>
      </c>
      <c r="AY10" s="40" t="s">
        <v>1202</v>
      </c>
      <c r="AZ10" s="40" t="s">
        <v>461</v>
      </c>
      <c r="BA10" s="39" t="s">
        <v>475</v>
      </c>
      <c r="BD10" s="81" t="s">
        <v>2242</v>
      </c>
      <c r="BE10" s="38" t="s">
        <v>1199</v>
      </c>
      <c r="BF10" s="39" t="s">
        <v>1200</v>
      </c>
      <c r="BG10" t="s">
        <v>1986</v>
      </c>
    </row>
    <row r="11" spans="1:59" ht="20.100000000000001" customHeight="1" x14ac:dyDescent="0.25">
      <c r="A11" s="4">
        <v>2</v>
      </c>
      <c r="B11" s="4" t="s">
        <v>2249</v>
      </c>
      <c r="C11" s="38" t="s">
        <v>1203</v>
      </c>
      <c r="D11" s="39" t="s">
        <v>1204</v>
      </c>
      <c r="E11" s="7" t="s">
        <v>7</v>
      </c>
      <c r="F11" s="8"/>
      <c r="G11" s="8"/>
      <c r="H11" s="8"/>
      <c r="I11" s="8"/>
      <c r="J11" s="8"/>
      <c r="K11" s="8"/>
      <c r="L11" s="8"/>
      <c r="M11" s="8"/>
      <c r="N11" s="8"/>
      <c r="O11" s="8"/>
      <c r="P11" s="8"/>
      <c r="Q11" s="8"/>
      <c r="R11" s="8"/>
      <c r="S11" s="8"/>
      <c r="T11" s="8"/>
      <c r="U11" s="8"/>
      <c r="V11" s="8"/>
      <c r="W11" s="8"/>
      <c r="X11" s="8"/>
      <c r="Y11" s="8"/>
      <c r="Z11" s="8"/>
      <c r="AA11" s="8"/>
      <c r="AB11" s="8"/>
      <c r="AC11" s="8"/>
      <c r="AF11" s="17" t="s">
        <v>128</v>
      </c>
      <c r="AG11" t="s">
        <v>126</v>
      </c>
      <c r="AH11">
        <v>20527180</v>
      </c>
      <c r="AI11" t="s">
        <v>127</v>
      </c>
      <c r="AJ11" t="s">
        <v>7</v>
      </c>
      <c r="AL11" t="str">
        <f>UPPER(D11)</f>
        <v>AFZAAL HENDYA ATHA FADHILA</v>
      </c>
      <c r="AS11" s="38" t="s">
        <v>1203</v>
      </c>
      <c r="AT11" s="39" t="s">
        <v>1204</v>
      </c>
      <c r="AU11" s="38" t="s">
        <v>7</v>
      </c>
      <c r="AV11" s="39" t="s">
        <v>494</v>
      </c>
      <c r="AW11" s="40">
        <v>86.77</v>
      </c>
      <c r="AX11" s="40">
        <v>85</v>
      </c>
      <c r="AY11" s="40">
        <v>86.06</v>
      </c>
      <c r="AZ11" s="40" t="s">
        <v>461</v>
      </c>
      <c r="BA11" s="39" t="s">
        <v>1205</v>
      </c>
      <c r="BD11" s="81" t="s">
        <v>2249</v>
      </c>
      <c r="BE11" s="38" t="s">
        <v>1203</v>
      </c>
      <c r="BF11" s="39" t="s">
        <v>1204</v>
      </c>
      <c r="BG11" t="s">
        <v>2027</v>
      </c>
    </row>
    <row r="12" spans="1:59" ht="20.100000000000001" customHeight="1" x14ac:dyDescent="0.25">
      <c r="A12" s="4">
        <v>3</v>
      </c>
      <c r="B12" s="4" t="s">
        <v>2251</v>
      </c>
      <c r="C12" s="38" t="s">
        <v>1206</v>
      </c>
      <c r="D12" s="39" t="s">
        <v>1207</v>
      </c>
      <c r="E12" s="7" t="s">
        <v>6</v>
      </c>
      <c r="F12" s="8"/>
      <c r="G12" s="8"/>
      <c r="H12" s="8"/>
      <c r="I12" s="8"/>
      <c r="J12" s="8"/>
      <c r="K12" s="8"/>
      <c r="L12" s="8"/>
      <c r="M12" s="8"/>
      <c r="N12" s="8"/>
      <c r="O12" s="8"/>
      <c r="P12" s="8"/>
      <c r="Q12" s="8"/>
      <c r="R12" s="8"/>
      <c r="S12" s="8"/>
      <c r="T12" s="8"/>
      <c r="U12" s="8"/>
      <c r="V12" s="8"/>
      <c r="W12" s="8"/>
      <c r="X12" s="8"/>
      <c r="Y12" s="8"/>
      <c r="Z12" s="8"/>
      <c r="AA12" s="8"/>
      <c r="AB12" s="8"/>
      <c r="AC12" s="8"/>
      <c r="AF12" s="15" t="s">
        <v>456</v>
      </c>
      <c r="AG12" t="s">
        <v>389</v>
      </c>
      <c r="AH12">
        <v>20527197</v>
      </c>
      <c r="AI12" t="s">
        <v>390</v>
      </c>
      <c r="AJ12" t="s">
        <v>7</v>
      </c>
      <c r="AL12" t="str">
        <f>UPPER(D12)</f>
        <v>AGYTA KHANSA NAURA</v>
      </c>
      <c r="AS12" s="38" t="s">
        <v>1206</v>
      </c>
      <c r="AT12" s="39" t="s">
        <v>1207</v>
      </c>
      <c r="AU12" s="38" t="s">
        <v>6</v>
      </c>
      <c r="AV12" s="39" t="s">
        <v>478</v>
      </c>
      <c r="AW12" s="40">
        <v>89.43</v>
      </c>
      <c r="AX12" s="40">
        <v>71.67</v>
      </c>
      <c r="AY12" s="40">
        <v>82.33</v>
      </c>
      <c r="AZ12" s="40" t="s">
        <v>461</v>
      </c>
      <c r="BA12" s="39" t="s">
        <v>475</v>
      </c>
      <c r="BD12" s="81" t="s">
        <v>2251</v>
      </c>
      <c r="BE12" s="38" t="s">
        <v>1206</v>
      </c>
      <c r="BF12" s="39" t="s">
        <v>1207</v>
      </c>
      <c r="BG12" t="s">
        <v>2030</v>
      </c>
    </row>
    <row r="13" spans="1:59" ht="20.100000000000001" customHeight="1" x14ac:dyDescent="0.25">
      <c r="A13" s="4">
        <v>4</v>
      </c>
      <c r="B13" s="4" t="s">
        <v>2255</v>
      </c>
      <c r="C13" s="42" t="s">
        <v>1861</v>
      </c>
      <c r="D13" s="39" t="s">
        <v>1208</v>
      </c>
      <c r="E13" s="7" t="s">
        <v>6</v>
      </c>
      <c r="F13" s="8"/>
      <c r="G13" s="8"/>
      <c r="H13" s="8"/>
      <c r="I13" s="8"/>
      <c r="J13" s="8"/>
      <c r="K13" s="8"/>
      <c r="L13" s="8"/>
      <c r="M13" s="8"/>
      <c r="N13" s="8"/>
      <c r="O13" s="8"/>
      <c r="P13" s="8"/>
      <c r="Q13" s="8"/>
      <c r="R13" s="8"/>
      <c r="S13" s="8"/>
      <c r="T13" s="8"/>
      <c r="U13" s="8"/>
      <c r="V13" s="8"/>
      <c r="W13" s="8"/>
      <c r="X13" s="8"/>
      <c r="Y13" s="8"/>
      <c r="Z13" s="8"/>
      <c r="AA13" s="8"/>
      <c r="AB13" s="8"/>
      <c r="AC13" s="8"/>
      <c r="AF13" s="17" t="s">
        <v>128</v>
      </c>
      <c r="AG13" t="s">
        <v>115</v>
      </c>
      <c r="AH13">
        <v>20527197</v>
      </c>
      <c r="AI13" t="s">
        <v>116</v>
      </c>
      <c r="AJ13" t="s">
        <v>6</v>
      </c>
      <c r="AL13" t="e">
        <f>UPPER(#REF!)</f>
        <v>#REF!</v>
      </c>
      <c r="AS13" s="38">
        <v>117925402</v>
      </c>
      <c r="AT13" s="39" t="s">
        <v>1208</v>
      </c>
      <c r="AU13" s="38" t="s">
        <v>6</v>
      </c>
      <c r="AV13" s="39" t="s">
        <v>1209</v>
      </c>
      <c r="AW13" s="40">
        <v>90.6</v>
      </c>
      <c r="AX13" s="40">
        <v>70</v>
      </c>
      <c r="AY13" s="40">
        <v>80.150000000000006</v>
      </c>
      <c r="AZ13" s="40" t="s">
        <v>461</v>
      </c>
      <c r="BA13" s="39"/>
      <c r="BD13" s="81" t="s">
        <v>2255</v>
      </c>
      <c r="BE13" s="42" t="s">
        <v>1861</v>
      </c>
      <c r="BF13" s="39" t="s">
        <v>1208</v>
      </c>
      <c r="BG13" t="s">
        <v>2031</v>
      </c>
    </row>
    <row r="14" spans="1:59" ht="20.100000000000001" customHeight="1" x14ac:dyDescent="0.25">
      <c r="A14" s="4">
        <v>5</v>
      </c>
      <c r="B14" s="4" t="s">
        <v>2267</v>
      </c>
      <c r="C14" s="38" t="s">
        <v>1210</v>
      </c>
      <c r="D14" s="39" t="s">
        <v>1211</v>
      </c>
      <c r="E14" s="7" t="s">
        <v>7</v>
      </c>
      <c r="F14" s="8"/>
      <c r="G14" s="8"/>
      <c r="H14" s="8"/>
      <c r="I14" s="8"/>
      <c r="J14" s="8"/>
      <c r="K14" s="8"/>
      <c r="L14" s="8"/>
      <c r="M14" s="8"/>
      <c r="N14" s="8"/>
      <c r="O14" s="8"/>
      <c r="P14" s="8"/>
      <c r="Q14" s="8"/>
      <c r="R14" s="8"/>
      <c r="S14" s="8"/>
      <c r="T14" s="8"/>
      <c r="U14" s="8"/>
      <c r="V14" s="8"/>
      <c r="W14" s="8"/>
      <c r="X14" s="8"/>
      <c r="Y14" s="8"/>
      <c r="Z14" s="8"/>
      <c r="AA14" s="8"/>
      <c r="AB14" s="8"/>
      <c r="AC14" s="8"/>
      <c r="AF14" s="15" t="s">
        <v>456</v>
      </c>
      <c r="AG14" t="s">
        <v>329</v>
      </c>
      <c r="AH14">
        <v>20527180</v>
      </c>
      <c r="AI14" t="s">
        <v>330</v>
      </c>
      <c r="AJ14" t="s">
        <v>7</v>
      </c>
      <c r="AL14" t="str">
        <f t="shared" ref="AL14:AL45" si="0">UPPER(D14)</f>
        <v>ALVIAN AL GHAZALI</v>
      </c>
      <c r="AS14" s="38" t="s">
        <v>1210</v>
      </c>
      <c r="AT14" s="39" t="s">
        <v>1211</v>
      </c>
      <c r="AU14" s="38" t="s">
        <v>7</v>
      </c>
      <c r="AV14" s="39" t="s">
        <v>494</v>
      </c>
      <c r="AW14" s="40">
        <v>89.63</v>
      </c>
      <c r="AX14" s="40">
        <v>68.33</v>
      </c>
      <c r="AY14" s="40">
        <v>81.11</v>
      </c>
      <c r="AZ14" s="40" t="s">
        <v>461</v>
      </c>
      <c r="BA14" s="39" t="s">
        <v>1212</v>
      </c>
      <c r="BD14" s="81" t="s">
        <v>2267</v>
      </c>
      <c r="BE14" s="38" t="s">
        <v>1210</v>
      </c>
      <c r="BF14" s="39" t="s">
        <v>1211</v>
      </c>
      <c r="BG14" t="s">
        <v>2032</v>
      </c>
    </row>
    <row r="15" spans="1:59" ht="20.100000000000001" customHeight="1" x14ac:dyDescent="0.25">
      <c r="A15" s="4">
        <v>6</v>
      </c>
      <c r="B15" s="4" t="s">
        <v>2291</v>
      </c>
      <c r="C15" s="38" t="s">
        <v>1218</v>
      </c>
      <c r="D15" s="39" t="s">
        <v>1219</v>
      </c>
      <c r="E15" s="7" t="s">
        <v>6</v>
      </c>
      <c r="F15" s="8"/>
      <c r="G15" s="8"/>
      <c r="H15" s="8"/>
      <c r="I15" s="8"/>
      <c r="J15" s="8"/>
      <c r="K15" s="8"/>
      <c r="L15" s="8"/>
      <c r="M15" s="8"/>
      <c r="N15" s="8"/>
      <c r="O15" s="8"/>
      <c r="P15" s="8"/>
      <c r="Q15" s="8"/>
      <c r="R15" s="8"/>
      <c r="S15" s="8"/>
      <c r="T15" s="8"/>
      <c r="U15" s="8"/>
      <c r="V15" s="8"/>
      <c r="W15" s="8"/>
      <c r="X15" s="8"/>
      <c r="Y15" s="8"/>
      <c r="Z15" s="8"/>
      <c r="AA15" s="8"/>
      <c r="AB15" s="8"/>
      <c r="AC15" s="8"/>
      <c r="AF15" s="15" t="s">
        <v>456</v>
      </c>
      <c r="AG15" t="s">
        <v>305</v>
      </c>
      <c r="AH15">
        <v>20527197</v>
      </c>
      <c r="AI15" t="s">
        <v>306</v>
      </c>
      <c r="AJ15" t="s">
        <v>7</v>
      </c>
      <c r="AL15" t="str">
        <f>UPPER('X-9'!D16)</f>
        <v>ARKAN ABDURRAHMAN RITONGA</v>
      </c>
      <c r="AS15" s="38" t="s">
        <v>1213</v>
      </c>
      <c r="AT15" s="39" t="s">
        <v>1214</v>
      </c>
      <c r="AU15" s="38" t="s">
        <v>7</v>
      </c>
      <c r="AV15" s="39" t="s">
        <v>1215</v>
      </c>
      <c r="AW15" s="40" t="s">
        <v>1216</v>
      </c>
      <c r="AX15" s="40" t="s">
        <v>548</v>
      </c>
      <c r="AY15" s="40" t="s">
        <v>1217</v>
      </c>
      <c r="AZ15" s="40" t="s">
        <v>461</v>
      </c>
      <c r="BA15" s="39" t="s">
        <v>475</v>
      </c>
      <c r="BD15" s="81" t="s">
        <v>2291</v>
      </c>
      <c r="BE15" s="38" t="s">
        <v>1218</v>
      </c>
      <c r="BF15" s="39" t="s">
        <v>1219</v>
      </c>
      <c r="BG15" t="s">
        <v>2033</v>
      </c>
    </row>
    <row r="16" spans="1:59" ht="20.100000000000001" customHeight="1" x14ac:dyDescent="0.25">
      <c r="A16" s="4">
        <v>7</v>
      </c>
      <c r="B16" s="4" t="s">
        <v>2300</v>
      </c>
      <c r="C16" s="38" t="s">
        <v>1286</v>
      </c>
      <c r="D16" s="39" t="s">
        <v>1287</v>
      </c>
      <c r="E16" s="7" t="s">
        <v>7</v>
      </c>
      <c r="F16" s="8"/>
      <c r="G16" s="8"/>
      <c r="H16" s="8"/>
      <c r="I16" s="8"/>
      <c r="J16" s="8"/>
      <c r="K16" s="8"/>
      <c r="L16" s="8"/>
      <c r="M16" s="8"/>
      <c r="N16" s="8"/>
      <c r="O16" s="8"/>
      <c r="P16" s="8"/>
      <c r="Q16" s="8"/>
      <c r="R16" s="8"/>
      <c r="S16" s="8"/>
      <c r="T16" s="8"/>
      <c r="U16" s="8"/>
      <c r="V16" s="8"/>
      <c r="W16" s="8"/>
      <c r="X16" s="8"/>
      <c r="Y16" s="8"/>
      <c r="Z16" s="8"/>
      <c r="AA16" s="8"/>
      <c r="AB16" s="8"/>
      <c r="AC16" s="8"/>
      <c r="AF16" s="12" t="s">
        <v>49</v>
      </c>
      <c r="AG16" t="s">
        <v>45</v>
      </c>
      <c r="AH16">
        <v>20527180</v>
      </c>
      <c r="AI16" t="s">
        <v>46</v>
      </c>
      <c r="AJ16" t="s">
        <v>6</v>
      </c>
      <c r="AL16" t="str">
        <f>UPPER(D15)</f>
        <v>AURELIA MASHURATUL KAMILAH PURWADI</v>
      </c>
      <c r="AS16" s="38" t="s">
        <v>1218</v>
      </c>
      <c r="AT16" s="39" t="s">
        <v>1219</v>
      </c>
      <c r="AU16" s="38" t="s">
        <v>6</v>
      </c>
      <c r="AV16" s="39" t="s">
        <v>1220</v>
      </c>
      <c r="AW16" s="40">
        <v>77.959999999999994</v>
      </c>
      <c r="AX16" s="40">
        <v>50</v>
      </c>
      <c r="AY16" s="40">
        <v>66.78</v>
      </c>
      <c r="AZ16" s="40" t="s">
        <v>461</v>
      </c>
      <c r="BA16" s="39"/>
      <c r="BD16" s="81" t="s">
        <v>2300</v>
      </c>
      <c r="BE16" s="38" t="s">
        <v>1286</v>
      </c>
      <c r="BF16" s="39" t="s">
        <v>1287</v>
      </c>
      <c r="BG16" t="s">
        <v>2034</v>
      </c>
    </row>
    <row r="17" spans="1:59" ht="20.100000000000001" customHeight="1" x14ac:dyDescent="0.25">
      <c r="A17" s="4">
        <v>8</v>
      </c>
      <c r="B17" s="4" t="s">
        <v>2309</v>
      </c>
      <c r="C17" s="38" t="s">
        <v>1221</v>
      </c>
      <c r="D17" s="39" t="s">
        <v>1222</v>
      </c>
      <c r="E17" s="7" t="s">
        <v>6</v>
      </c>
      <c r="F17" s="8"/>
      <c r="G17" s="8"/>
      <c r="H17" s="8"/>
      <c r="I17" s="8"/>
      <c r="J17" s="8"/>
      <c r="K17" s="8"/>
      <c r="L17" s="8"/>
      <c r="M17" s="8"/>
      <c r="N17" s="8"/>
      <c r="O17" s="8"/>
      <c r="P17" s="8"/>
      <c r="Q17" s="8"/>
      <c r="R17" s="8"/>
      <c r="S17" s="8"/>
      <c r="T17" s="8"/>
      <c r="U17" s="8"/>
      <c r="V17" s="8"/>
      <c r="W17" s="8"/>
      <c r="X17" s="8"/>
      <c r="Y17" s="8"/>
      <c r="Z17" s="8"/>
      <c r="AA17" s="8"/>
      <c r="AB17" s="8"/>
      <c r="AC17" s="8"/>
      <c r="AF17" s="15" t="s">
        <v>456</v>
      </c>
      <c r="AG17" t="s">
        <v>371</v>
      </c>
      <c r="AH17">
        <v>20527197</v>
      </c>
      <c r="AI17" t="s">
        <v>372</v>
      </c>
      <c r="AJ17" t="s">
        <v>6</v>
      </c>
      <c r="AL17" t="str">
        <f t="shared" si="0"/>
        <v>BILQIS AZKAYRA MUMTAZ</v>
      </c>
      <c r="AS17" s="38" t="s">
        <v>1221</v>
      </c>
      <c r="AT17" s="39" t="s">
        <v>1222</v>
      </c>
      <c r="AU17" s="38" t="s">
        <v>6</v>
      </c>
      <c r="AV17" s="39" t="s">
        <v>1223</v>
      </c>
      <c r="AW17" s="40" t="s">
        <v>1224</v>
      </c>
      <c r="AX17" s="40" t="s">
        <v>537</v>
      </c>
      <c r="AY17" s="40" t="s">
        <v>1225</v>
      </c>
      <c r="AZ17" s="40" t="s">
        <v>461</v>
      </c>
      <c r="BA17" s="39" t="s">
        <v>1226</v>
      </c>
      <c r="BD17" s="81" t="s">
        <v>2309</v>
      </c>
      <c r="BE17" s="38" t="s">
        <v>1221</v>
      </c>
      <c r="BF17" s="39" t="s">
        <v>1222</v>
      </c>
      <c r="BG17" t="s">
        <v>2035</v>
      </c>
    </row>
    <row r="18" spans="1:59" ht="20.100000000000001" customHeight="1" x14ac:dyDescent="0.25">
      <c r="A18" s="4">
        <v>9</v>
      </c>
      <c r="B18" s="4" t="s">
        <v>2315</v>
      </c>
      <c r="C18" s="38" t="s">
        <v>1227</v>
      </c>
      <c r="D18" s="39" t="s">
        <v>1228</v>
      </c>
      <c r="E18" s="7" t="s">
        <v>7</v>
      </c>
      <c r="F18" s="8"/>
      <c r="G18" s="8"/>
      <c r="H18" s="8"/>
      <c r="I18" s="8"/>
      <c r="J18" s="8"/>
      <c r="K18" s="8"/>
      <c r="L18" s="8"/>
      <c r="M18" s="8"/>
      <c r="N18" s="8"/>
      <c r="O18" s="8"/>
      <c r="P18" s="8"/>
      <c r="Q18" s="8"/>
      <c r="R18" s="8"/>
      <c r="S18" s="8"/>
      <c r="T18" s="8"/>
      <c r="U18" s="8"/>
      <c r="V18" s="8"/>
      <c r="W18" s="8"/>
      <c r="X18" s="8"/>
      <c r="Y18" s="8"/>
      <c r="Z18" s="8"/>
      <c r="AA18" s="8"/>
      <c r="AB18" s="8"/>
      <c r="AC18" s="8"/>
      <c r="AF18" s="18" t="s">
        <v>237</v>
      </c>
      <c r="AG18" t="s">
        <v>167</v>
      </c>
      <c r="AH18">
        <v>20527197</v>
      </c>
      <c r="AI18" t="s">
        <v>168</v>
      </c>
      <c r="AJ18" t="s">
        <v>7</v>
      </c>
      <c r="AL18" t="str">
        <f t="shared" si="0"/>
        <v>CHRISTOPHER MATTHEW PRAYITNO</v>
      </c>
      <c r="AS18" s="38" t="s">
        <v>1227</v>
      </c>
      <c r="AT18" s="39" t="s">
        <v>1228</v>
      </c>
      <c r="AU18" s="38" t="s">
        <v>7</v>
      </c>
      <c r="AV18" s="39" t="s">
        <v>494</v>
      </c>
      <c r="AW18" s="40" t="s">
        <v>671</v>
      </c>
      <c r="AX18" s="40" t="s">
        <v>741</v>
      </c>
      <c r="AY18" s="40" t="s">
        <v>1229</v>
      </c>
      <c r="AZ18" s="40" t="s">
        <v>461</v>
      </c>
      <c r="BA18" s="39" t="s">
        <v>475</v>
      </c>
      <c r="BD18" s="81" t="s">
        <v>2315</v>
      </c>
      <c r="BE18" s="38" t="s">
        <v>1227</v>
      </c>
      <c r="BF18" s="39" t="s">
        <v>1228</v>
      </c>
      <c r="BG18" t="s">
        <v>2036</v>
      </c>
    </row>
    <row r="19" spans="1:59" ht="20.100000000000001" customHeight="1" x14ac:dyDescent="0.25">
      <c r="A19" s="4">
        <v>10</v>
      </c>
      <c r="B19" s="4" t="s">
        <v>2323</v>
      </c>
      <c r="C19" s="38" t="s">
        <v>1230</v>
      </c>
      <c r="D19" s="39" t="s">
        <v>1231</v>
      </c>
      <c r="E19" s="7" t="s">
        <v>6</v>
      </c>
      <c r="F19" s="8"/>
      <c r="G19" s="8"/>
      <c r="H19" s="8"/>
      <c r="I19" s="8"/>
      <c r="J19" s="8"/>
      <c r="K19" s="8"/>
      <c r="L19" s="8"/>
      <c r="M19" s="8"/>
      <c r="N19" s="8"/>
      <c r="O19" s="8"/>
      <c r="P19" s="8"/>
      <c r="Q19" s="8"/>
      <c r="R19" s="8"/>
      <c r="S19" s="8"/>
      <c r="T19" s="8"/>
      <c r="U19" s="8"/>
      <c r="V19" s="8"/>
      <c r="W19" s="8"/>
      <c r="X19" s="8"/>
      <c r="Y19" s="8"/>
      <c r="Z19" s="8"/>
      <c r="AA19" s="8"/>
      <c r="AB19" s="8"/>
      <c r="AC19" s="8"/>
      <c r="AF19" s="18" t="s">
        <v>237</v>
      </c>
      <c r="AG19" t="s">
        <v>145</v>
      </c>
      <c r="AH19">
        <v>20583367</v>
      </c>
      <c r="AI19" t="s">
        <v>146</v>
      </c>
      <c r="AJ19" t="s">
        <v>6</v>
      </c>
      <c r="AL19" t="str">
        <f t="shared" si="0"/>
        <v>DELTA UNZILA LISFADILAH</v>
      </c>
      <c r="AS19" s="38" t="s">
        <v>1230</v>
      </c>
      <c r="AT19" s="39" t="s">
        <v>1231</v>
      </c>
      <c r="AU19" s="38" t="s">
        <v>6</v>
      </c>
      <c r="AV19" s="39" t="s">
        <v>542</v>
      </c>
      <c r="AW19" s="40">
        <v>95.51</v>
      </c>
      <c r="AX19" s="40">
        <v>93.33</v>
      </c>
      <c r="AY19" s="40">
        <v>94.64</v>
      </c>
      <c r="AZ19" s="40" t="s">
        <v>461</v>
      </c>
      <c r="BA19" s="39" t="s">
        <v>1232</v>
      </c>
      <c r="BD19" s="81" t="s">
        <v>2323</v>
      </c>
      <c r="BE19" s="38" t="s">
        <v>1230</v>
      </c>
      <c r="BF19" s="39" t="s">
        <v>1231</v>
      </c>
      <c r="BG19" t="s">
        <v>2037</v>
      </c>
    </row>
    <row r="20" spans="1:59" ht="20.100000000000001" customHeight="1" x14ac:dyDescent="0.25">
      <c r="A20" s="4">
        <v>11</v>
      </c>
      <c r="B20" s="4" t="s">
        <v>2332</v>
      </c>
      <c r="C20" s="38" t="s">
        <v>1233</v>
      </c>
      <c r="D20" s="39" t="s">
        <v>1234</v>
      </c>
      <c r="E20" s="7" t="s">
        <v>6</v>
      </c>
      <c r="F20" s="8"/>
      <c r="G20" s="8"/>
      <c r="H20" s="8"/>
      <c r="I20" s="8"/>
      <c r="J20" s="8"/>
      <c r="K20" s="8"/>
      <c r="L20" s="8"/>
      <c r="M20" s="8"/>
      <c r="N20" s="8"/>
      <c r="O20" s="8"/>
      <c r="P20" s="8"/>
      <c r="Q20" s="8"/>
      <c r="R20" s="8"/>
      <c r="S20" s="8"/>
      <c r="T20" s="8"/>
      <c r="U20" s="8"/>
      <c r="V20" s="8"/>
      <c r="W20" s="8"/>
      <c r="X20" s="8"/>
      <c r="Y20" s="8"/>
      <c r="Z20" s="8"/>
      <c r="AA20" s="8"/>
      <c r="AB20" s="8"/>
      <c r="AC20" s="8"/>
      <c r="AF20" s="15" t="s">
        <v>456</v>
      </c>
      <c r="AG20" t="s">
        <v>341</v>
      </c>
      <c r="AH20">
        <v>20583410</v>
      </c>
      <c r="AI20" t="s">
        <v>342</v>
      </c>
      <c r="AJ20" t="s">
        <v>6</v>
      </c>
      <c r="AL20" t="str">
        <f t="shared" si="0"/>
        <v>ERSYAFIA KHANSA NUR YULIANA SALIM</v>
      </c>
      <c r="AS20" s="38" t="s">
        <v>1233</v>
      </c>
      <c r="AT20" s="39" t="s">
        <v>1234</v>
      </c>
      <c r="AU20" s="38" t="s">
        <v>6</v>
      </c>
      <c r="AV20" s="39" t="s">
        <v>597</v>
      </c>
      <c r="AW20" s="40" t="s">
        <v>846</v>
      </c>
      <c r="AX20" s="40" t="s">
        <v>599</v>
      </c>
      <c r="AY20" s="40" t="s">
        <v>1235</v>
      </c>
      <c r="AZ20" s="40" t="s">
        <v>461</v>
      </c>
      <c r="BA20" s="39" t="s">
        <v>485</v>
      </c>
      <c r="BD20" s="81" t="s">
        <v>2332</v>
      </c>
      <c r="BE20" s="38" t="s">
        <v>1233</v>
      </c>
      <c r="BF20" s="39" t="s">
        <v>1234</v>
      </c>
      <c r="BG20" t="s">
        <v>2026</v>
      </c>
    </row>
    <row r="21" spans="1:59" ht="20.100000000000001" customHeight="1" x14ac:dyDescent="0.25">
      <c r="A21" s="4">
        <v>12</v>
      </c>
      <c r="B21" s="4" t="s">
        <v>2340</v>
      </c>
      <c r="C21" s="38" t="s">
        <v>1236</v>
      </c>
      <c r="D21" s="39" t="s">
        <v>1237</v>
      </c>
      <c r="E21" s="7" t="s">
        <v>6</v>
      </c>
      <c r="F21" s="8"/>
      <c r="G21" s="8"/>
      <c r="H21" s="8"/>
      <c r="I21" s="8"/>
      <c r="J21" s="8"/>
      <c r="K21" s="8"/>
      <c r="L21" s="8"/>
      <c r="M21" s="8"/>
      <c r="N21" s="8"/>
      <c r="O21" s="8"/>
      <c r="P21" s="8"/>
      <c r="Q21" s="8"/>
      <c r="R21" s="8"/>
      <c r="S21" s="8"/>
      <c r="T21" s="8"/>
      <c r="U21" s="8"/>
      <c r="V21" s="8"/>
      <c r="W21" s="8"/>
      <c r="X21" s="8"/>
      <c r="Y21" s="8"/>
      <c r="Z21" s="8"/>
      <c r="AA21" s="8"/>
      <c r="AB21" s="8"/>
      <c r="AC21" s="8"/>
      <c r="AF21" s="14" t="s">
        <v>93</v>
      </c>
      <c r="AG21" t="s">
        <v>67</v>
      </c>
      <c r="AH21">
        <v>20583367</v>
      </c>
      <c r="AI21" t="s">
        <v>68</v>
      </c>
      <c r="AJ21" t="s">
        <v>6</v>
      </c>
      <c r="AL21" t="str">
        <f t="shared" si="0"/>
        <v>FAIZAH AMIRA BATRISYIA</v>
      </c>
      <c r="AS21" s="38" t="s">
        <v>1236</v>
      </c>
      <c r="AT21" s="39" t="s">
        <v>1237</v>
      </c>
      <c r="AU21" s="38" t="s">
        <v>6</v>
      </c>
      <c r="AV21" s="39" t="s">
        <v>546</v>
      </c>
      <c r="AW21" s="40">
        <v>86.94</v>
      </c>
      <c r="AX21" s="40">
        <v>61.67</v>
      </c>
      <c r="AY21" s="40">
        <v>76.83</v>
      </c>
      <c r="AZ21" s="40" t="s">
        <v>461</v>
      </c>
      <c r="BA21" s="39" t="s">
        <v>475</v>
      </c>
      <c r="BD21" s="81" t="s">
        <v>2340</v>
      </c>
      <c r="BE21" s="38" t="s">
        <v>1236</v>
      </c>
      <c r="BF21" s="39" t="s">
        <v>1237</v>
      </c>
      <c r="BG21" t="s">
        <v>2038</v>
      </c>
    </row>
    <row r="22" spans="1:59" ht="20.100000000000001" customHeight="1" x14ac:dyDescent="0.25">
      <c r="A22" s="4">
        <v>13</v>
      </c>
      <c r="B22" s="4" t="s">
        <v>2349</v>
      </c>
      <c r="C22" s="48" t="s">
        <v>1238</v>
      </c>
      <c r="D22" s="39" t="s">
        <v>1239</v>
      </c>
      <c r="E22" s="7" t="s">
        <v>6</v>
      </c>
      <c r="F22" s="8"/>
      <c r="G22" s="8"/>
      <c r="H22" s="8"/>
      <c r="I22" s="8"/>
      <c r="J22" s="8"/>
      <c r="K22" s="8"/>
      <c r="L22" s="8"/>
      <c r="M22" s="8"/>
      <c r="N22" s="8"/>
      <c r="O22" s="8"/>
      <c r="P22" s="8"/>
      <c r="Q22" s="8"/>
      <c r="R22" s="8"/>
      <c r="S22" s="8"/>
      <c r="T22" s="8"/>
      <c r="U22" s="8"/>
      <c r="V22" s="8"/>
      <c r="W22" s="8"/>
      <c r="X22" s="8"/>
      <c r="Y22" s="8"/>
      <c r="Z22" s="8"/>
      <c r="AA22" s="8"/>
      <c r="AB22" s="8"/>
      <c r="AC22" s="8"/>
      <c r="AF22" s="15" t="s">
        <v>456</v>
      </c>
      <c r="AG22" t="s">
        <v>448</v>
      </c>
      <c r="AH22">
        <v>20527197</v>
      </c>
      <c r="AI22" t="s">
        <v>449</v>
      </c>
      <c r="AJ22" t="s">
        <v>6</v>
      </c>
      <c r="AL22" t="str">
        <f t="shared" si="0"/>
        <v>FEBRI AGUSTI MAULIDIYA</v>
      </c>
      <c r="AS22" s="48" t="s">
        <v>1238</v>
      </c>
      <c r="AT22" s="39" t="s">
        <v>1239</v>
      </c>
      <c r="AU22" s="38" t="s">
        <v>6</v>
      </c>
      <c r="AV22" s="39" t="s">
        <v>1240</v>
      </c>
      <c r="AW22" s="40" t="s">
        <v>1241</v>
      </c>
      <c r="AX22" s="40">
        <v>85</v>
      </c>
      <c r="AY22" s="40" t="s">
        <v>1242</v>
      </c>
      <c r="AZ22" s="40" t="s">
        <v>461</v>
      </c>
      <c r="BA22" s="39" t="s">
        <v>475</v>
      </c>
      <c r="BD22" s="81" t="s">
        <v>2349</v>
      </c>
      <c r="BE22" s="48" t="s">
        <v>1238</v>
      </c>
      <c r="BF22" s="39" t="s">
        <v>1239</v>
      </c>
      <c r="BG22" t="s">
        <v>2039</v>
      </c>
    </row>
    <row r="23" spans="1:59" ht="20.100000000000001" customHeight="1" x14ac:dyDescent="0.25">
      <c r="A23" s="4">
        <v>14</v>
      </c>
      <c r="B23" s="4" t="s">
        <v>2384</v>
      </c>
      <c r="C23" s="38" t="s">
        <v>1249</v>
      </c>
      <c r="D23" s="39" t="s">
        <v>1250</v>
      </c>
      <c r="E23" s="7" t="s">
        <v>7</v>
      </c>
      <c r="F23" s="8"/>
      <c r="G23" s="8"/>
      <c r="H23" s="8"/>
      <c r="I23" s="8"/>
      <c r="J23" s="8"/>
      <c r="K23" s="8"/>
      <c r="L23" s="8"/>
      <c r="M23" s="8"/>
      <c r="N23" s="8"/>
      <c r="O23" s="8"/>
      <c r="P23" s="8"/>
      <c r="Q23" s="8"/>
      <c r="R23" s="8"/>
      <c r="S23" s="8"/>
      <c r="T23" s="8"/>
      <c r="U23" s="8"/>
      <c r="V23" s="8"/>
      <c r="W23" s="8"/>
      <c r="X23" s="8"/>
      <c r="Y23" s="8"/>
      <c r="Z23" s="8"/>
      <c r="AA23" s="8"/>
      <c r="AB23" s="8"/>
      <c r="AC23" s="8"/>
      <c r="AF23" s="14" t="s">
        <v>93</v>
      </c>
      <c r="AG23" t="s">
        <v>71</v>
      </c>
      <c r="AH23">
        <v>20527180</v>
      </c>
      <c r="AI23" t="s">
        <v>72</v>
      </c>
      <c r="AJ23" t="s">
        <v>7</v>
      </c>
      <c r="AL23" t="str">
        <f>UPPER('X-8'!D22)</f>
        <v>FIFIN</v>
      </c>
      <c r="AS23" s="38" t="s">
        <v>1243</v>
      </c>
      <c r="AT23" s="39" t="s">
        <v>1244</v>
      </c>
      <c r="AU23" s="38" t="s">
        <v>6</v>
      </c>
      <c r="AV23" s="39" t="s">
        <v>1245</v>
      </c>
      <c r="AW23" s="40" t="s">
        <v>1246</v>
      </c>
      <c r="AX23" s="40" t="s">
        <v>480</v>
      </c>
      <c r="AY23" s="40" t="s">
        <v>1247</v>
      </c>
      <c r="AZ23" s="40" t="s">
        <v>461</v>
      </c>
      <c r="BA23" s="39" t="s">
        <v>1248</v>
      </c>
      <c r="BD23" s="81" t="s">
        <v>2384</v>
      </c>
      <c r="BE23" s="38" t="s">
        <v>1249</v>
      </c>
      <c r="BF23" s="39" t="s">
        <v>1250</v>
      </c>
      <c r="BG23" t="s">
        <v>2040</v>
      </c>
    </row>
    <row r="24" spans="1:59" ht="20.100000000000001" customHeight="1" x14ac:dyDescent="0.25">
      <c r="A24" s="4">
        <v>15</v>
      </c>
      <c r="B24" s="4" t="s">
        <v>2386</v>
      </c>
      <c r="C24" s="38" t="s">
        <v>1254</v>
      </c>
      <c r="D24" s="39" t="s">
        <v>1255</v>
      </c>
      <c r="E24" s="7" t="s">
        <v>7</v>
      </c>
      <c r="F24" s="8"/>
      <c r="G24" s="8"/>
      <c r="H24" s="8"/>
      <c r="I24" s="8"/>
      <c r="J24" s="8"/>
      <c r="K24" s="8"/>
      <c r="L24" s="8"/>
      <c r="M24" s="8"/>
      <c r="N24" s="8"/>
      <c r="O24" s="8"/>
      <c r="P24" s="8"/>
      <c r="Q24" s="8"/>
      <c r="R24" s="8"/>
      <c r="S24" s="8"/>
      <c r="T24" s="8"/>
      <c r="U24" s="8"/>
      <c r="V24" s="8"/>
      <c r="W24" s="8"/>
      <c r="X24" s="8"/>
      <c r="Y24" s="8"/>
      <c r="Z24" s="8"/>
      <c r="AA24" s="8"/>
      <c r="AB24" s="8"/>
      <c r="AC24" s="8"/>
      <c r="AF24" s="15" t="s">
        <v>456</v>
      </c>
      <c r="AG24" t="s">
        <v>353</v>
      </c>
      <c r="AH24">
        <v>20527180</v>
      </c>
      <c r="AI24" t="s">
        <v>354</v>
      </c>
      <c r="AJ24" t="s">
        <v>7</v>
      </c>
      <c r="AL24" t="str">
        <f t="shared" ref="AL24:AL32" si="1">UPPER(D23)</f>
        <v>IZZAH MAHA PUTRA EARLY</v>
      </c>
      <c r="AS24" s="38" t="s">
        <v>1249</v>
      </c>
      <c r="AT24" s="39" t="s">
        <v>1250</v>
      </c>
      <c r="AU24" s="38" t="s">
        <v>7</v>
      </c>
      <c r="AV24" s="39" t="s">
        <v>484</v>
      </c>
      <c r="AW24" s="40" t="s">
        <v>1251</v>
      </c>
      <c r="AX24" s="40" t="s">
        <v>548</v>
      </c>
      <c r="AY24" s="40" t="s">
        <v>1252</v>
      </c>
      <c r="AZ24" s="40" t="s">
        <v>461</v>
      </c>
      <c r="BA24" s="39" t="s">
        <v>1253</v>
      </c>
      <c r="BD24" s="81" t="s">
        <v>2386</v>
      </c>
      <c r="BE24" s="38" t="s">
        <v>1254</v>
      </c>
      <c r="BF24" s="39" t="s">
        <v>1255</v>
      </c>
      <c r="BG24" t="s">
        <v>2041</v>
      </c>
    </row>
    <row r="25" spans="1:59" ht="20.100000000000001" customHeight="1" x14ac:dyDescent="0.25">
      <c r="A25" s="4">
        <v>16</v>
      </c>
      <c r="B25" s="4" t="s">
        <v>2395</v>
      </c>
      <c r="C25" s="38" t="s">
        <v>1258</v>
      </c>
      <c r="D25" s="39" t="s">
        <v>1259</v>
      </c>
      <c r="E25" s="7" t="s">
        <v>6</v>
      </c>
      <c r="F25" s="8"/>
      <c r="G25" s="8"/>
      <c r="H25" s="8"/>
      <c r="I25" s="8"/>
      <c r="J25" s="8"/>
      <c r="K25" s="8"/>
      <c r="L25" s="8"/>
      <c r="M25" s="8"/>
      <c r="N25" s="8"/>
      <c r="O25" s="8"/>
      <c r="P25" s="8"/>
      <c r="Q25" s="8"/>
      <c r="R25" s="8"/>
      <c r="S25" s="8"/>
      <c r="T25" s="8"/>
      <c r="U25" s="8"/>
      <c r="V25" s="8"/>
      <c r="W25" s="8"/>
      <c r="X25" s="8"/>
      <c r="Y25" s="8"/>
      <c r="Z25" s="8"/>
      <c r="AA25" s="8"/>
      <c r="AB25" s="8"/>
      <c r="AC25" s="8"/>
      <c r="AF25" s="17" t="s">
        <v>128</v>
      </c>
      <c r="AG25" t="s">
        <v>103</v>
      </c>
      <c r="AH25">
        <v>20527193</v>
      </c>
      <c r="AI25" t="s">
        <v>104</v>
      </c>
      <c r="AJ25" t="s">
        <v>7</v>
      </c>
      <c r="AL25" t="str">
        <f t="shared" si="1"/>
        <v>JABRAN MUBAROK</v>
      </c>
      <c r="AS25" s="38" t="s">
        <v>1254</v>
      </c>
      <c r="AT25" s="39" t="s">
        <v>1255</v>
      </c>
      <c r="AU25" s="38" t="s">
        <v>7</v>
      </c>
      <c r="AV25" s="39" t="s">
        <v>1256</v>
      </c>
      <c r="AW25" s="40">
        <v>83</v>
      </c>
      <c r="AX25" s="40">
        <v>61</v>
      </c>
      <c r="AY25" s="40" t="s">
        <v>1257</v>
      </c>
      <c r="AZ25" s="40" t="s">
        <v>461</v>
      </c>
      <c r="BA25" s="39" t="s">
        <v>475</v>
      </c>
      <c r="BD25" s="81" t="s">
        <v>2395</v>
      </c>
      <c r="BE25" s="38" t="s">
        <v>1258</v>
      </c>
      <c r="BF25" s="39" t="s">
        <v>1259</v>
      </c>
      <c r="BG25" t="s">
        <v>2042</v>
      </c>
    </row>
    <row r="26" spans="1:59" ht="20.100000000000001" customHeight="1" x14ac:dyDescent="0.25">
      <c r="A26" s="4">
        <v>17</v>
      </c>
      <c r="B26" s="4" t="s">
        <v>2403</v>
      </c>
      <c r="C26" s="38" t="s">
        <v>1262</v>
      </c>
      <c r="D26" s="39" t="s">
        <v>1263</v>
      </c>
      <c r="E26" s="7" t="s">
        <v>6</v>
      </c>
      <c r="F26" s="8"/>
      <c r="G26" s="8"/>
      <c r="H26" s="8"/>
      <c r="I26" s="8"/>
      <c r="J26" s="8"/>
      <c r="K26" s="8"/>
      <c r="L26" s="8"/>
      <c r="M26" s="8"/>
      <c r="N26" s="8"/>
      <c r="O26" s="8"/>
      <c r="P26" s="8"/>
      <c r="Q26" s="8"/>
      <c r="R26" s="8"/>
      <c r="S26" s="8"/>
      <c r="T26" s="8"/>
      <c r="U26" s="8"/>
      <c r="V26" s="8"/>
      <c r="W26" s="8"/>
      <c r="X26" s="8"/>
      <c r="Y26" s="8"/>
      <c r="Z26" s="8"/>
      <c r="AA26" s="8"/>
      <c r="AB26" s="8"/>
      <c r="AC26" s="8"/>
      <c r="AF26" s="15" t="s">
        <v>456</v>
      </c>
      <c r="AG26" t="s">
        <v>242</v>
      </c>
      <c r="AH26">
        <v>20527197</v>
      </c>
      <c r="AI26" t="s">
        <v>243</v>
      </c>
      <c r="AJ26" t="s">
        <v>7</v>
      </c>
      <c r="AL26" t="str">
        <f t="shared" si="1"/>
        <v>KAYSA WAHYU WIRATNA PUTRI</v>
      </c>
      <c r="AS26" s="38" t="s">
        <v>1258</v>
      </c>
      <c r="AT26" s="39" t="s">
        <v>1259</v>
      </c>
      <c r="AU26" s="38" t="s">
        <v>6</v>
      </c>
      <c r="AV26" s="39" t="s">
        <v>887</v>
      </c>
      <c r="AW26" s="40" t="s">
        <v>1260</v>
      </c>
      <c r="AX26" s="40" t="s">
        <v>473</v>
      </c>
      <c r="AY26" s="40" t="s">
        <v>1261</v>
      </c>
      <c r="AZ26" s="40" t="s">
        <v>461</v>
      </c>
      <c r="BA26" s="39" t="s">
        <v>475</v>
      </c>
      <c r="BD26" s="81" t="s">
        <v>2403</v>
      </c>
      <c r="BE26" s="38" t="s">
        <v>1262</v>
      </c>
      <c r="BF26" s="39" t="s">
        <v>1263</v>
      </c>
      <c r="BG26" t="s">
        <v>2043</v>
      </c>
    </row>
    <row r="27" spans="1:59" ht="20.100000000000001" customHeight="1" x14ac:dyDescent="0.25">
      <c r="A27" s="4">
        <v>18</v>
      </c>
      <c r="B27" s="4" t="s">
        <v>2411</v>
      </c>
      <c r="C27" s="38" t="s">
        <v>1266</v>
      </c>
      <c r="D27" s="39" t="s">
        <v>1267</v>
      </c>
      <c r="E27" s="7" t="s">
        <v>7</v>
      </c>
      <c r="F27" s="8"/>
      <c r="G27" s="8"/>
      <c r="H27" s="8"/>
      <c r="I27" s="8"/>
      <c r="J27" s="8"/>
      <c r="K27" s="8"/>
      <c r="L27" s="8"/>
      <c r="M27" s="8"/>
      <c r="N27" s="8"/>
      <c r="O27" s="8"/>
      <c r="P27" s="8"/>
      <c r="Q27" s="8"/>
      <c r="R27" s="8"/>
      <c r="S27" s="8"/>
      <c r="T27" s="8"/>
      <c r="U27" s="8"/>
      <c r="V27" s="8"/>
      <c r="W27" s="8"/>
      <c r="X27" s="8"/>
      <c r="Y27" s="8"/>
      <c r="Z27" s="8"/>
      <c r="AA27" s="8"/>
      <c r="AB27" s="8"/>
      <c r="AC27" s="8"/>
      <c r="AF27" s="15" t="s">
        <v>456</v>
      </c>
      <c r="AG27" t="s">
        <v>427</v>
      </c>
      <c r="AH27">
        <v>20527203</v>
      </c>
      <c r="AI27" t="s">
        <v>428</v>
      </c>
      <c r="AJ27" t="s">
        <v>7</v>
      </c>
      <c r="AL27" t="str">
        <f t="shared" si="1"/>
        <v>KURROTUL AINI</v>
      </c>
      <c r="AS27" s="38" t="s">
        <v>1262</v>
      </c>
      <c r="AT27" s="39" t="s">
        <v>1263</v>
      </c>
      <c r="AU27" s="38" t="s">
        <v>6</v>
      </c>
      <c r="AV27" s="39" t="s">
        <v>1264</v>
      </c>
      <c r="AW27" s="40">
        <v>86.17</v>
      </c>
      <c r="AX27" s="40">
        <v>68.34</v>
      </c>
      <c r="AY27" s="40">
        <v>79.040000000000006</v>
      </c>
      <c r="AZ27" s="40" t="s">
        <v>461</v>
      </c>
      <c r="BA27" s="39" t="s">
        <v>1265</v>
      </c>
      <c r="BD27" s="81" t="s">
        <v>2411</v>
      </c>
      <c r="BE27" s="38" t="s">
        <v>1266</v>
      </c>
      <c r="BF27" s="39" t="s">
        <v>1267</v>
      </c>
      <c r="BG27" t="s">
        <v>2044</v>
      </c>
    </row>
    <row r="28" spans="1:59" ht="20.100000000000001" customHeight="1" x14ac:dyDescent="0.25">
      <c r="A28" s="4">
        <v>19</v>
      </c>
      <c r="B28" s="4" t="s">
        <v>2414</v>
      </c>
      <c r="C28" s="38" t="s">
        <v>1269</v>
      </c>
      <c r="D28" s="39" t="s">
        <v>1270</v>
      </c>
      <c r="E28" s="7" t="s">
        <v>7</v>
      </c>
      <c r="F28" s="8"/>
      <c r="G28" s="8"/>
      <c r="H28" s="8"/>
      <c r="I28" s="8"/>
      <c r="J28" s="8"/>
      <c r="K28" s="8"/>
      <c r="L28" s="8"/>
      <c r="M28" s="8"/>
      <c r="N28" s="8"/>
      <c r="O28" s="8"/>
      <c r="P28" s="8"/>
      <c r="Q28" s="8"/>
      <c r="R28" s="8"/>
      <c r="S28" s="8"/>
      <c r="T28" s="8"/>
      <c r="U28" s="8"/>
      <c r="V28" s="8"/>
      <c r="W28" s="8"/>
      <c r="X28" s="8"/>
      <c r="Y28" s="8"/>
      <c r="Z28" s="8"/>
      <c r="AA28" s="8"/>
      <c r="AB28" s="8"/>
      <c r="AC28" s="8"/>
      <c r="AF28" s="15" t="s">
        <v>456</v>
      </c>
      <c r="AG28" t="s">
        <v>264</v>
      </c>
      <c r="AH28">
        <v>20527197</v>
      </c>
      <c r="AI28" t="s">
        <v>265</v>
      </c>
      <c r="AJ28" t="s">
        <v>6</v>
      </c>
      <c r="AL28" t="str">
        <f t="shared" si="1"/>
        <v>M ZAHWAN PUTRA PRATAMA</v>
      </c>
      <c r="AS28" s="38" t="s">
        <v>1266</v>
      </c>
      <c r="AT28" s="39" t="s">
        <v>1267</v>
      </c>
      <c r="AU28" s="38" t="s">
        <v>7</v>
      </c>
      <c r="AV28" s="39" t="s">
        <v>953</v>
      </c>
      <c r="AW28" s="40" t="s">
        <v>1202</v>
      </c>
      <c r="AX28" s="40">
        <v>38.340000000000003</v>
      </c>
      <c r="AY28" s="40" t="s">
        <v>1268</v>
      </c>
      <c r="AZ28" s="40" t="s">
        <v>461</v>
      </c>
      <c r="BA28" s="39" t="s">
        <v>475</v>
      </c>
      <c r="BD28" s="81" t="s">
        <v>2414</v>
      </c>
      <c r="BE28" s="38" t="s">
        <v>1269</v>
      </c>
      <c r="BF28" s="39" t="s">
        <v>1270</v>
      </c>
      <c r="BG28" t="s">
        <v>2045</v>
      </c>
    </row>
    <row r="29" spans="1:59" ht="20.100000000000001" customHeight="1" x14ac:dyDescent="0.25">
      <c r="A29" s="4">
        <v>20</v>
      </c>
      <c r="B29" s="4" t="s">
        <v>2435</v>
      </c>
      <c r="C29" s="38" t="s">
        <v>1273</v>
      </c>
      <c r="D29" s="39" t="s">
        <v>1274</v>
      </c>
      <c r="E29" s="7" t="s">
        <v>6</v>
      </c>
      <c r="F29" s="8"/>
      <c r="G29" s="8"/>
      <c r="H29" s="8"/>
      <c r="I29" s="8"/>
      <c r="J29" s="8"/>
      <c r="K29" s="8"/>
      <c r="L29" s="8"/>
      <c r="M29" s="8"/>
      <c r="N29" s="8"/>
      <c r="O29" s="8"/>
      <c r="P29" s="8"/>
      <c r="Q29" s="8"/>
      <c r="R29" s="8"/>
      <c r="S29" s="8"/>
      <c r="T29" s="8"/>
      <c r="U29" s="8"/>
      <c r="V29" s="8"/>
      <c r="W29" s="8"/>
      <c r="X29" s="8"/>
      <c r="Y29" s="8"/>
      <c r="Z29" s="8"/>
      <c r="AA29" s="8"/>
      <c r="AB29" s="8"/>
      <c r="AC29" s="8"/>
      <c r="AF29" s="18" t="s">
        <v>237</v>
      </c>
      <c r="AG29" t="s">
        <v>227</v>
      </c>
      <c r="AH29">
        <v>20527197</v>
      </c>
      <c r="AI29" t="s">
        <v>228</v>
      </c>
      <c r="AJ29" t="s">
        <v>6</v>
      </c>
      <c r="AL29" t="str">
        <f t="shared" si="1"/>
        <v>MAHESA PUTRA MAHENDRA</v>
      </c>
      <c r="AS29" s="38" t="s">
        <v>1269</v>
      </c>
      <c r="AT29" s="39" t="s">
        <v>1270</v>
      </c>
      <c r="AU29" s="38" t="s">
        <v>7</v>
      </c>
      <c r="AV29" s="39" t="s">
        <v>478</v>
      </c>
      <c r="AW29" s="40" t="s">
        <v>1083</v>
      </c>
      <c r="AX29" s="40" t="s">
        <v>1271</v>
      </c>
      <c r="AY29" s="40" t="s">
        <v>1272</v>
      </c>
      <c r="AZ29" s="40" t="s">
        <v>461</v>
      </c>
      <c r="BA29" s="39" t="s">
        <v>475</v>
      </c>
      <c r="BD29" s="81" t="s">
        <v>2435</v>
      </c>
      <c r="BE29" s="38" t="s">
        <v>1273</v>
      </c>
      <c r="BF29" s="39" t="s">
        <v>1274</v>
      </c>
      <c r="BG29" t="s">
        <v>2046</v>
      </c>
    </row>
    <row r="30" spans="1:59" ht="20.100000000000001" customHeight="1" x14ac:dyDescent="0.25">
      <c r="A30" s="4">
        <v>21</v>
      </c>
      <c r="B30" s="4" t="s">
        <v>2445</v>
      </c>
      <c r="C30" s="38" t="s">
        <v>1277</v>
      </c>
      <c r="D30" s="39" t="s">
        <v>1278</v>
      </c>
      <c r="E30" s="7" t="s">
        <v>7</v>
      </c>
      <c r="F30" s="8"/>
      <c r="G30" s="8"/>
      <c r="H30" s="8"/>
      <c r="I30" s="8"/>
      <c r="J30" s="8"/>
      <c r="K30" s="8"/>
      <c r="L30" s="8"/>
      <c r="M30" s="8"/>
      <c r="N30" s="8"/>
      <c r="O30" s="8"/>
      <c r="P30" s="8"/>
      <c r="Q30" s="8"/>
      <c r="R30" s="8"/>
      <c r="S30" s="8"/>
      <c r="T30" s="8"/>
      <c r="U30" s="8"/>
      <c r="V30" s="8"/>
      <c r="W30" s="8"/>
      <c r="X30" s="8"/>
      <c r="Y30" s="8"/>
      <c r="Z30" s="8"/>
      <c r="AA30" s="8"/>
      <c r="AB30" s="8"/>
      <c r="AC30" s="8"/>
      <c r="AF30" s="13" t="s">
        <v>40</v>
      </c>
      <c r="AG30" t="s">
        <v>38</v>
      </c>
      <c r="AH30">
        <v>20527197</v>
      </c>
      <c r="AI30" t="s">
        <v>39</v>
      </c>
      <c r="AJ30" t="s">
        <v>7</v>
      </c>
      <c r="AL30" t="str">
        <f t="shared" si="1"/>
        <v>MEYZA PUTRI AULIA</v>
      </c>
      <c r="AS30" s="38" t="s">
        <v>1273</v>
      </c>
      <c r="AT30" s="39" t="s">
        <v>1274</v>
      </c>
      <c r="AU30" s="38" t="s">
        <v>6</v>
      </c>
      <c r="AV30" s="39" t="s">
        <v>887</v>
      </c>
      <c r="AW30" s="40" t="s">
        <v>1275</v>
      </c>
      <c r="AX30" s="40" t="s">
        <v>697</v>
      </c>
      <c r="AY30" s="40" t="s">
        <v>1276</v>
      </c>
      <c r="AZ30" s="40" t="s">
        <v>461</v>
      </c>
      <c r="BA30" s="39" t="s">
        <v>475</v>
      </c>
      <c r="BD30" s="81" t="s">
        <v>2445</v>
      </c>
      <c r="BE30" s="38" t="s">
        <v>1277</v>
      </c>
      <c r="BF30" s="39" t="s">
        <v>1278</v>
      </c>
      <c r="BG30" t="s">
        <v>2047</v>
      </c>
    </row>
    <row r="31" spans="1:59" ht="20.100000000000001" customHeight="1" x14ac:dyDescent="0.25">
      <c r="A31" s="4">
        <v>22</v>
      </c>
      <c r="B31" s="4" t="s">
        <v>2459</v>
      </c>
      <c r="C31" s="38" t="s">
        <v>1282</v>
      </c>
      <c r="D31" s="39" t="s">
        <v>1283</v>
      </c>
      <c r="E31" s="7" t="s">
        <v>7</v>
      </c>
      <c r="F31" s="8"/>
      <c r="G31" s="8"/>
      <c r="H31" s="8"/>
      <c r="I31" s="8"/>
      <c r="J31" s="8"/>
      <c r="K31" s="8"/>
      <c r="L31" s="8"/>
      <c r="M31" s="8"/>
      <c r="N31" s="8"/>
      <c r="O31" s="8"/>
      <c r="P31" s="8"/>
      <c r="Q31" s="8"/>
      <c r="R31" s="8"/>
      <c r="S31" s="8"/>
      <c r="T31" s="8"/>
      <c r="U31" s="8"/>
      <c r="V31" s="8"/>
      <c r="W31" s="8"/>
      <c r="X31" s="8"/>
      <c r="Y31" s="8"/>
      <c r="Z31" s="8"/>
      <c r="AA31" s="8"/>
      <c r="AB31" s="8"/>
      <c r="AC31" s="8"/>
      <c r="AF31" s="15" t="s">
        <v>456</v>
      </c>
      <c r="AG31" t="s">
        <v>286</v>
      </c>
      <c r="AH31">
        <v>20527180</v>
      </c>
      <c r="AI31" t="s">
        <v>287</v>
      </c>
      <c r="AJ31" t="s">
        <v>6</v>
      </c>
      <c r="AL31" t="str">
        <f t="shared" si="1"/>
        <v>MOH JEFRI HIFDHON ASSAHI</v>
      </c>
      <c r="AS31" s="38" t="s">
        <v>1277</v>
      </c>
      <c r="AT31" s="39" t="s">
        <v>1278</v>
      </c>
      <c r="AU31" s="38" t="s">
        <v>7</v>
      </c>
      <c r="AV31" s="39" t="s">
        <v>1279</v>
      </c>
      <c r="AW31" s="40" t="s">
        <v>1280</v>
      </c>
      <c r="AX31" s="40" t="s">
        <v>735</v>
      </c>
      <c r="AY31" s="40" t="s">
        <v>1281</v>
      </c>
      <c r="AZ31" s="40" t="s">
        <v>461</v>
      </c>
      <c r="BA31" s="39" t="s">
        <v>475</v>
      </c>
      <c r="BD31" s="81" t="s">
        <v>2459</v>
      </c>
      <c r="BE31" s="38" t="s">
        <v>1282</v>
      </c>
      <c r="BF31" s="39" t="s">
        <v>1283</v>
      </c>
      <c r="BG31" t="s">
        <v>2048</v>
      </c>
    </row>
    <row r="32" spans="1:59" ht="20.100000000000001" customHeight="1" x14ac:dyDescent="0.25">
      <c r="A32" s="4">
        <v>23</v>
      </c>
      <c r="B32" s="4" t="s">
        <v>2467</v>
      </c>
      <c r="C32" s="38" t="s">
        <v>1290</v>
      </c>
      <c r="D32" s="39" t="s">
        <v>1291</v>
      </c>
      <c r="E32" s="7" t="s">
        <v>7</v>
      </c>
      <c r="F32" s="8"/>
      <c r="G32" s="8"/>
      <c r="H32" s="8"/>
      <c r="I32" s="8"/>
      <c r="J32" s="8"/>
      <c r="K32" s="8"/>
      <c r="L32" s="8"/>
      <c r="M32" s="8"/>
      <c r="N32" s="8"/>
      <c r="O32" s="8"/>
      <c r="P32" s="8"/>
      <c r="Q32" s="8"/>
      <c r="R32" s="8"/>
      <c r="S32" s="8"/>
      <c r="T32" s="8"/>
      <c r="U32" s="8"/>
      <c r="V32" s="8"/>
      <c r="W32" s="8"/>
      <c r="X32" s="8"/>
      <c r="Y32" s="8"/>
      <c r="Z32" s="8"/>
      <c r="AA32" s="8"/>
      <c r="AB32" s="8"/>
      <c r="AC32" s="8"/>
      <c r="AF32" s="18" t="s">
        <v>237</v>
      </c>
      <c r="AG32" t="s">
        <v>141</v>
      </c>
      <c r="AH32">
        <v>20583367</v>
      </c>
      <c r="AI32" t="s">
        <v>142</v>
      </c>
      <c r="AJ32" t="s">
        <v>7</v>
      </c>
      <c r="AL32" t="str">
        <f t="shared" si="1"/>
        <v>MOHAMMAD NASRULLAH</v>
      </c>
      <c r="AS32" s="38" t="s">
        <v>1282</v>
      </c>
      <c r="AT32" s="39" t="s">
        <v>1283</v>
      </c>
      <c r="AU32" s="38" t="s">
        <v>7</v>
      </c>
      <c r="AV32" s="39" t="s">
        <v>1049</v>
      </c>
      <c r="AW32" s="40" t="s">
        <v>1284</v>
      </c>
      <c r="AX32" s="40" t="s">
        <v>985</v>
      </c>
      <c r="AY32" s="40" t="s">
        <v>1285</v>
      </c>
      <c r="AZ32" s="40" t="s">
        <v>461</v>
      </c>
      <c r="BA32" s="39" t="s">
        <v>475</v>
      </c>
      <c r="BD32" s="81" t="s">
        <v>2467</v>
      </c>
      <c r="BE32" s="38" t="s">
        <v>1290</v>
      </c>
      <c r="BF32" s="39" t="s">
        <v>1291</v>
      </c>
      <c r="BG32" t="s">
        <v>2049</v>
      </c>
    </row>
    <row r="33" spans="1:59" ht="20.100000000000001" customHeight="1" x14ac:dyDescent="0.25">
      <c r="A33" s="4">
        <v>24</v>
      </c>
      <c r="B33" s="4" t="s">
        <v>2470</v>
      </c>
      <c r="C33" s="38" t="s">
        <v>1295</v>
      </c>
      <c r="D33" s="39" t="s">
        <v>1296</v>
      </c>
      <c r="E33" s="7" t="s">
        <v>7</v>
      </c>
      <c r="F33" s="8"/>
      <c r="G33" s="8"/>
      <c r="H33" s="8"/>
      <c r="I33" s="8"/>
      <c r="J33" s="8"/>
      <c r="K33" s="8"/>
      <c r="L33" s="8"/>
      <c r="M33" s="8"/>
      <c r="N33" s="8"/>
      <c r="O33" s="8"/>
      <c r="P33" s="8"/>
      <c r="Q33" s="8"/>
      <c r="R33" s="8"/>
      <c r="S33" s="8"/>
      <c r="T33" s="8"/>
      <c r="U33" s="8"/>
      <c r="V33" s="8"/>
      <c r="W33" s="8"/>
      <c r="X33" s="8"/>
      <c r="Y33" s="8"/>
      <c r="Z33" s="8"/>
      <c r="AA33" s="8"/>
      <c r="AB33" s="8"/>
      <c r="AC33" s="8"/>
      <c r="AF33" s="15" t="s">
        <v>456</v>
      </c>
      <c r="AG33" t="s">
        <v>262</v>
      </c>
      <c r="AH33">
        <v>20527190</v>
      </c>
      <c r="AI33" t="s">
        <v>263</v>
      </c>
      <c r="AJ33" t="s">
        <v>7</v>
      </c>
      <c r="AL33" t="str">
        <f>UPPER(D16)</f>
        <v>AZZAM RAMA ABABIL</v>
      </c>
      <c r="AS33" s="38" t="s">
        <v>1286</v>
      </c>
      <c r="AT33" s="39" t="s">
        <v>1287</v>
      </c>
      <c r="AU33" s="38" t="s">
        <v>7</v>
      </c>
      <c r="AV33" s="39" t="s">
        <v>484</v>
      </c>
      <c r="AW33" s="40" t="s">
        <v>1288</v>
      </c>
      <c r="AX33" s="40" t="s">
        <v>720</v>
      </c>
      <c r="AY33" s="40" t="s">
        <v>1289</v>
      </c>
      <c r="AZ33" s="40" t="s">
        <v>466</v>
      </c>
      <c r="BA33" s="39" t="s">
        <v>475</v>
      </c>
      <c r="BD33" s="81" t="s">
        <v>2470</v>
      </c>
      <c r="BE33" s="38" t="s">
        <v>1295</v>
      </c>
      <c r="BF33" s="39" t="s">
        <v>1296</v>
      </c>
      <c r="BG33" t="s">
        <v>2050</v>
      </c>
    </row>
    <row r="34" spans="1:59" ht="20.100000000000001" customHeight="1" x14ac:dyDescent="0.25">
      <c r="A34" s="4">
        <v>25</v>
      </c>
      <c r="B34" s="4" t="s">
        <v>2474</v>
      </c>
      <c r="C34" t="s">
        <v>1673</v>
      </c>
      <c r="D34" s="6" t="s">
        <v>1674</v>
      </c>
      <c r="E34" s="7" t="s">
        <v>6</v>
      </c>
      <c r="F34" s="8"/>
      <c r="G34" s="8"/>
      <c r="H34" s="8"/>
      <c r="I34" s="8"/>
      <c r="J34" s="8"/>
      <c r="K34" s="8"/>
      <c r="L34" s="8"/>
      <c r="M34" s="8"/>
      <c r="N34" s="8"/>
      <c r="O34" s="8"/>
      <c r="P34" s="8"/>
      <c r="Q34" s="8"/>
      <c r="R34" s="8"/>
      <c r="S34" s="8"/>
      <c r="T34" s="8"/>
      <c r="U34" s="8"/>
      <c r="V34" s="8"/>
      <c r="W34" s="8"/>
      <c r="X34" s="8"/>
      <c r="Y34" s="8"/>
      <c r="Z34" s="8"/>
      <c r="AA34" s="8"/>
      <c r="AB34" s="8"/>
      <c r="AC34" s="8"/>
      <c r="AF34" s="15" t="s">
        <v>456</v>
      </c>
      <c r="AG34" t="s">
        <v>377</v>
      </c>
      <c r="AH34">
        <v>20566545</v>
      </c>
      <c r="AI34" t="s">
        <v>378</v>
      </c>
      <c r="AJ34" t="s">
        <v>7</v>
      </c>
      <c r="AL34" t="str">
        <f>UPPER(D32)</f>
        <v>MUHAMMAD GHAZY AL GHIFFARI</v>
      </c>
      <c r="AS34" s="38" t="s">
        <v>1290</v>
      </c>
      <c r="AT34" s="39" t="s">
        <v>1291</v>
      </c>
      <c r="AU34" s="38" t="s">
        <v>7</v>
      </c>
      <c r="AV34" s="39" t="s">
        <v>1292</v>
      </c>
      <c r="AW34" s="40" t="s">
        <v>681</v>
      </c>
      <c r="AX34" s="40" t="s">
        <v>473</v>
      </c>
      <c r="AY34" s="40" t="s">
        <v>1293</v>
      </c>
      <c r="AZ34" s="40" t="s">
        <v>461</v>
      </c>
      <c r="BA34" s="39" t="s">
        <v>1294</v>
      </c>
      <c r="BD34" s="81" t="s">
        <v>2474</v>
      </c>
      <c r="BE34" s="82" t="s">
        <v>1673</v>
      </c>
      <c r="BF34" s="6" t="s">
        <v>1674</v>
      </c>
      <c r="BG34" t="s">
        <v>2051</v>
      </c>
    </row>
    <row r="35" spans="1:59" ht="20.100000000000001" customHeight="1" x14ac:dyDescent="0.25">
      <c r="A35" s="4">
        <v>26</v>
      </c>
      <c r="B35" s="4" t="s">
        <v>2476</v>
      </c>
      <c r="C35" s="5" t="s">
        <v>1822</v>
      </c>
      <c r="D35" s="6" t="s">
        <v>1823</v>
      </c>
      <c r="E35" s="7" t="s">
        <v>7</v>
      </c>
      <c r="F35" s="8"/>
      <c r="G35" s="8"/>
      <c r="H35" s="8"/>
      <c r="I35" s="8"/>
      <c r="J35" s="8"/>
      <c r="K35" s="8"/>
      <c r="L35" s="8"/>
      <c r="M35" s="8"/>
      <c r="N35" s="8"/>
      <c r="O35" s="8"/>
      <c r="P35" s="8"/>
      <c r="Q35" s="8"/>
      <c r="R35" s="8"/>
      <c r="S35" s="8"/>
      <c r="T35" s="8"/>
      <c r="U35" s="8"/>
      <c r="V35" s="8"/>
      <c r="W35" s="8"/>
      <c r="X35" s="8"/>
      <c r="Y35" s="8"/>
      <c r="Z35" s="8"/>
      <c r="AA35" s="8"/>
      <c r="AB35" s="8"/>
      <c r="AC35" s="8"/>
      <c r="AF35" s="15" t="s">
        <v>456</v>
      </c>
      <c r="AG35" t="s">
        <v>315</v>
      </c>
      <c r="AH35">
        <v>20527180</v>
      </c>
      <c r="AI35" t="s">
        <v>316</v>
      </c>
      <c r="AJ35" t="s">
        <v>6</v>
      </c>
      <c r="AL35" t="str">
        <f>UPPER(D33)</f>
        <v>MUHAMMAD RAISHA NURIZZAMAN</v>
      </c>
      <c r="AS35" s="38" t="s">
        <v>1295</v>
      </c>
      <c r="AT35" s="39" t="s">
        <v>1296</v>
      </c>
      <c r="AU35" s="38" t="s">
        <v>7</v>
      </c>
      <c r="AV35" s="39" t="s">
        <v>1297</v>
      </c>
      <c r="AW35" s="40" t="s">
        <v>1298</v>
      </c>
      <c r="AX35" s="40" t="s">
        <v>512</v>
      </c>
      <c r="AY35" s="40" t="s">
        <v>1299</v>
      </c>
      <c r="AZ35" s="40" t="s">
        <v>461</v>
      </c>
      <c r="BA35" s="39" t="s">
        <v>525</v>
      </c>
      <c r="BD35" s="81" t="s">
        <v>2476</v>
      </c>
      <c r="BE35" s="5" t="s">
        <v>1822</v>
      </c>
      <c r="BF35" s="6" t="s">
        <v>1823</v>
      </c>
      <c r="BG35" t="s">
        <v>2052</v>
      </c>
    </row>
    <row r="36" spans="1:59" ht="20.100000000000001" customHeight="1" x14ac:dyDescent="0.25">
      <c r="A36" s="4">
        <v>27</v>
      </c>
      <c r="B36" s="4" t="s">
        <v>2480</v>
      </c>
      <c r="C36" s="38" t="s">
        <v>1300</v>
      </c>
      <c r="D36" s="39" t="s">
        <v>1301</v>
      </c>
      <c r="E36" s="7" t="s">
        <v>6</v>
      </c>
      <c r="F36" s="8"/>
      <c r="G36" s="8"/>
      <c r="H36" s="8"/>
      <c r="I36" s="8"/>
      <c r="J36" s="8"/>
      <c r="K36" s="8"/>
      <c r="L36" s="8"/>
      <c r="M36" s="8"/>
      <c r="N36" s="8"/>
      <c r="O36" s="8"/>
      <c r="P36" s="8"/>
      <c r="Q36" s="8"/>
      <c r="R36" s="8"/>
      <c r="S36" s="8"/>
      <c r="T36" s="8"/>
      <c r="U36" s="8"/>
      <c r="V36" s="8"/>
      <c r="W36" s="8"/>
      <c r="X36" s="8"/>
      <c r="Y36" s="8"/>
      <c r="Z36" s="8"/>
      <c r="AA36" s="8"/>
      <c r="AB36" s="8"/>
      <c r="AC36" s="8"/>
      <c r="AF36" s="14" t="s">
        <v>93</v>
      </c>
      <c r="AG36" t="s">
        <v>85</v>
      </c>
      <c r="AH36">
        <v>20527185</v>
      </c>
      <c r="AI36" t="s">
        <v>86</v>
      </c>
      <c r="AJ36" t="s">
        <v>6</v>
      </c>
      <c r="AL36" t="str">
        <f t="shared" si="0"/>
        <v>NADIVA RAMADANTI ZAINI</v>
      </c>
      <c r="AS36" s="38" t="s">
        <v>1300</v>
      </c>
      <c r="AT36" s="39" t="s">
        <v>1301</v>
      </c>
      <c r="AU36" s="38" t="s">
        <v>6</v>
      </c>
      <c r="AV36" s="39" t="s">
        <v>494</v>
      </c>
      <c r="AW36" s="40">
        <v>88.89</v>
      </c>
      <c r="AX36" s="40">
        <v>75</v>
      </c>
      <c r="AY36" s="40">
        <v>83.33</v>
      </c>
      <c r="AZ36" s="40" t="s">
        <v>461</v>
      </c>
      <c r="BA36" s="39" t="s">
        <v>475</v>
      </c>
      <c r="BD36" s="81" t="s">
        <v>2480</v>
      </c>
      <c r="BE36" s="38" t="s">
        <v>1300</v>
      </c>
      <c r="BF36" s="39" t="s">
        <v>1301</v>
      </c>
      <c r="BG36" t="s">
        <v>2053</v>
      </c>
    </row>
    <row r="37" spans="1:59" ht="20.100000000000001" customHeight="1" x14ac:dyDescent="0.25">
      <c r="A37" s="4">
        <v>28</v>
      </c>
      <c r="B37" s="4" t="s">
        <v>2483</v>
      </c>
      <c r="C37" s="38" t="s">
        <v>1302</v>
      </c>
      <c r="D37" s="39" t="s">
        <v>1303</v>
      </c>
      <c r="E37" s="7" t="s">
        <v>6</v>
      </c>
      <c r="F37" s="8"/>
      <c r="G37" s="8"/>
      <c r="H37" s="8"/>
      <c r="I37" s="8"/>
      <c r="J37" s="8"/>
      <c r="K37" s="8"/>
      <c r="L37" s="8"/>
      <c r="M37" s="8"/>
      <c r="N37" s="8"/>
      <c r="O37" s="8"/>
      <c r="P37" s="8"/>
      <c r="Q37" s="8"/>
      <c r="R37" s="8"/>
      <c r="S37" s="8"/>
      <c r="T37" s="8"/>
      <c r="U37" s="8"/>
      <c r="V37" s="8"/>
      <c r="W37" s="8"/>
      <c r="X37" s="8"/>
      <c r="Y37" s="8"/>
      <c r="Z37" s="8"/>
      <c r="AA37" s="8"/>
      <c r="AB37" s="8"/>
      <c r="AC37" s="8"/>
      <c r="AL37" t="str">
        <f t="shared" si="0"/>
        <v>NAILATUL NAJWA</v>
      </c>
      <c r="AS37" s="38" t="s">
        <v>1302</v>
      </c>
      <c r="AT37" s="39" t="s">
        <v>1303</v>
      </c>
      <c r="AU37" s="38" t="s">
        <v>6</v>
      </c>
      <c r="AV37" s="39" t="s">
        <v>494</v>
      </c>
      <c r="AW37" s="40" t="s">
        <v>1304</v>
      </c>
      <c r="AX37" s="40" t="s">
        <v>811</v>
      </c>
      <c r="AY37" s="40" t="s">
        <v>1305</v>
      </c>
      <c r="AZ37" s="40" t="s">
        <v>461</v>
      </c>
      <c r="BA37" s="39" t="s">
        <v>475</v>
      </c>
      <c r="BD37" s="81" t="s">
        <v>2483</v>
      </c>
      <c r="BE37" s="38" t="s">
        <v>1302</v>
      </c>
      <c r="BF37" s="39" t="s">
        <v>1303</v>
      </c>
      <c r="BG37" t="s">
        <v>2054</v>
      </c>
    </row>
    <row r="38" spans="1:59" ht="20.100000000000001" customHeight="1" x14ac:dyDescent="0.25">
      <c r="A38" s="4">
        <v>29</v>
      </c>
      <c r="B38" s="4" t="s">
        <v>2510</v>
      </c>
      <c r="C38" s="38" t="s">
        <v>1306</v>
      </c>
      <c r="D38" s="39" t="s">
        <v>1307</v>
      </c>
      <c r="E38" s="7" t="s">
        <v>6</v>
      </c>
      <c r="F38" s="8"/>
      <c r="G38" s="8"/>
      <c r="H38" s="8"/>
      <c r="I38" s="8"/>
      <c r="J38" s="8"/>
      <c r="K38" s="8"/>
      <c r="L38" s="8"/>
      <c r="M38" s="8"/>
      <c r="N38" s="8"/>
      <c r="O38" s="8"/>
      <c r="P38" s="8"/>
      <c r="Q38" s="8"/>
      <c r="R38" s="8"/>
      <c r="S38" s="8"/>
      <c r="T38" s="8"/>
      <c r="U38" s="8"/>
      <c r="V38" s="8"/>
      <c r="W38" s="8"/>
      <c r="X38" s="8"/>
      <c r="Y38" s="8"/>
      <c r="Z38" s="8"/>
      <c r="AA38" s="8"/>
      <c r="AB38" s="8"/>
      <c r="AC38" s="8"/>
      <c r="AL38" t="str">
        <f t="shared" si="0"/>
        <v>QIESYA MEILANI ALFARISI</v>
      </c>
      <c r="AS38" s="38" t="s">
        <v>1306</v>
      </c>
      <c r="AT38" s="39" t="s">
        <v>1307</v>
      </c>
      <c r="AU38" s="38" t="s">
        <v>6</v>
      </c>
      <c r="AV38" s="39" t="s">
        <v>1308</v>
      </c>
      <c r="AW38" s="40" t="s">
        <v>1309</v>
      </c>
      <c r="AX38" s="40" t="s">
        <v>985</v>
      </c>
      <c r="AY38" s="40" t="s">
        <v>1310</v>
      </c>
      <c r="AZ38" s="40" t="s">
        <v>461</v>
      </c>
      <c r="BA38" s="39" t="s">
        <v>485</v>
      </c>
      <c r="BD38" s="81" t="s">
        <v>2510</v>
      </c>
      <c r="BE38" s="38" t="s">
        <v>1306</v>
      </c>
      <c r="BF38" s="39" t="s">
        <v>1307</v>
      </c>
      <c r="BG38" t="s">
        <v>2055</v>
      </c>
    </row>
    <row r="39" spans="1:59" ht="20.100000000000001" customHeight="1" x14ac:dyDescent="0.25">
      <c r="A39" s="4">
        <v>30</v>
      </c>
      <c r="B39" s="4" t="s">
        <v>2511</v>
      </c>
      <c r="C39" s="38" t="s">
        <v>1311</v>
      </c>
      <c r="D39" s="39" t="s">
        <v>1312</v>
      </c>
      <c r="E39" s="7" t="s">
        <v>6</v>
      </c>
      <c r="F39" s="8"/>
      <c r="G39" s="8"/>
      <c r="H39" s="8"/>
      <c r="I39" s="8"/>
      <c r="J39" s="8"/>
      <c r="K39" s="8"/>
      <c r="L39" s="8"/>
      <c r="M39" s="8"/>
      <c r="N39" s="8"/>
      <c r="O39" s="8"/>
      <c r="P39" s="8"/>
      <c r="Q39" s="8"/>
      <c r="R39" s="8"/>
      <c r="S39" s="8"/>
      <c r="T39" s="8"/>
      <c r="U39" s="8"/>
      <c r="V39" s="8"/>
      <c r="W39" s="8"/>
      <c r="X39" s="8"/>
      <c r="Y39" s="8"/>
      <c r="Z39" s="8"/>
      <c r="AA39" s="8"/>
      <c r="AB39" s="8"/>
      <c r="AC39" s="8"/>
      <c r="AL39" t="str">
        <f t="shared" si="0"/>
        <v>QIRANIA IZZATY</v>
      </c>
      <c r="AS39" s="38" t="s">
        <v>1311</v>
      </c>
      <c r="AT39" s="39" t="s">
        <v>1312</v>
      </c>
      <c r="AU39" s="38" t="s">
        <v>6</v>
      </c>
      <c r="AV39" s="39" t="s">
        <v>1003</v>
      </c>
      <c r="AW39" s="40">
        <v>90.49</v>
      </c>
      <c r="AX39" s="40">
        <v>58.34</v>
      </c>
      <c r="AY39" s="40">
        <v>77.63</v>
      </c>
      <c r="AZ39" s="40" t="s">
        <v>461</v>
      </c>
      <c r="BA39" s="39" t="s">
        <v>475</v>
      </c>
      <c r="BD39" s="81" t="s">
        <v>2511</v>
      </c>
      <c r="BE39" s="38" t="s">
        <v>1311</v>
      </c>
      <c r="BF39" s="39" t="s">
        <v>1312</v>
      </c>
      <c r="BG39" t="s">
        <v>2056</v>
      </c>
    </row>
    <row r="40" spans="1:59" ht="20.100000000000001" customHeight="1" x14ac:dyDescent="0.25">
      <c r="A40" s="4">
        <v>31</v>
      </c>
      <c r="B40" s="4" t="s">
        <v>2527</v>
      </c>
      <c r="C40" s="38" t="s">
        <v>1313</v>
      </c>
      <c r="D40" s="39" t="s">
        <v>1314</v>
      </c>
      <c r="E40" s="7" t="s">
        <v>6</v>
      </c>
      <c r="F40" s="8"/>
      <c r="G40" s="8"/>
      <c r="H40" s="8"/>
      <c r="I40" s="8"/>
      <c r="J40" s="8"/>
      <c r="K40" s="8"/>
      <c r="L40" s="8"/>
      <c r="M40" s="8"/>
      <c r="N40" s="8"/>
      <c r="O40" s="8"/>
      <c r="P40" s="8"/>
      <c r="Q40" s="8"/>
      <c r="R40" s="8"/>
      <c r="S40" s="8"/>
      <c r="T40" s="8"/>
      <c r="U40" s="8"/>
      <c r="V40" s="8"/>
      <c r="W40" s="8"/>
      <c r="X40" s="8"/>
      <c r="Y40" s="8"/>
      <c r="Z40" s="8"/>
      <c r="AA40" s="8"/>
      <c r="AB40" s="8"/>
      <c r="AC40" s="8"/>
      <c r="AL40" t="str">
        <f t="shared" si="0"/>
        <v>REGINA PUTRI RAHADI</v>
      </c>
      <c r="AS40" s="38" t="s">
        <v>1313</v>
      </c>
      <c r="AT40" s="39" t="s">
        <v>1314</v>
      </c>
      <c r="AU40" s="38" t="s">
        <v>6</v>
      </c>
      <c r="AV40" s="39" t="s">
        <v>1315</v>
      </c>
      <c r="AW40" s="40" t="s">
        <v>1316</v>
      </c>
      <c r="AX40" s="40" t="s">
        <v>561</v>
      </c>
      <c r="AY40" s="40" t="s">
        <v>1317</v>
      </c>
      <c r="AZ40" s="40" t="s">
        <v>461</v>
      </c>
      <c r="BA40" s="39" t="s">
        <v>475</v>
      </c>
      <c r="BD40" s="81" t="s">
        <v>2527</v>
      </c>
      <c r="BE40" s="38" t="s">
        <v>1313</v>
      </c>
      <c r="BF40" s="39" t="s">
        <v>1314</v>
      </c>
      <c r="BG40" t="s">
        <v>2057</v>
      </c>
    </row>
    <row r="41" spans="1:59" ht="20.100000000000001" customHeight="1" x14ac:dyDescent="0.25">
      <c r="A41" s="4">
        <v>32</v>
      </c>
      <c r="B41" s="4" t="s">
        <v>2537</v>
      </c>
      <c r="C41" s="38" t="s">
        <v>1318</v>
      </c>
      <c r="D41" s="39" t="s">
        <v>1319</v>
      </c>
      <c r="E41" s="7" t="s">
        <v>7</v>
      </c>
      <c r="F41" s="8"/>
      <c r="G41" s="8"/>
      <c r="H41" s="8"/>
      <c r="I41" s="8"/>
      <c r="J41" s="8"/>
      <c r="K41" s="8"/>
      <c r="L41" s="8"/>
      <c r="M41" s="8"/>
      <c r="N41" s="8"/>
      <c r="O41" s="8"/>
      <c r="P41" s="8"/>
      <c r="Q41" s="8"/>
      <c r="R41" s="8"/>
      <c r="S41" s="8"/>
      <c r="T41" s="8"/>
      <c r="U41" s="8"/>
      <c r="V41" s="8"/>
      <c r="W41" s="8"/>
      <c r="X41" s="8"/>
      <c r="Y41" s="8"/>
      <c r="Z41" s="8"/>
      <c r="AA41" s="8"/>
      <c r="AB41" s="8"/>
      <c r="AC41" s="8"/>
      <c r="AL41" t="str">
        <f t="shared" si="0"/>
        <v>ROBBY ASROFUL IBAD</v>
      </c>
      <c r="AS41" s="38" t="s">
        <v>1318</v>
      </c>
      <c r="AT41" s="39" t="s">
        <v>1319</v>
      </c>
      <c r="AU41" s="38" t="s">
        <v>7</v>
      </c>
      <c r="AV41" s="39" t="s">
        <v>619</v>
      </c>
      <c r="AW41" s="40" t="s">
        <v>1320</v>
      </c>
      <c r="AX41" s="40" t="s">
        <v>960</v>
      </c>
      <c r="AY41" s="40" t="s">
        <v>1321</v>
      </c>
      <c r="AZ41" s="40" t="s">
        <v>461</v>
      </c>
      <c r="BA41" s="39" t="s">
        <v>475</v>
      </c>
      <c r="BD41" s="81" t="s">
        <v>2537</v>
      </c>
      <c r="BE41" s="38" t="s">
        <v>1318</v>
      </c>
      <c r="BF41" s="39" t="s">
        <v>1319</v>
      </c>
      <c r="BG41" t="s">
        <v>2058</v>
      </c>
    </row>
    <row r="42" spans="1:59" ht="20.100000000000001" customHeight="1" x14ac:dyDescent="0.25">
      <c r="A42" s="4">
        <v>33</v>
      </c>
      <c r="B42" s="4" t="s">
        <v>2541</v>
      </c>
      <c r="C42" s="38" t="s">
        <v>1322</v>
      </c>
      <c r="D42" s="39" t="s">
        <v>1323</v>
      </c>
      <c r="E42" s="7" t="s">
        <v>6</v>
      </c>
      <c r="F42" s="8"/>
      <c r="G42" s="8"/>
      <c r="H42" s="8"/>
      <c r="I42" s="8"/>
      <c r="J42" s="8"/>
      <c r="K42" s="8"/>
      <c r="L42" s="8"/>
      <c r="M42" s="8"/>
      <c r="N42" s="8"/>
      <c r="O42" s="8"/>
      <c r="P42" s="8"/>
      <c r="Q42" s="8"/>
      <c r="R42" s="8"/>
      <c r="S42" s="8"/>
      <c r="T42" s="8"/>
      <c r="U42" s="8"/>
      <c r="V42" s="8"/>
      <c r="W42" s="8"/>
      <c r="X42" s="8"/>
      <c r="Y42" s="8"/>
      <c r="Z42" s="8"/>
      <c r="AA42" s="8"/>
      <c r="AB42" s="8"/>
      <c r="AC42" s="8"/>
      <c r="AL42" t="str">
        <f t="shared" si="0"/>
        <v>SABITAH ANINDYA NEVLIN</v>
      </c>
      <c r="AS42" s="38" t="s">
        <v>1322</v>
      </c>
      <c r="AT42" s="39" t="s">
        <v>1323</v>
      </c>
      <c r="AU42" s="38" t="s">
        <v>6</v>
      </c>
      <c r="AV42" s="39" t="s">
        <v>484</v>
      </c>
      <c r="AW42" s="40" t="s">
        <v>1324</v>
      </c>
      <c r="AX42" s="40" t="s">
        <v>561</v>
      </c>
      <c r="AY42" s="40" t="s">
        <v>1325</v>
      </c>
      <c r="AZ42" s="40" t="s">
        <v>461</v>
      </c>
      <c r="BA42" s="39" t="s">
        <v>475</v>
      </c>
      <c r="BD42" s="81" t="s">
        <v>2541</v>
      </c>
      <c r="BE42" s="38" t="s">
        <v>1322</v>
      </c>
      <c r="BF42" s="39" t="s">
        <v>1323</v>
      </c>
      <c r="BG42" t="s">
        <v>2059</v>
      </c>
    </row>
    <row r="43" spans="1:59" ht="20.100000000000001" customHeight="1" x14ac:dyDescent="0.25">
      <c r="A43" s="4">
        <v>34</v>
      </c>
      <c r="B43" s="4" t="s">
        <v>2556</v>
      </c>
      <c r="C43" s="38" t="s">
        <v>1326</v>
      </c>
      <c r="D43" s="39" t="s">
        <v>1327</v>
      </c>
      <c r="E43" s="7" t="s">
        <v>6</v>
      </c>
      <c r="F43" s="8"/>
      <c r="G43" s="8"/>
      <c r="H43" s="8"/>
      <c r="I43" s="8"/>
      <c r="J43" s="8"/>
      <c r="K43" s="8"/>
      <c r="L43" s="8"/>
      <c r="M43" s="8"/>
      <c r="N43" s="8"/>
      <c r="O43" s="8"/>
      <c r="P43" s="8"/>
      <c r="Q43" s="8"/>
      <c r="R43" s="8"/>
      <c r="S43" s="8"/>
      <c r="T43" s="8"/>
      <c r="U43" s="8"/>
      <c r="V43" s="8"/>
      <c r="W43" s="8"/>
      <c r="X43" s="8"/>
      <c r="Y43" s="8"/>
      <c r="Z43" s="8"/>
      <c r="AA43" s="8"/>
      <c r="AB43" s="8"/>
      <c r="AC43" s="8"/>
      <c r="AL43" t="str">
        <f t="shared" si="0"/>
        <v>SHAFA HESTI AULIA PRATIWI</v>
      </c>
      <c r="AS43" s="38" t="s">
        <v>1326</v>
      </c>
      <c r="AT43" s="39" t="s">
        <v>1327</v>
      </c>
      <c r="AU43" s="38" t="s">
        <v>6</v>
      </c>
      <c r="AV43" s="39" t="s">
        <v>494</v>
      </c>
      <c r="AW43" s="40">
        <v>87.51</v>
      </c>
      <c r="AX43" s="40">
        <v>60</v>
      </c>
      <c r="AY43" s="40">
        <v>76.510000000000005</v>
      </c>
      <c r="AZ43" s="40" t="s">
        <v>461</v>
      </c>
      <c r="BD43" s="81" t="s">
        <v>2556</v>
      </c>
      <c r="BE43" s="38" t="s">
        <v>1326</v>
      </c>
      <c r="BF43" s="39" t="s">
        <v>1327</v>
      </c>
      <c r="BG43" t="s">
        <v>2060</v>
      </c>
    </row>
    <row r="44" spans="1:59" ht="20.100000000000001" customHeight="1" x14ac:dyDescent="0.25">
      <c r="A44" s="4">
        <v>35</v>
      </c>
      <c r="B44" s="4" t="s">
        <v>2562</v>
      </c>
      <c r="C44" s="38" t="s">
        <v>1328</v>
      </c>
      <c r="D44" s="39" t="s">
        <v>1329</v>
      </c>
      <c r="E44" s="7" t="s">
        <v>6</v>
      </c>
      <c r="F44" s="8"/>
      <c r="G44" s="8"/>
      <c r="H44" s="8"/>
      <c r="I44" s="8"/>
      <c r="J44" s="8"/>
      <c r="K44" s="8"/>
      <c r="L44" s="8"/>
      <c r="M44" s="8"/>
      <c r="N44" s="8"/>
      <c r="O44" s="8"/>
      <c r="P44" s="8"/>
      <c r="Q44" s="8"/>
      <c r="R44" s="8"/>
      <c r="S44" s="8"/>
      <c r="T44" s="8"/>
      <c r="U44" s="8"/>
      <c r="V44" s="8"/>
      <c r="W44" s="8"/>
      <c r="X44" s="8"/>
      <c r="Y44" s="8"/>
      <c r="Z44" s="8"/>
      <c r="AA44" s="8"/>
      <c r="AB44" s="8"/>
      <c r="AC44" s="8"/>
      <c r="AL44" t="str">
        <f t="shared" si="0"/>
        <v>SITTI HUMAIROTUS SYARIFAH</v>
      </c>
      <c r="AS44" s="38" t="s">
        <v>1328</v>
      </c>
      <c r="AT44" s="39" t="s">
        <v>1329</v>
      </c>
      <c r="AU44" s="38" t="s">
        <v>6</v>
      </c>
      <c r="AV44" s="39" t="s">
        <v>557</v>
      </c>
      <c r="AW44" s="40" t="s">
        <v>1330</v>
      </c>
      <c r="AX44" s="40" t="s">
        <v>1331</v>
      </c>
      <c r="AY44" s="40" t="s">
        <v>1332</v>
      </c>
      <c r="AZ44" s="40" t="s">
        <v>461</v>
      </c>
      <c r="BA44" s="39" t="s">
        <v>475</v>
      </c>
      <c r="BD44" s="81" t="s">
        <v>2562</v>
      </c>
      <c r="BE44" s="38" t="s">
        <v>1328</v>
      </c>
      <c r="BF44" s="39" t="s">
        <v>1329</v>
      </c>
      <c r="BG44" t="s">
        <v>2061</v>
      </c>
    </row>
    <row r="45" spans="1:59" ht="20.100000000000001" customHeight="1" x14ac:dyDescent="0.25">
      <c r="A45" s="4">
        <v>36</v>
      </c>
      <c r="B45" s="4" t="s">
        <v>2589</v>
      </c>
      <c r="C45" s="38" t="s">
        <v>1333</v>
      </c>
      <c r="D45" s="39" t="s">
        <v>1334</v>
      </c>
      <c r="E45" s="7" t="s">
        <v>6</v>
      </c>
      <c r="F45" s="8"/>
      <c r="G45" s="8"/>
      <c r="H45" s="8"/>
      <c r="I45" s="8"/>
      <c r="J45" s="8"/>
      <c r="K45" s="8"/>
      <c r="L45" s="8"/>
      <c r="M45" s="8"/>
      <c r="N45" s="8"/>
      <c r="O45" s="8"/>
      <c r="P45" s="8"/>
      <c r="Q45" s="8"/>
      <c r="R45" s="8"/>
      <c r="S45" s="8"/>
      <c r="T45" s="8"/>
      <c r="U45" s="8"/>
      <c r="V45" s="8"/>
      <c r="W45" s="8"/>
      <c r="X45" s="8"/>
      <c r="Y45" s="8"/>
      <c r="Z45" s="8"/>
      <c r="AA45" s="8"/>
      <c r="AB45" s="8"/>
      <c r="AC45" s="8"/>
      <c r="AL45" t="str">
        <f t="shared" si="0"/>
        <v>ZAHIRA ULUL AZMI MULYANA</v>
      </c>
      <c r="AS45" s="38" t="s">
        <v>1333</v>
      </c>
      <c r="AT45" s="39" t="s">
        <v>1334</v>
      </c>
      <c r="AU45" s="38" t="s">
        <v>6</v>
      </c>
      <c r="AV45" s="39" t="s">
        <v>1335</v>
      </c>
      <c r="AW45" s="40">
        <v>88.64</v>
      </c>
      <c r="AX45" s="40">
        <v>63.33</v>
      </c>
      <c r="AY45" s="40">
        <v>78.52</v>
      </c>
      <c r="AZ45" s="40" t="s">
        <v>461</v>
      </c>
      <c r="BA45" s="39"/>
      <c r="BD45" s="81" t="s">
        <v>2589</v>
      </c>
      <c r="BE45" s="38" t="s">
        <v>1333</v>
      </c>
      <c r="BF45" s="39" t="s">
        <v>1334</v>
      </c>
      <c r="BG45" t="s">
        <v>2062</v>
      </c>
    </row>
    <row r="46" spans="1:59" x14ac:dyDescent="0.25">
      <c r="A46" s="58" t="s">
        <v>8</v>
      </c>
      <c r="B46" s="58"/>
      <c r="C46" s="58"/>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59" x14ac:dyDescent="0.25">
      <c r="A47" s="58" t="s">
        <v>10</v>
      </c>
      <c r="B47" s="58"/>
      <c r="C47" s="58"/>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59"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AU10:AU12 AU30:AU42 AU14:AU28">
    <cfRule type="colorScale" priority="13">
      <colorScale>
        <cfvo type="min"/>
        <cfvo type="max"/>
        <color rgb="FFFCFCFF"/>
        <color rgb="FF63BE7B"/>
      </colorScale>
    </cfRule>
    <cfRule type="duplicateValues" dxfId="77" priority="14"/>
  </conditionalFormatting>
  <conditionalFormatting sqref="AU13">
    <cfRule type="colorScale" priority="9">
      <colorScale>
        <cfvo type="min"/>
        <cfvo type="max"/>
        <color rgb="FFFCFCFF"/>
        <color rgb="FF63BE7B"/>
      </colorScale>
    </cfRule>
    <cfRule type="duplicateValues" dxfId="76" priority="10"/>
  </conditionalFormatting>
  <conditionalFormatting sqref="AU29">
    <cfRule type="colorScale" priority="15">
      <colorScale>
        <cfvo type="min"/>
        <cfvo type="max"/>
        <color rgb="FFFCFCFF"/>
        <color rgb="FF63BE7B"/>
      </colorScale>
    </cfRule>
    <cfRule type="duplicateValues" dxfId="75" priority="16"/>
  </conditionalFormatting>
  <conditionalFormatting sqref="AU43:AU45">
    <cfRule type="colorScale" priority="11">
      <colorScale>
        <cfvo type="min"/>
        <cfvo type="max"/>
        <color rgb="FFFCFCFF"/>
        <color rgb="FF63BE7B"/>
      </colorScale>
    </cfRule>
    <cfRule type="duplicateValues" dxfId="74" priority="12"/>
  </conditionalFormatting>
  <conditionalFormatting sqref="D34">
    <cfRule type="colorScale" priority="7">
      <colorScale>
        <cfvo type="min"/>
        <cfvo type="max"/>
        <color rgb="FFFCFCFF"/>
        <color rgb="FF63BE7B"/>
      </colorScale>
    </cfRule>
    <cfRule type="duplicateValues" dxfId="73" priority="8"/>
  </conditionalFormatting>
  <conditionalFormatting sqref="D35">
    <cfRule type="colorScale" priority="5">
      <colorScale>
        <cfvo type="min"/>
        <cfvo type="max"/>
        <color rgb="FFFCFCFF"/>
        <color rgb="FF63BE7B"/>
      </colorScale>
    </cfRule>
    <cfRule type="duplicateValues" dxfId="72" priority="6"/>
  </conditionalFormatting>
  <conditionalFormatting sqref="BF34">
    <cfRule type="colorScale" priority="3">
      <colorScale>
        <cfvo type="min"/>
        <cfvo type="max"/>
        <color rgb="FFFCFCFF"/>
        <color rgb="FF63BE7B"/>
      </colorScale>
    </cfRule>
    <cfRule type="duplicateValues" dxfId="13" priority="4"/>
  </conditionalFormatting>
  <conditionalFormatting sqref="BF35">
    <cfRule type="colorScale" priority="1">
      <colorScale>
        <cfvo type="min"/>
        <cfvo type="max"/>
        <color rgb="FFFCFCFF"/>
        <color rgb="FF63BE7B"/>
      </colorScale>
    </cfRule>
    <cfRule type="duplicateValues" dxfId="12" priority="2"/>
  </conditionalFormatting>
  <pageMargins left="0.62992125984251968" right="0" top="0.35433070866141736" bottom="0.74803149606299213" header="0.23622047244094491" footer="0.31496062992125984"/>
  <pageSetup paperSize="5" scale="80"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48"/>
  <sheetViews>
    <sheetView topLeftCell="A19" zoomScale="85" zoomScaleNormal="85" workbookViewId="0">
      <selection activeCell="B10" sqref="B10:B45"/>
    </sheetView>
  </sheetViews>
  <sheetFormatPr defaultColWidth="3.28515625" defaultRowHeight="15" x14ac:dyDescent="0.25"/>
  <cols>
    <col min="1" max="1" width="4.5703125" bestFit="1" customWidth="1"/>
    <col min="2" max="2" width="6.85546875" customWidth="1"/>
    <col min="3" max="3" width="11" bestFit="1" customWidth="1"/>
    <col min="4" max="4" width="30.7109375" customWidth="1"/>
    <col min="5" max="5" width="3.7109375" bestFit="1" customWidth="1"/>
    <col min="6" max="29" width="2.7109375" customWidth="1"/>
    <col min="33" max="33" width="3.28515625" customWidth="1"/>
    <col min="34" max="34" width="13" customWidth="1"/>
    <col min="35" max="35" width="9.5703125" customWidth="1"/>
    <col min="45" max="45" width="7" customWidth="1"/>
    <col min="46" max="46" width="10.28515625" customWidth="1"/>
    <col min="47" max="47" width="11.7109375" customWidth="1"/>
  </cols>
  <sheetData>
    <row r="1" spans="1:48"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48"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row>
    <row r="3" spans="1:48"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row>
    <row r="4" spans="1:48"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row>
    <row r="5" spans="1:48" x14ac:dyDescent="0.25">
      <c r="A5" s="1"/>
      <c r="B5" s="1"/>
      <c r="C5" s="2"/>
      <c r="P5" s="11"/>
    </row>
    <row r="6" spans="1:48" ht="3.75" customHeight="1" x14ac:dyDescent="0.25">
      <c r="A6" s="1"/>
      <c r="B6" s="1"/>
      <c r="C6" s="2"/>
    </row>
    <row r="7" spans="1:48" x14ac:dyDescent="0.25">
      <c r="A7" s="52" t="s">
        <v>0</v>
      </c>
      <c r="B7" s="53" t="s">
        <v>467</v>
      </c>
      <c r="C7" s="53" t="s">
        <v>1</v>
      </c>
      <c r="D7" s="52" t="s">
        <v>2</v>
      </c>
      <c r="E7" s="54" t="s">
        <v>3</v>
      </c>
      <c r="F7" s="55" t="s">
        <v>4</v>
      </c>
      <c r="G7" s="56"/>
      <c r="H7" s="57"/>
      <c r="I7" s="59" t="s">
        <v>1862</v>
      </c>
      <c r="J7" s="60"/>
      <c r="K7" s="60"/>
      <c r="L7" s="60"/>
      <c r="M7" s="60"/>
      <c r="N7" s="60"/>
      <c r="O7" s="60"/>
      <c r="P7" s="60"/>
      <c r="Q7" s="60"/>
      <c r="R7" s="60"/>
      <c r="S7" s="61"/>
      <c r="T7" s="58" t="s">
        <v>5</v>
      </c>
      <c r="U7" s="58"/>
      <c r="V7" s="72" t="s">
        <v>1863</v>
      </c>
      <c r="W7" s="73"/>
      <c r="X7" s="73"/>
      <c r="Y7" s="73"/>
      <c r="Z7" s="73"/>
      <c r="AA7" s="73"/>
      <c r="AB7" s="73"/>
      <c r="AC7" s="73"/>
    </row>
    <row r="8" spans="1:48"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row>
    <row r="9" spans="1:48"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H9" s="38" t="s">
        <v>1336</v>
      </c>
      <c r="AI9" s="39" t="s">
        <v>1337</v>
      </c>
      <c r="AJ9" s="38" t="s">
        <v>7</v>
      </c>
      <c r="AK9" s="39" t="s">
        <v>1338</v>
      </c>
      <c r="AL9" s="49">
        <v>83</v>
      </c>
      <c r="AM9" s="40" t="s">
        <v>1339</v>
      </c>
      <c r="AN9" s="40" t="s">
        <v>1268</v>
      </c>
      <c r="AO9" s="40" t="s">
        <v>462</v>
      </c>
      <c r="AP9" s="39"/>
      <c r="AS9" s="81" t="s">
        <v>2240</v>
      </c>
      <c r="AT9" s="38" t="s">
        <v>1336</v>
      </c>
      <c r="AU9" s="39" t="s">
        <v>1337</v>
      </c>
      <c r="AV9" t="s">
        <v>1990</v>
      </c>
    </row>
    <row r="10" spans="1:48" ht="20.100000000000001" customHeight="1" x14ac:dyDescent="0.25">
      <c r="A10" s="4">
        <v>1</v>
      </c>
      <c r="B10" s="4" t="s">
        <v>2240</v>
      </c>
      <c r="C10" s="38" t="s">
        <v>1336</v>
      </c>
      <c r="D10" s="39" t="s">
        <v>1337</v>
      </c>
      <c r="E10" s="38" t="s">
        <v>7</v>
      </c>
      <c r="F10" s="8"/>
      <c r="G10" s="8"/>
      <c r="H10" s="8"/>
      <c r="I10" s="8"/>
      <c r="J10" s="8"/>
      <c r="K10" s="8"/>
      <c r="L10" s="8"/>
      <c r="M10" s="8"/>
      <c r="N10" s="8"/>
      <c r="O10" s="8"/>
      <c r="P10" s="8"/>
      <c r="Q10" s="8"/>
      <c r="R10" s="8"/>
      <c r="S10" s="8"/>
      <c r="T10" s="8"/>
      <c r="U10" s="8"/>
      <c r="V10" s="8"/>
      <c r="W10" s="8"/>
      <c r="X10" s="8"/>
      <c r="Y10" s="8"/>
      <c r="Z10" s="8"/>
      <c r="AA10" s="8"/>
      <c r="AB10" s="8"/>
      <c r="AC10" s="8"/>
      <c r="AH10" s="38" t="s">
        <v>1340</v>
      </c>
      <c r="AI10" s="39" t="s">
        <v>1341</v>
      </c>
      <c r="AJ10" s="38" t="s">
        <v>7</v>
      </c>
      <c r="AK10" s="39" t="s">
        <v>603</v>
      </c>
      <c r="AL10" s="40">
        <v>85.69</v>
      </c>
      <c r="AM10" s="40">
        <v>43.34</v>
      </c>
      <c r="AN10" s="40">
        <v>68.75</v>
      </c>
      <c r="AO10" s="40" t="s">
        <v>462</v>
      </c>
      <c r="AP10" s="39" t="s">
        <v>475</v>
      </c>
      <c r="AS10" s="81" t="s">
        <v>2250</v>
      </c>
      <c r="AT10" s="38" t="s">
        <v>1340</v>
      </c>
      <c r="AU10" s="39" t="s">
        <v>1341</v>
      </c>
      <c r="AV10" t="s">
        <v>2063</v>
      </c>
    </row>
    <row r="11" spans="1:48" ht="20.100000000000001" customHeight="1" x14ac:dyDescent="0.25">
      <c r="A11" s="4">
        <v>2</v>
      </c>
      <c r="B11" s="4" t="s">
        <v>2250</v>
      </c>
      <c r="C11" s="38" t="s">
        <v>1340</v>
      </c>
      <c r="D11" s="39" t="s">
        <v>1341</v>
      </c>
      <c r="E11" s="38" t="s">
        <v>7</v>
      </c>
      <c r="F11" s="8"/>
      <c r="G11" s="8"/>
      <c r="H11" s="8"/>
      <c r="I11" s="8"/>
      <c r="J11" s="8"/>
      <c r="K11" s="8"/>
      <c r="L11" s="8"/>
      <c r="M11" s="8"/>
      <c r="N11" s="8"/>
      <c r="O11" s="8"/>
      <c r="P11" s="8"/>
      <c r="Q11" s="8"/>
      <c r="R11" s="8"/>
      <c r="S11" s="8"/>
      <c r="T11" s="8"/>
      <c r="U11" s="8"/>
      <c r="V11" s="8"/>
      <c r="W11" s="8"/>
      <c r="X11" s="8"/>
      <c r="Y11" s="8"/>
      <c r="Z11" s="8"/>
      <c r="AA11" s="8"/>
      <c r="AB11" s="8"/>
      <c r="AC11" s="8"/>
      <c r="AH11" s="38" t="s">
        <v>1342</v>
      </c>
      <c r="AI11" s="39" t="s">
        <v>1343</v>
      </c>
      <c r="AJ11" s="38" t="s">
        <v>6</v>
      </c>
      <c r="AK11" s="39" t="s">
        <v>619</v>
      </c>
      <c r="AL11" s="40">
        <v>91.63</v>
      </c>
      <c r="AM11" s="40">
        <v>78.33</v>
      </c>
      <c r="AN11" s="40">
        <v>86.31</v>
      </c>
      <c r="AO11" s="40" t="s">
        <v>462</v>
      </c>
      <c r="AP11" s="39" t="s">
        <v>475</v>
      </c>
      <c r="AS11" s="81" t="s">
        <v>2266</v>
      </c>
      <c r="AT11" s="38" t="s">
        <v>1342</v>
      </c>
      <c r="AU11" s="39" t="s">
        <v>1343</v>
      </c>
      <c r="AV11" t="s">
        <v>2064</v>
      </c>
    </row>
    <row r="12" spans="1:48" ht="20.100000000000001" customHeight="1" x14ac:dyDescent="0.25">
      <c r="A12" s="4">
        <v>3</v>
      </c>
      <c r="B12" s="4" t="s">
        <v>2266</v>
      </c>
      <c r="C12" s="38" t="s">
        <v>1342</v>
      </c>
      <c r="D12" s="39" t="s">
        <v>1343</v>
      </c>
      <c r="E12" s="38" t="s">
        <v>6</v>
      </c>
      <c r="F12" s="8"/>
      <c r="G12" s="8"/>
      <c r="H12" s="8"/>
      <c r="I12" s="8"/>
      <c r="J12" s="8"/>
      <c r="K12" s="8"/>
      <c r="L12" s="8"/>
      <c r="M12" s="8"/>
      <c r="N12" s="8"/>
      <c r="O12" s="8"/>
      <c r="P12" s="8"/>
      <c r="Q12" s="8"/>
      <c r="R12" s="8"/>
      <c r="S12" s="8"/>
      <c r="T12" s="8"/>
      <c r="U12" s="8"/>
      <c r="V12" s="8"/>
      <c r="W12" s="8"/>
      <c r="X12" s="8"/>
      <c r="Y12" s="8"/>
      <c r="Z12" s="8"/>
      <c r="AA12" s="8"/>
      <c r="AB12" s="8"/>
      <c r="AC12" s="8"/>
      <c r="AH12" s="38" t="s">
        <v>1344</v>
      </c>
      <c r="AI12" s="39" t="s">
        <v>1345</v>
      </c>
      <c r="AJ12" s="38" t="s">
        <v>7</v>
      </c>
      <c r="AK12" s="39" t="s">
        <v>819</v>
      </c>
      <c r="AL12" s="40">
        <v>90.66</v>
      </c>
      <c r="AM12" s="40">
        <v>95</v>
      </c>
      <c r="AN12" s="40">
        <v>92.4</v>
      </c>
      <c r="AO12" s="40" t="s">
        <v>462</v>
      </c>
      <c r="AP12" s="39" t="s">
        <v>475</v>
      </c>
      <c r="AS12" s="81" t="s">
        <v>2285</v>
      </c>
      <c r="AT12" s="38" t="s">
        <v>1344</v>
      </c>
      <c r="AU12" s="39" t="s">
        <v>1345</v>
      </c>
      <c r="AV12" t="s">
        <v>2065</v>
      </c>
    </row>
    <row r="13" spans="1:48" ht="20.100000000000001" customHeight="1" x14ac:dyDescent="0.25">
      <c r="A13" s="4">
        <v>4</v>
      </c>
      <c r="B13" s="4" t="s">
        <v>2285</v>
      </c>
      <c r="C13" s="38" t="s">
        <v>1344</v>
      </c>
      <c r="D13" s="39" t="s">
        <v>1345</v>
      </c>
      <c r="E13" s="38" t="s">
        <v>7</v>
      </c>
      <c r="F13" s="8"/>
      <c r="G13" s="8"/>
      <c r="H13" s="8"/>
      <c r="I13" s="8"/>
      <c r="J13" s="8"/>
      <c r="K13" s="8"/>
      <c r="L13" s="8"/>
      <c r="M13" s="8"/>
      <c r="N13" s="8"/>
      <c r="O13" s="8"/>
      <c r="P13" s="8"/>
      <c r="Q13" s="8"/>
      <c r="R13" s="8"/>
      <c r="S13" s="8"/>
      <c r="T13" s="8"/>
      <c r="U13" s="8"/>
      <c r="V13" s="8"/>
      <c r="W13" s="8"/>
      <c r="X13" s="8"/>
      <c r="Y13" s="8"/>
      <c r="Z13" s="8"/>
      <c r="AA13" s="8"/>
      <c r="AB13" s="8"/>
      <c r="AC13" s="8"/>
      <c r="AH13" s="38" t="s">
        <v>1346</v>
      </c>
      <c r="AI13" s="39" t="s">
        <v>1347</v>
      </c>
      <c r="AJ13" s="38" t="s">
        <v>6</v>
      </c>
      <c r="AK13" s="39" t="s">
        <v>1348</v>
      </c>
      <c r="AL13" s="40" t="s">
        <v>1349</v>
      </c>
      <c r="AM13" s="40" t="s">
        <v>561</v>
      </c>
      <c r="AN13" s="40" t="s">
        <v>1350</v>
      </c>
      <c r="AO13" s="40" t="s">
        <v>462</v>
      </c>
      <c r="AP13" s="39" t="s">
        <v>475</v>
      </c>
      <c r="AS13" s="81" t="s">
        <v>2292</v>
      </c>
      <c r="AT13" s="38" t="s">
        <v>1346</v>
      </c>
      <c r="AU13" s="39" t="s">
        <v>1347</v>
      </c>
      <c r="AV13" t="s">
        <v>2066</v>
      </c>
    </row>
    <row r="14" spans="1:48" ht="20.100000000000001" customHeight="1" x14ac:dyDescent="0.25">
      <c r="A14" s="4">
        <v>5</v>
      </c>
      <c r="B14" s="4" t="s">
        <v>2292</v>
      </c>
      <c r="C14" s="38" t="s">
        <v>1346</v>
      </c>
      <c r="D14" s="39" t="s">
        <v>1347</v>
      </c>
      <c r="E14" s="38" t="s">
        <v>6</v>
      </c>
      <c r="F14" s="8"/>
      <c r="G14" s="8"/>
      <c r="H14" s="8"/>
      <c r="I14" s="8"/>
      <c r="J14" s="8"/>
      <c r="K14" s="8"/>
      <c r="L14" s="8"/>
      <c r="M14" s="8"/>
      <c r="N14" s="8"/>
      <c r="O14" s="8"/>
      <c r="P14" s="8"/>
      <c r="Q14" s="8"/>
      <c r="R14" s="8"/>
      <c r="S14" s="8"/>
      <c r="T14" s="8"/>
      <c r="U14" s="8"/>
      <c r="V14" s="8"/>
      <c r="W14" s="8"/>
      <c r="X14" s="8"/>
      <c r="Y14" s="8"/>
      <c r="Z14" s="8"/>
      <c r="AA14" s="8"/>
      <c r="AB14" s="8"/>
      <c r="AC14" s="8"/>
      <c r="AH14" s="38" t="s">
        <v>1351</v>
      </c>
      <c r="AI14" s="39" t="s">
        <v>1352</v>
      </c>
      <c r="AJ14" s="38" t="s">
        <v>6</v>
      </c>
      <c r="AK14" s="39" t="s">
        <v>603</v>
      </c>
      <c r="AL14" s="40">
        <v>89.31</v>
      </c>
      <c r="AM14" s="40">
        <v>71.67</v>
      </c>
      <c r="AN14" s="40">
        <v>82.25</v>
      </c>
      <c r="AO14" s="40" t="s">
        <v>462</v>
      </c>
      <c r="AP14" s="39" t="s">
        <v>475</v>
      </c>
      <c r="AS14" s="81" t="s">
        <v>2316</v>
      </c>
      <c r="AT14" s="38" t="s">
        <v>1351</v>
      </c>
      <c r="AU14" s="39" t="s">
        <v>1352</v>
      </c>
      <c r="AV14" t="s">
        <v>2067</v>
      </c>
    </row>
    <row r="15" spans="1:48" ht="20.100000000000001" customHeight="1" x14ac:dyDescent="0.25">
      <c r="A15" s="4">
        <v>6</v>
      </c>
      <c r="B15" s="4" t="s">
        <v>2316</v>
      </c>
      <c r="C15" s="38" t="s">
        <v>1351</v>
      </c>
      <c r="D15" s="39" t="s">
        <v>1352</v>
      </c>
      <c r="E15" s="38" t="s">
        <v>6</v>
      </c>
      <c r="F15" s="8"/>
      <c r="G15" s="8"/>
      <c r="H15" s="8"/>
      <c r="I15" s="8"/>
      <c r="J15" s="8"/>
      <c r="K15" s="8"/>
      <c r="L15" s="8"/>
      <c r="M15" s="8"/>
      <c r="N15" s="8"/>
      <c r="O15" s="8"/>
      <c r="P15" s="8"/>
      <c r="Q15" s="8"/>
      <c r="R15" s="8"/>
      <c r="S15" s="8"/>
      <c r="T15" s="8"/>
      <c r="U15" s="8"/>
      <c r="V15" s="8"/>
      <c r="W15" s="8"/>
      <c r="X15" s="8"/>
      <c r="Y15" s="8"/>
      <c r="Z15" s="8"/>
      <c r="AA15" s="8"/>
      <c r="AB15" s="8"/>
      <c r="AC15" s="8"/>
      <c r="AH15" s="38" t="s">
        <v>1353</v>
      </c>
      <c r="AI15" s="39" t="s">
        <v>1354</v>
      </c>
      <c r="AJ15" s="38" t="s">
        <v>6</v>
      </c>
      <c r="AK15" s="39" t="s">
        <v>619</v>
      </c>
      <c r="AL15" s="40" t="s">
        <v>1355</v>
      </c>
      <c r="AM15" s="40" t="s">
        <v>599</v>
      </c>
      <c r="AN15" s="40" t="s">
        <v>1356</v>
      </c>
      <c r="AO15" s="40" t="s">
        <v>462</v>
      </c>
      <c r="AP15" s="39" t="s">
        <v>485</v>
      </c>
      <c r="AS15" s="81" t="s">
        <v>2331</v>
      </c>
      <c r="AT15" s="38" t="s">
        <v>1353</v>
      </c>
      <c r="AU15" s="39" t="s">
        <v>1354</v>
      </c>
      <c r="AV15" t="s">
        <v>2068</v>
      </c>
    </row>
    <row r="16" spans="1:48" ht="20.100000000000001" customHeight="1" x14ac:dyDescent="0.25">
      <c r="A16" s="4">
        <v>7</v>
      </c>
      <c r="B16" s="4" t="s">
        <v>2331</v>
      </c>
      <c r="C16" s="38" t="s">
        <v>1353</v>
      </c>
      <c r="D16" s="39" t="s">
        <v>1354</v>
      </c>
      <c r="E16" s="38" t="s">
        <v>6</v>
      </c>
      <c r="F16" s="8"/>
      <c r="G16" s="8"/>
      <c r="H16" s="8"/>
      <c r="I16" s="8"/>
      <c r="J16" s="8"/>
      <c r="K16" s="8"/>
      <c r="L16" s="8"/>
      <c r="M16" s="8"/>
      <c r="N16" s="8"/>
      <c r="O16" s="8"/>
      <c r="P16" s="8"/>
      <c r="Q16" s="8"/>
      <c r="R16" s="8"/>
      <c r="S16" s="8"/>
      <c r="T16" s="8"/>
      <c r="U16" s="8"/>
      <c r="V16" s="8"/>
      <c r="W16" s="8"/>
      <c r="X16" s="8"/>
      <c r="Y16" s="8"/>
      <c r="Z16" s="8"/>
      <c r="AA16" s="8"/>
      <c r="AB16" s="8"/>
      <c r="AC16" s="8"/>
      <c r="AH16" s="38" t="s">
        <v>1357</v>
      </c>
      <c r="AI16" s="39" t="s">
        <v>1358</v>
      </c>
      <c r="AJ16" s="38" t="s">
        <v>7</v>
      </c>
      <c r="AK16" s="39" t="s">
        <v>1359</v>
      </c>
      <c r="AL16" s="40" t="s">
        <v>1360</v>
      </c>
      <c r="AM16" s="40" t="s">
        <v>811</v>
      </c>
      <c r="AN16" s="40" t="s">
        <v>1361</v>
      </c>
      <c r="AO16" s="40" t="s">
        <v>462</v>
      </c>
      <c r="AP16" s="39" t="s">
        <v>1362</v>
      </c>
      <c r="AS16" s="81" t="s">
        <v>2333</v>
      </c>
      <c r="AT16" s="38" t="s">
        <v>1357</v>
      </c>
      <c r="AU16" s="39" t="s">
        <v>1358</v>
      </c>
      <c r="AV16" t="s">
        <v>2069</v>
      </c>
    </row>
    <row r="17" spans="1:48" ht="20.100000000000001" customHeight="1" x14ac:dyDescent="0.25">
      <c r="A17" s="4">
        <v>8</v>
      </c>
      <c r="B17" s="4" t="s">
        <v>2333</v>
      </c>
      <c r="C17" s="38" t="s">
        <v>1357</v>
      </c>
      <c r="D17" s="39" t="s">
        <v>1358</v>
      </c>
      <c r="E17" s="38" t="s">
        <v>7</v>
      </c>
      <c r="F17" s="8"/>
      <c r="G17" s="8"/>
      <c r="H17" s="8"/>
      <c r="I17" s="8"/>
      <c r="J17" s="8"/>
      <c r="K17" s="8"/>
      <c r="L17" s="8"/>
      <c r="M17" s="8"/>
      <c r="N17" s="8"/>
      <c r="O17" s="8"/>
      <c r="P17" s="8"/>
      <c r="Q17" s="8"/>
      <c r="R17" s="8"/>
      <c r="S17" s="8"/>
      <c r="T17" s="8"/>
      <c r="U17" s="8"/>
      <c r="V17" s="8"/>
      <c r="W17" s="8"/>
      <c r="X17" s="8"/>
      <c r="Y17" s="8"/>
      <c r="Z17" s="8"/>
      <c r="AA17" s="8"/>
      <c r="AB17" s="8"/>
      <c r="AC17" s="8"/>
      <c r="AH17" s="38" t="s">
        <v>1363</v>
      </c>
      <c r="AI17" s="39" t="s">
        <v>1364</v>
      </c>
      <c r="AJ17" s="38" t="s">
        <v>6</v>
      </c>
      <c r="AK17" s="39" t="s">
        <v>619</v>
      </c>
      <c r="AL17" s="40" t="s">
        <v>1365</v>
      </c>
      <c r="AM17" s="40" t="s">
        <v>489</v>
      </c>
      <c r="AN17" s="40" t="s">
        <v>1060</v>
      </c>
      <c r="AO17" s="40" t="s">
        <v>462</v>
      </c>
      <c r="AP17" s="39" t="s">
        <v>1366</v>
      </c>
      <c r="AS17" s="81" t="s">
        <v>2365</v>
      </c>
      <c r="AT17" s="38" t="s">
        <v>1363</v>
      </c>
      <c r="AU17" s="39" t="s">
        <v>1364</v>
      </c>
      <c r="AV17" t="s">
        <v>2070</v>
      </c>
    </row>
    <row r="18" spans="1:48" ht="20.100000000000001" customHeight="1" x14ac:dyDescent="0.25">
      <c r="A18" s="4">
        <v>9</v>
      </c>
      <c r="B18" s="4" t="s">
        <v>2365</v>
      </c>
      <c r="C18" s="38" t="s">
        <v>1363</v>
      </c>
      <c r="D18" s="39" t="s">
        <v>1364</v>
      </c>
      <c r="E18" s="38" t="s">
        <v>6</v>
      </c>
      <c r="F18" s="8"/>
      <c r="G18" s="8"/>
      <c r="H18" s="8"/>
      <c r="I18" s="8"/>
      <c r="J18" s="8"/>
      <c r="K18" s="8"/>
      <c r="L18" s="8"/>
      <c r="M18" s="8"/>
      <c r="N18" s="8"/>
      <c r="O18" s="8"/>
      <c r="P18" s="8"/>
      <c r="Q18" s="8"/>
      <c r="R18" s="8"/>
      <c r="S18" s="8"/>
      <c r="T18" s="8"/>
      <c r="U18" s="8"/>
      <c r="V18" s="8"/>
      <c r="W18" s="8"/>
      <c r="X18" s="8"/>
      <c r="Y18" s="8"/>
      <c r="Z18" s="8"/>
      <c r="AA18" s="8"/>
      <c r="AB18" s="8"/>
      <c r="AC18" s="8"/>
      <c r="AH18" s="38" t="s">
        <v>1367</v>
      </c>
      <c r="AI18" s="39" t="s">
        <v>1368</v>
      </c>
      <c r="AJ18" s="38" t="s">
        <v>6</v>
      </c>
      <c r="AK18" s="39" t="s">
        <v>902</v>
      </c>
      <c r="AL18" s="40" t="s">
        <v>1369</v>
      </c>
      <c r="AM18" s="40" t="s">
        <v>517</v>
      </c>
      <c r="AN18" s="40" t="s">
        <v>1217</v>
      </c>
      <c r="AO18" s="40" t="s">
        <v>462</v>
      </c>
      <c r="AP18" s="39" t="s">
        <v>475</v>
      </c>
      <c r="AS18" s="81" t="s">
        <v>2372</v>
      </c>
      <c r="AT18" s="38" t="s">
        <v>1367</v>
      </c>
      <c r="AU18" s="39" t="s">
        <v>1368</v>
      </c>
      <c r="AV18" t="s">
        <v>2071</v>
      </c>
    </row>
    <row r="19" spans="1:48" ht="20.100000000000001" customHeight="1" x14ac:dyDescent="0.25">
      <c r="A19" s="4">
        <v>10</v>
      </c>
      <c r="B19" s="4" t="s">
        <v>2372</v>
      </c>
      <c r="C19" s="38" t="s">
        <v>1367</v>
      </c>
      <c r="D19" s="39" t="s">
        <v>1368</v>
      </c>
      <c r="E19" s="38" t="s">
        <v>6</v>
      </c>
      <c r="F19" s="8"/>
      <c r="G19" s="8"/>
      <c r="H19" s="8"/>
      <c r="I19" s="8"/>
      <c r="J19" s="8"/>
      <c r="K19" s="8"/>
      <c r="L19" s="8"/>
      <c r="M19" s="8"/>
      <c r="N19" s="8"/>
      <c r="O19" s="8"/>
      <c r="P19" s="8"/>
      <c r="Q19" s="8"/>
      <c r="R19" s="8"/>
      <c r="S19" s="8"/>
      <c r="T19" s="8"/>
      <c r="U19" s="8"/>
      <c r="V19" s="8"/>
      <c r="W19" s="8"/>
      <c r="X19" s="8"/>
      <c r="Y19" s="8"/>
      <c r="Z19" s="8"/>
      <c r="AA19" s="8"/>
      <c r="AB19" s="8"/>
      <c r="AC19" s="8"/>
      <c r="AH19" s="38" t="s">
        <v>1370</v>
      </c>
      <c r="AI19" s="39" t="s">
        <v>1371</v>
      </c>
      <c r="AJ19" s="38" t="s">
        <v>7</v>
      </c>
      <c r="AK19" s="39" t="s">
        <v>494</v>
      </c>
      <c r="AL19" s="40">
        <v>86.34</v>
      </c>
      <c r="AM19" s="40">
        <v>66.67</v>
      </c>
      <c r="AN19" s="40">
        <v>78.47</v>
      </c>
      <c r="AO19" s="40" t="s">
        <v>462</v>
      </c>
      <c r="AP19" s="39" t="s">
        <v>475</v>
      </c>
      <c r="AS19" s="81" t="s">
        <v>2374</v>
      </c>
      <c r="AT19" s="38" t="s">
        <v>1370</v>
      </c>
      <c r="AU19" s="39" t="s">
        <v>1371</v>
      </c>
      <c r="AV19" t="s">
        <v>2072</v>
      </c>
    </row>
    <row r="20" spans="1:48" ht="20.100000000000001" customHeight="1" x14ac:dyDescent="0.25">
      <c r="A20" s="4">
        <v>11</v>
      </c>
      <c r="B20" s="4" t="s">
        <v>2374</v>
      </c>
      <c r="C20" s="38" t="s">
        <v>1370</v>
      </c>
      <c r="D20" s="39" t="s">
        <v>1371</v>
      </c>
      <c r="E20" s="38" t="s">
        <v>7</v>
      </c>
      <c r="F20" s="8"/>
      <c r="G20" s="8"/>
      <c r="H20" s="8"/>
      <c r="I20" s="8"/>
      <c r="J20" s="8"/>
      <c r="K20" s="8"/>
      <c r="L20" s="8"/>
      <c r="M20" s="8"/>
      <c r="N20" s="8"/>
      <c r="O20" s="8"/>
      <c r="P20" s="8"/>
      <c r="Q20" s="8"/>
      <c r="R20" s="8"/>
      <c r="S20" s="8"/>
      <c r="T20" s="8"/>
      <c r="U20" s="8"/>
      <c r="V20" s="8"/>
      <c r="W20" s="8"/>
      <c r="X20" s="8"/>
      <c r="Y20" s="8"/>
      <c r="Z20" s="8"/>
      <c r="AA20" s="8"/>
      <c r="AB20" s="8"/>
      <c r="AC20" s="8"/>
      <c r="AH20" s="38" t="s">
        <v>1372</v>
      </c>
      <c r="AI20" s="39" t="s">
        <v>1373</v>
      </c>
      <c r="AJ20" s="38" t="s">
        <v>7</v>
      </c>
      <c r="AK20" s="39" t="s">
        <v>542</v>
      </c>
      <c r="AL20" s="40">
        <v>90.29</v>
      </c>
      <c r="AM20" s="40">
        <v>76.67</v>
      </c>
      <c r="AN20" s="40">
        <v>84.84</v>
      </c>
      <c r="AO20" s="40" t="s">
        <v>462</v>
      </c>
      <c r="AP20" s="39" t="s">
        <v>475</v>
      </c>
      <c r="AS20" s="81" t="s">
        <v>2376</v>
      </c>
      <c r="AT20" s="38" t="s">
        <v>1372</v>
      </c>
      <c r="AU20" s="39" t="s">
        <v>1373</v>
      </c>
      <c r="AV20" t="s">
        <v>2073</v>
      </c>
    </row>
    <row r="21" spans="1:48" ht="20.100000000000001" customHeight="1" x14ac:dyDescent="0.25">
      <c r="A21" s="4">
        <v>12</v>
      </c>
      <c r="B21" s="4" t="s">
        <v>2376</v>
      </c>
      <c r="C21" s="38" t="s">
        <v>1372</v>
      </c>
      <c r="D21" s="39" t="s">
        <v>1373</v>
      </c>
      <c r="E21" s="38" t="s">
        <v>7</v>
      </c>
      <c r="F21" s="8"/>
      <c r="G21" s="8"/>
      <c r="H21" s="8"/>
      <c r="I21" s="8"/>
      <c r="J21" s="8"/>
      <c r="K21" s="8"/>
      <c r="L21" s="8"/>
      <c r="M21" s="8"/>
      <c r="N21" s="8"/>
      <c r="O21" s="8"/>
      <c r="P21" s="8"/>
      <c r="Q21" s="8"/>
      <c r="R21" s="8"/>
      <c r="S21" s="8"/>
      <c r="T21" s="8"/>
      <c r="U21" s="8"/>
      <c r="V21" s="8"/>
      <c r="W21" s="8"/>
      <c r="X21" s="8"/>
      <c r="Y21" s="8"/>
      <c r="Z21" s="8"/>
      <c r="AA21" s="8"/>
      <c r="AB21" s="8"/>
      <c r="AC21" s="8"/>
      <c r="AH21" s="38" t="s">
        <v>1374</v>
      </c>
      <c r="AI21" s="39" t="s">
        <v>1375</v>
      </c>
      <c r="AJ21" s="38" t="s">
        <v>6</v>
      </c>
      <c r="AK21" s="39" t="s">
        <v>1376</v>
      </c>
      <c r="AL21" s="40">
        <v>91.29</v>
      </c>
      <c r="AM21" s="40">
        <v>63.33</v>
      </c>
      <c r="AN21" s="40">
        <v>80.11</v>
      </c>
      <c r="AO21" s="40" t="s">
        <v>462</v>
      </c>
      <c r="AP21" s="39" t="s">
        <v>475</v>
      </c>
      <c r="AS21" s="81" t="s">
        <v>2379</v>
      </c>
      <c r="AT21" s="38" t="s">
        <v>1374</v>
      </c>
      <c r="AU21" s="39" t="s">
        <v>1375</v>
      </c>
      <c r="AV21" t="s">
        <v>2074</v>
      </c>
    </row>
    <row r="22" spans="1:48" ht="20.100000000000001" customHeight="1" x14ac:dyDescent="0.25">
      <c r="A22" s="4">
        <v>13</v>
      </c>
      <c r="B22" s="4" t="s">
        <v>2379</v>
      </c>
      <c r="C22" s="38" t="s">
        <v>1374</v>
      </c>
      <c r="D22" s="39" t="s">
        <v>1375</v>
      </c>
      <c r="E22" s="38" t="s">
        <v>6</v>
      </c>
      <c r="F22" s="8"/>
      <c r="G22" s="8"/>
      <c r="H22" s="8"/>
      <c r="I22" s="8"/>
      <c r="J22" s="8"/>
      <c r="K22" s="8"/>
      <c r="L22" s="8"/>
      <c r="M22" s="8"/>
      <c r="N22" s="8"/>
      <c r="O22" s="8"/>
      <c r="P22" s="8"/>
      <c r="Q22" s="8"/>
      <c r="R22" s="8"/>
      <c r="S22" s="8"/>
      <c r="T22" s="8"/>
      <c r="U22" s="8"/>
      <c r="V22" s="8"/>
      <c r="W22" s="8"/>
      <c r="X22" s="8"/>
      <c r="Y22" s="8"/>
      <c r="Z22" s="8"/>
      <c r="AA22" s="8"/>
      <c r="AB22" s="8"/>
      <c r="AC22" s="8"/>
      <c r="AH22" s="38" t="s">
        <v>1377</v>
      </c>
      <c r="AI22" s="39" t="s">
        <v>1378</v>
      </c>
      <c r="AJ22" s="38" t="s">
        <v>6</v>
      </c>
      <c r="AK22" s="39" t="s">
        <v>484</v>
      </c>
      <c r="AL22" s="40">
        <v>87.31</v>
      </c>
      <c r="AM22" s="40">
        <v>66.67</v>
      </c>
      <c r="AN22" s="40">
        <v>79.05</v>
      </c>
      <c r="AO22" s="40" t="s">
        <v>462</v>
      </c>
      <c r="AP22" s="39" t="s">
        <v>475</v>
      </c>
      <c r="AS22" s="81" t="s">
        <v>2380</v>
      </c>
      <c r="AT22" s="38" t="s">
        <v>1377</v>
      </c>
      <c r="AU22" s="39" t="s">
        <v>1378</v>
      </c>
      <c r="AV22" t="s">
        <v>2075</v>
      </c>
    </row>
    <row r="23" spans="1:48" ht="20.100000000000001" customHeight="1" x14ac:dyDescent="0.25">
      <c r="A23" s="4">
        <v>14</v>
      </c>
      <c r="B23" s="4" t="s">
        <v>2380</v>
      </c>
      <c r="C23" s="38" t="s">
        <v>1377</v>
      </c>
      <c r="D23" s="39" t="s">
        <v>1378</v>
      </c>
      <c r="E23" s="38" t="s">
        <v>6</v>
      </c>
      <c r="F23" s="8"/>
      <c r="G23" s="8"/>
      <c r="H23" s="8"/>
      <c r="I23" s="8"/>
      <c r="J23" s="8"/>
      <c r="K23" s="8"/>
      <c r="L23" s="8"/>
      <c r="M23" s="8"/>
      <c r="N23" s="8"/>
      <c r="O23" s="8"/>
      <c r="P23" s="8"/>
      <c r="Q23" s="8"/>
      <c r="R23" s="8"/>
      <c r="S23" s="8"/>
      <c r="T23" s="8"/>
      <c r="U23" s="8"/>
      <c r="V23" s="8"/>
      <c r="W23" s="8"/>
      <c r="X23" s="8"/>
      <c r="Y23" s="8"/>
      <c r="Z23" s="8"/>
      <c r="AA23" s="8"/>
      <c r="AB23" s="8"/>
      <c r="AC23" s="8"/>
      <c r="AH23" s="38" t="s">
        <v>1379</v>
      </c>
      <c r="AI23" s="39" t="s">
        <v>1380</v>
      </c>
      <c r="AJ23" s="38" t="s">
        <v>6</v>
      </c>
      <c r="AK23" s="39" t="s">
        <v>1381</v>
      </c>
      <c r="AL23" s="40" t="s">
        <v>1382</v>
      </c>
      <c r="AM23" s="40" t="s">
        <v>561</v>
      </c>
      <c r="AN23" s="40" t="s">
        <v>1383</v>
      </c>
      <c r="AO23" s="40" t="s">
        <v>462</v>
      </c>
      <c r="AP23" s="39" t="s">
        <v>475</v>
      </c>
      <c r="AS23" s="81" t="s">
        <v>2388</v>
      </c>
      <c r="AT23" s="38" t="s">
        <v>1379</v>
      </c>
      <c r="AU23" s="39" t="s">
        <v>1380</v>
      </c>
      <c r="AV23" t="s">
        <v>2076</v>
      </c>
    </row>
    <row r="24" spans="1:48" ht="20.100000000000001" customHeight="1" x14ac:dyDescent="0.25">
      <c r="A24" s="4">
        <v>15</v>
      </c>
      <c r="B24" s="4" t="s">
        <v>2388</v>
      </c>
      <c r="C24" s="38" t="s">
        <v>1379</v>
      </c>
      <c r="D24" s="39" t="s">
        <v>1380</v>
      </c>
      <c r="E24" s="38" t="s">
        <v>6</v>
      </c>
      <c r="F24" s="8"/>
      <c r="G24" s="8"/>
      <c r="H24" s="8"/>
      <c r="I24" s="8"/>
      <c r="J24" s="8"/>
      <c r="K24" s="8"/>
      <c r="L24" s="8"/>
      <c r="M24" s="8"/>
      <c r="N24" s="8"/>
      <c r="O24" s="8"/>
      <c r="P24" s="8"/>
      <c r="Q24" s="8"/>
      <c r="R24" s="8"/>
      <c r="S24" s="8"/>
      <c r="T24" s="8"/>
      <c r="U24" s="8"/>
      <c r="V24" s="8"/>
      <c r="W24" s="8"/>
      <c r="X24" s="8"/>
      <c r="Y24" s="8"/>
      <c r="Z24" s="8"/>
      <c r="AA24" s="8"/>
      <c r="AB24" s="8"/>
      <c r="AC24" s="8"/>
      <c r="AH24" s="38" t="s">
        <v>1384</v>
      </c>
      <c r="AI24" s="39" t="s">
        <v>1385</v>
      </c>
      <c r="AJ24" s="38" t="s">
        <v>6</v>
      </c>
      <c r="AK24" s="39" t="s">
        <v>695</v>
      </c>
      <c r="AL24" s="40" t="s">
        <v>810</v>
      </c>
      <c r="AM24" s="40" t="s">
        <v>811</v>
      </c>
      <c r="AN24" s="40" t="s">
        <v>812</v>
      </c>
      <c r="AO24" s="40" t="s">
        <v>462</v>
      </c>
      <c r="AP24" s="39" t="s">
        <v>475</v>
      </c>
      <c r="AS24" s="81" t="s">
        <v>2413</v>
      </c>
      <c r="AT24" s="38" t="s">
        <v>1384</v>
      </c>
      <c r="AU24" s="39" t="s">
        <v>1385</v>
      </c>
      <c r="AV24" t="s">
        <v>2077</v>
      </c>
    </row>
    <row r="25" spans="1:48" ht="20.100000000000001" customHeight="1" x14ac:dyDescent="0.25">
      <c r="A25" s="4">
        <v>16</v>
      </c>
      <c r="B25" s="4" t="s">
        <v>2413</v>
      </c>
      <c r="C25" s="38" t="s">
        <v>1384</v>
      </c>
      <c r="D25" s="39" t="s">
        <v>1385</v>
      </c>
      <c r="E25" s="38" t="s">
        <v>6</v>
      </c>
      <c r="F25" s="8"/>
      <c r="G25" s="8"/>
      <c r="H25" s="8"/>
      <c r="I25" s="8"/>
      <c r="J25" s="8"/>
      <c r="K25" s="8"/>
      <c r="L25" s="8"/>
      <c r="M25" s="8"/>
      <c r="N25" s="8"/>
      <c r="O25" s="8"/>
      <c r="P25" s="8"/>
      <c r="Q25" s="8"/>
      <c r="R25" s="8"/>
      <c r="S25" s="8"/>
      <c r="T25" s="8"/>
      <c r="U25" s="8"/>
      <c r="V25" s="8"/>
      <c r="W25" s="8"/>
      <c r="X25" s="8"/>
      <c r="Y25" s="8"/>
      <c r="Z25" s="8"/>
      <c r="AA25" s="8"/>
      <c r="AB25" s="8"/>
      <c r="AC25" s="8"/>
      <c r="AH25" s="38" t="s">
        <v>1386</v>
      </c>
      <c r="AI25" s="39" t="s">
        <v>1387</v>
      </c>
      <c r="AJ25" s="38" t="s">
        <v>7</v>
      </c>
      <c r="AK25" s="39" t="s">
        <v>507</v>
      </c>
      <c r="AL25" s="40" t="s">
        <v>1388</v>
      </c>
      <c r="AM25" s="40" t="s">
        <v>697</v>
      </c>
      <c r="AN25" s="40" t="s">
        <v>1389</v>
      </c>
      <c r="AO25" s="40" t="s">
        <v>462</v>
      </c>
      <c r="AP25" s="39" t="s">
        <v>475</v>
      </c>
      <c r="AS25" s="81" t="s">
        <v>2437</v>
      </c>
      <c r="AT25" s="38" t="s">
        <v>1386</v>
      </c>
      <c r="AU25" s="39" t="s">
        <v>1387</v>
      </c>
      <c r="AV25" t="s">
        <v>2078</v>
      </c>
    </row>
    <row r="26" spans="1:48" ht="20.100000000000001" customHeight="1" x14ac:dyDescent="0.25">
      <c r="A26" s="4">
        <v>17</v>
      </c>
      <c r="B26" s="4" t="s">
        <v>2437</v>
      </c>
      <c r="C26" s="38" t="s">
        <v>1386</v>
      </c>
      <c r="D26" s="39" t="s">
        <v>1387</v>
      </c>
      <c r="E26" s="38" t="s">
        <v>7</v>
      </c>
      <c r="F26" s="8"/>
      <c r="G26" s="8"/>
      <c r="H26" s="8"/>
      <c r="I26" s="8"/>
      <c r="J26" s="8"/>
      <c r="K26" s="8"/>
      <c r="L26" s="8"/>
      <c r="M26" s="8"/>
      <c r="N26" s="8"/>
      <c r="O26" s="8"/>
      <c r="P26" s="8"/>
      <c r="Q26" s="8"/>
      <c r="R26" s="8"/>
      <c r="S26" s="8"/>
      <c r="T26" s="8"/>
      <c r="U26" s="8"/>
      <c r="V26" s="8"/>
      <c r="W26" s="8"/>
      <c r="X26" s="8"/>
      <c r="Y26" s="8"/>
      <c r="Z26" s="8"/>
      <c r="AA26" s="8"/>
      <c r="AB26" s="8"/>
      <c r="AC26" s="8"/>
      <c r="AH26" s="38" t="s">
        <v>1390</v>
      </c>
      <c r="AI26" s="39" t="s">
        <v>1391</v>
      </c>
      <c r="AJ26" s="38" t="s">
        <v>7</v>
      </c>
      <c r="AK26" s="39" t="s">
        <v>603</v>
      </c>
      <c r="AL26" s="40">
        <v>87.26</v>
      </c>
      <c r="AM26" s="40">
        <v>63.34</v>
      </c>
      <c r="AN26" s="40">
        <v>77.69</v>
      </c>
      <c r="AO26" s="40" t="s">
        <v>462</v>
      </c>
      <c r="AP26" s="39" t="s">
        <v>485</v>
      </c>
      <c r="AS26" s="81" t="s">
        <v>2438</v>
      </c>
      <c r="AT26" s="38" t="s">
        <v>1390</v>
      </c>
      <c r="AU26" s="39" t="s">
        <v>1391</v>
      </c>
      <c r="AV26" t="s">
        <v>2079</v>
      </c>
    </row>
    <row r="27" spans="1:48" ht="20.100000000000001" customHeight="1" x14ac:dyDescent="0.25">
      <c r="A27" s="4">
        <v>18</v>
      </c>
      <c r="B27" s="4" t="s">
        <v>2438</v>
      </c>
      <c r="C27" s="38" t="s">
        <v>1390</v>
      </c>
      <c r="D27" s="39" t="s">
        <v>1391</v>
      </c>
      <c r="E27" s="38" t="s">
        <v>7</v>
      </c>
      <c r="F27" s="8"/>
      <c r="G27" s="8"/>
      <c r="H27" s="8"/>
      <c r="I27" s="8"/>
      <c r="J27" s="8"/>
      <c r="K27" s="8"/>
      <c r="L27" s="8"/>
      <c r="M27" s="8"/>
      <c r="N27" s="8"/>
      <c r="O27" s="8"/>
      <c r="P27" s="8"/>
      <c r="Q27" s="8"/>
      <c r="R27" s="8"/>
      <c r="S27" s="8"/>
      <c r="T27" s="8"/>
      <c r="U27" s="8"/>
      <c r="V27" s="8"/>
      <c r="W27" s="8"/>
      <c r="X27" s="8"/>
      <c r="Y27" s="8"/>
      <c r="Z27" s="8"/>
      <c r="AA27" s="8"/>
      <c r="AB27" s="8"/>
      <c r="AC27" s="8"/>
      <c r="AH27" s="38" t="s">
        <v>1392</v>
      </c>
      <c r="AI27" s="39" t="s">
        <v>1393</v>
      </c>
      <c r="AJ27" s="38" t="s">
        <v>7</v>
      </c>
      <c r="AK27" s="39" t="s">
        <v>925</v>
      </c>
      <c r="AL27" s="40" t="s">
        <v>1394</v>
      </c>
      <c r="AM27" s="40" t="s">
        <v>561</v>
      </c>
      <c r="AN27" s="40" t="s">
        <v>1395</v>
      </c>
      <c r="AO27" s="40" t="s">
        <v>462</v>
      </c>
      <c r="AP27" s="39" t="s">
        <v>485</v>
      </c>
      <c r="AS27" s="81" t="s">
        <v>2443</v>
      </c>
      <c r="AT27" s="38" t="s">
        <v>1392</v>
      </c>
      <c r="AU27" s="39" t="s">
        <v>1393</v>
      </c>
      <c r="AV27" t="s">
        <v>2080</v>
      </c>
    </row>
    <row r="28" spans="1:48" ht="20.100000000000001" customHeight="1" x14ac:dyDescent="0.25">
      <c r="A28" s="4">
        <v>19</v>
      </c>
      <c r="B28" s="4" t="s">
        <v>2443</v>
      </c>
      <c r="C28" s="38" t="s">
        <v>1392</v>
      </c>
      <c r="D28" s="39" t="s">
        <v>1393</v>
      </c>
      <c r="E28" s="38" t="s">
        <v>7</v>
      </c>
      <c r="F28" s="8"/>
      <c r="G28" s="8"/>
      <c r="H28" s="8"/>
      <c r="I28" s="8"/>
      <c r="J28" s="8"/>
      <c r="K28" s="8"/>
      <c r="L28" s="8"/>
      <c r="M28" s="8"/>
      <c r="N28" s="8"/>
      <c r="O28" s="8"/>
      <c r="P28" s="8"/>
      <c r="Q28" s="8"/>
      <c r="R28" s="8"/>
      <c r="S28" s="8"/>
      <c r="T28" s="8"/>
      <c r="U28" s="8"/>
      <c r="V28" s="8"/>
      <c r="W28" s="8"/>
      <c r="X28" s="8"/>
      <c r="Y28" s="8"/>
      <c r="Z28" s="8"/>
      <c r="AA28" s="8"/>
      <c r="AB28" s="8"/>
      <c r="AC28" s="8"/>
      <c r="AH28" s="38" t="s">
        <v>1396</v>
      </c>
      <c r="AI28" s="39" t="s">
        <v>1397</v>
      </c>
      <c r="AJ28" s="38" t="s">
        <v>7</v>
      </c>
      <c r="AK28" s="39" t="s">
        <v>887</v>
      </c>
      <c r="AL28" s="40">
        <v>88.63</v>
      </c>
      <c r="AM28" s="40">
        <v>70</v>
      </c>
      <c r="AN28" s="40">
        <v>81.180000000000007</v>
      </c>
      <c r="AO28" s="40" t="s">
        <v>462</v>
      </c>
      <c r="AP28" s="39" t="s">
        <v>1398</v>
      </c>
      <c r="AS28" s="81" t="s">
        <v>2449</v>
      </c>
      <c r="AT28" s="38" t="s">
        <v>1396</v>
      </c>
      <c r="AU28" s="39" t="s">
        <v>1397</v>
      </c>
      <c r="AV28" t="s">
        <v>2081</v>
      </c>
    </row>
    <row r="29" spans="1:48" ht="20.100000000000001" customHeight="1" x14ac:dyDescent="0.25">
      <c r="A29" s="4">
        <v>20</v>
      </c>
      <c r="B29" s="4" t="s">
        <v>2449</v>
      </c>
      <c r="C29" s="38" t="s">
        <v>1396</v>
      </c>
      <c r="D29" s="39" t="s">
        <v>1397</v>
      </c>
      <c r="E29" s="38" t="s">
        <v>7</v>
      </c>
      <c r="F29" s="8"/>
      <c r="G29" s="8"/>
      <c r="H29" s="8"/>
      <c r="I29" s="8"/>
      <c r="J29" s="8"/>
      <c r="K29" s="8"/>
      <c r="L29" s="8"/>
      <c r="M29" s="8"/>
      <c r="N29" s="8"/>
      <c r="O29" s="8"/>
      <c r="P29" s="8"/>
      <c r="Q29" s="8"/>
      <c r="R29" s="8"/>
      <c r="S29" s="8"/>
      <c r="T29" s="8"/>
      <c r="U29" s="8"/>
      <c r="V29" s="8"/>
      <c r="W29" s="8"/>
      <c r="X29" s="8"/>
      <c r="Y29" s="8"/>
      <c r="Z29" s="8"/>
      <c r="AA29" s="8"/>
      <c r="AB29" s="8"/>
      <c r="AC29" s="8"/>
      <c r="AH29" s="38" t="s">
        <v>1399</v>
      </c>
      <c r="AI29" s="39" t="s">
        <v>1400</v>
      </c>
      <c r="AJ29" s="38" t="s">
        <v>7</v>
      </c>
      <c r="AK29" s="39" t="s">
        <v>902</v>
      </c>
      <c r="AL29" s="40" t="s">
        <v>1401</v>
      </c>
      <c r="AM29" s="40" t="s">
        <v>537</v>
      </c>
      <c r="AN29" s="40" t="s">
        <v>1402</v>
      </c>
      <c r="AO29" s="40" t="s">
        <v>462</v>
      </c>
      <c r="AP29" s="39" t="s">
        <v>1403</v>
      </c>
      <c r="AS29" s="81" t="s">
        <v>2450</v>
      </c>
      <c r="AT29" s="38" t="s">
        <v>1399</v>
      </c>
      <c r="AU29" s="39" t="s">
        <v>1400</v>
      </c>
      <c r="AV29" t="s">
        <v>2082</v>
      </c>
    </row>
    <row r="30" spans="1:48" ht="20.100000000000001" customHeight="1" x14ac:dyDescent="0.25">
      <c r="A30" s="4">
        <v>21</v>
      </c>
      <c r="B30" s="4" t="s">
        <v>2450</v>
      </c>
      <c r="C30" s="38" t="s">
        <v>1399</v>
      </c>
      <c r="D30" s="39" t="s">
        <v>1400</v>
      </c>
      <c r="E30" s="38" t="s">
        <v>7</v>
      </c>
      <c r="F30" s="8"/>
      <c r="G30" s="8"/>
      <c r="H30" s="8"/>
      <c r="I30" s="8"/>
      <c r="J30" s="8"/>
      <c r="K30" s="8"/>
      <c r="L30" s="8"/>
      <c r="M30" s="8"/>
      <c r="N30" s="8"/>
      <c r="O30" s="8"/>
      <c r="P30" s="8"/>
      <c r="Q30" s="8"/>
      <c r="R30" s="8"/>
      <c r="S30" s="8"/>
      <c r="T30" s="8"/>
      <c r="U30" s="8"/>
      <c r="V30" s="8"/>
      <c r="W30" s="8"/>
      <c r="X30" s="8"/>
      <c r="Y30" s="8"/>
      <c r="Z30" s="8"/>
      <c r="AA30" s="8"/>
      <c r="AB30" s="8"/>
      <c r="AC30" s="8"/>
      <c r="AH30" s="38" t="s">
        <v>1404</v>
      </c>
      <c r="AI30" s="39" t="s">
        <v>1405</v>
      </c>
      <c r="AJ30" s="38" t="s">
        <v>7</v>
      </c>
      <c r="AK30" s="39" t="s">
        <v>1406</v>
      </c>
      <c r="AL30" s="40" t="s">
        <v>1407</v>
      </c>
      <c r="AM30" s="40" t="s">
        <v>480</v>
      </c>
      <c r="AN30" s="40" t="s">
        <v>1325</v>
      </c>
      <c r="AO30" s="40" t="s">
        <v>462</v>
      </c>
      <c r="AP30" s="39" t="s">
        <v>475</v>
      </c>
      <c r="AS30" s="81" t="s">
        <v>2472</v>
      </c>
      <c r="AT30" s="38" t="s">
        <v>1404</v>
      </c>
      <c r="AU30" s="39" t="s">
        <v>1405</v>
      </c>
      <c r="AV30" t="s">
        <v>2083</v>
      </c>
    </row>
    <row r="31" spans="1:48" ht="20.100000000000001" customHeight="1" x14ac:dyDescent="0.25">
      <c r="A31" s="4">
        <v>22</v>
      </c>
      <c r="B31" s="4" t="s">
        <v>2472</v>
      </c>
      <c r="C31" s="38" t="s">
        <v>1404</v>
      </c>
      <c r="D31" s="39" t="s">
        <v>1405</v>
      </c>
      <c r="E31" s="38" t="s">
        <v>7</v>
      </c>
      <c r="F31" s="8"/>
      <c r="G31" s="8"/>
      <c r="H31" s="8"/>
      <c r="I31" s="8"/>
      <c r="J31" s="8"/>
      <c r="K31" s="8"/>
      <c r="L31" s="8"/>
      <c r="M31" s="8"/>
      <c r="N31" s="8"/>
      <c r="O31" s="8"/>
      <c r="P31" s="8"/>
      <c r="Q31" s="8"/>
      <c r="R31" s="8"/>
      <c r="S31" s="8"/>
      <c r="T31" s="8"/>
      <c r="U31" s="8"/>
      <c r="V31" s="8"/>
      <c r="W31" s="8"/>
      <c r="X31" s="8"/>
      <c r="Y31" s="8"/>
      <c r="Z31" s="8"/>
      <c r="AA31" s="8"/>
      <c r="AB31" s="8"/>
      <c r="AC31" s="8"/>
      <c r="AH31" s="38" t="s">
        <v>1408</v>
      </c>
      <c r="AI31" s="39" t="s">
        <v>1409</v>
      </c>
      <c r="AJ31" s="38" t="s">
        <v>6</v>
      </c>
      <c r="AK31" s="39" t="s">
        <v>507</v>
      </c>
      <c r="AL31" s="40">
        <v>88.91</v>
      </c>
      <c r="AM31" s="40">
        <v>75</v>
      </c>
      <c r="AN31" s="40">
        <v>83.35</v>
      </c>
      <c r="AO31" s="40" t="s">
        <v>462</v>
      </c>
      <c r="AP31" s="39" t="s">
        <v>475</v>
      </c>
      <c r="AS31" s="81" t="s">
        <v>2478</v>
      </c>
      <c r="AT31" s="38" t="s">
        <v>1408</v>
      </c>
      <c r="AU31" s="39" t="s">
        <v>1409</v>
      </c>
      <c r="AV31" t="s">
        <v>2084</v>
      </c>
    </row>
    <row r="32" spans="1:48" ht="20.100000000000001" customHeight="1" x14ac:dyDescent="0.25">
      <c r="A32" s="4">
        <v>23</v>
      </c>
      <c r="B32" s="4" t="s">
        <v>2478</v>
      </c>
      <c r="C32" s="38" t="s">
        <v>1408</v>
      </c>
      <c r="D32" s="39" t="s">
        <v>1409</v>
      </c>
      <c r="E32" s="38" t="s">
        <v>6</v>
      </c>
      <c r="F32" s="8"/>
      <c r="G32" s="8"/>
      <c r="H32" s="8"/>
      <c r="I32" s="8"/>
      <c r="J32" s="8"/>
      <c r="K32" s="8"/>
      <c r="L32" s="8"/>
      <c r="M32" s="8"/>
      <c r="N32" s="8"/>
      <c r="O32" s="8"/>
      <c r="P32" s="8"/>
      <c r="Q32" s="8"/>
      <c r="R32" s="8"/>
      <c r="S32" s="8"/>
      <c r="T32" s="8"/>
      <c r="U32" s="8"/>
      <c r="V32" s="8"/>
      <c r="W32" s="8"/>
      <c r="X32" s="8"/>
      <c r="Y32" s="8"/>
      <c r="Z32" s="8"/>
      <c r="AA32" s="8"/>
      <c r="AB32" s="8"/>
      <c r="AC32" s="8"/>
      <c r="AH32" s="38" t="s">
        <v>1410</v>
      </c>
      <c r="AI32" s="39" t="s">
        <v>1411</v>
      </c>
      <c r="AJ32" s="38" t="s">
        <v>6</v>
      </c>
      <c r="AK32" s="39" t="s">
        <v>619</v>
      </c>
      <c r="AL32" s="40" t="s">
        <v>1412</v>
      </c>
      <c r="AM32" s="40" t="s">
        <v>480</v>
      </c>
      <c r="AN32" s="40" t="s">
        <v>1413</v>
      </c>
      <c r="AO32" s="40" t="s">
        <v>462</v>
      </c>
      <c r="AP32" s="39" t="s">
        <v>475</v>
      </c>
      <c r="AS32" s="81" t="s">
        <v>2489</v>
      </c>
      <c r="AT32" s="38" t="s">
        <v>1410</v>
      </c>
      <c r="AU32" s="39" t="s">
        <v>1411</v>
      </c>
      <c r="AV32" t="s">
        <v>2085</v>
      </c>
    </row>
    <row r="33" spans="1:48" ht="20.100000000000001" customHeight="1" x14ac:dyDescent="0.25">
      <c r="A33" s="4">
        <v>24</v>
      </c>
      <c r="B33" s="4" t="s">
        <v>2489</v>
      </c>
      <c r="C33" s="38" t="s">
        <v>1410</v>
      </c>
      <c r="D33" s="39" t="s">
        <v>1411</v>
      </c>
      <c r="E33" s="38" t="s">
        <v>6</v>
      </c>
      <c r="F33" s="8"/>
      <c r="G33" s="8"/>
      <c r="H33" s="8"/>
      <c r="I33" s="8"/>
      <c r="J33" s="8"/>
      <c r="K33" s="8"/>
      <c r="L33" s="8"/>
      <c r="M33" s="8"/>
      <c r="N33" s="8"/>
      <c r="O33" s="8"/>
      <c r="P33" s="8"/>
      <c r="Q33" s="8"/>
      <c r="R33" s="8"/>
      <c r="S33" s="8"/>
      <c r="T33" s="8"/>
      <c r="U33" s="8"/>
      <c r="V33" s="8"/>
      <c r="W33" s="8"/>
      <c r="X33" s="8"/>
      <c r="Y33" s="8"/>
      <c r="Z33" s="8"/>
      <c r="AA33" s="8"/>
      <c r="AB33" s="8"/>
      <c r="AC33" s="8"/>
      <c r="AH33" s="38" t="s">
        <v>1414</v>
      </c>
      <c r="AI33" s="39" t="s">
        <v>1415</v>
      </c>
      <c r="AJ33" s="38" t="s">
        <v>6</v>
      </c>
      <c r="AK33" s="39" t="s">
        <v>484</v>
      </c>
      <c r="AL33" s="40" t="s">
        <v>1216</v>
      </c>
      <c r="AM33" s="40" t="s">
        <v>599</v>
      </c>
      <c r="AN33" s="40" t="s">
        <v>1416</v>
      </c>
      <c r="AO33" s="40" t="s">
        <v>462</v>
      </c>
      <c r="AP33" s="39" t="s">
        <v>475</v>
      </c>
      <c r="AS33" s="81" t="s">
        <v>2493</v>
      </c>
      <c r="AT33" s="38" t="s">
        <v>1414</v>
      </c>
      <c r="AU33" s="39" t="s">
        <v>1415</v>
      </c>
      <c r="AV33" t="s">
        <v>2086</v>
      </c>
    </row>
    <row r="34" spans="1:48" ht="20.100000000000001" customHeight="1" x14ac:dyDescent="0.25">
      <c r="A34" s="4">
        <v>25</v>
      </c>
      <c r="B34" s="4" t="s">
        <v>2493</v>
      </c>
      <c r="C34" s="38" t="s">
        <v>1414</v>
      </c>
      <c r="D34" s="39" t="s">
        <v>1415</v>
      </c>
      <c r="E34" s="38" t="s">
        <v>6</v>
      </c>
      <c r="F34" s="8"/>
      <c r="G34" s="8"/>
      <c r="H34" s="8"/>
      <c r="I34" s="8"/>
      <c r="J34" s="8"/>
      <c r="K34" s="8"/>
      <c r="L34" s="8"/>
      <c r="M34" s="8"/>
      <c r="N34" s="8"/>
      <c r="O34" s="8"/>
      <c r="P34" s="8"/>
      <c r="Q34" s="8"/>
      <c r="R34" s="8"/>
      <c r="S34" s="8"/>
      <c r="T34" s="8"/>
      <c r="U34" s="8"/>
      <c r="V34" s="8"/>
      <c r="W34" s="8"/>
      <c r="X34" s="8"/>
      <c r="Y34" s="8"/>
      <c r="Z34" s="8"/>
      <c r="AA34" s="8"/>
      <c r="AB34" s="8"/>
      <c r="AC34" s="8"/>
      <c r="AH34" s="38" t="s">
        <v>1417</v>
      </c>
      <c r="AI34" s="39" t="s">
        <v>1418</v>
      </c>
      <c r="AJ34" s="38" t="s">
        <v>6</v>
      </c>
      <c r="AK34" s="39" t="s">
        <v>1419</v>
      </c>
      <c r="AL34" s="40" t="s">
        <v>1420</v>
      </c>
      <c r="AM34" s="40" t="s">
        <v>1421</v>
      </c>
      <c r="AN34" s="40" t="s">
        <v>975</v>
      </c>
      <c r="AO34" s="40" t="s">
        <v>462</v>
      </c>
      <c r="AP34" s="39" t="s">
        <v>1422</v>
      </c>
      <c r="AS34" s="81" t="s">
        <v>2508</v>
      </c>
      <c r="AT34" s="38" t="s">
        <v>1417</v>
      </c>
      <c r="AU34" s="39" t="s">
        <v>1418</v>
      </c>
      <c r="AV34" t="s">
        <v>2087</v>
      </c>
    </row>
    <row r="35" spans="1:48" ht="20.100000000000001" customHeight="1" x14ac:dyDescent="0.25">
      <c r="A35" s="4">
        <v>26</v>
      </c>
      <c r="B35" s="4" t="s">
        <v>2508</v>
      </c>
      <c r="C35" s="38" t="s">
        <v>1417</v>
      </c>
      <c r="D35" s="39" t="s">
        <v>1418</v>
      </c>
      <c r="E35" s="38" t="s">
        <v>6</v>
      </c>
      <c r="F35" s="8"/>
      <c r="G35" s="8"/>
      <c r="H35" s="8"/>
      <c r="I35" s="8"/>
      <c r="J35" s="8"/>
      <c r="K35" s="8"/>
      <c r="L35" s="8"/>
      <c r="M35" s="8"/>
      <c r="N35" s="8"/>
      <c r="O35" s="8"/>
      <c r="P35" s="8"/>
      <c r="Q35" s="8"/>
      <c r="R35" s="8"/>
      <c r="S35" s="8"/>
      <c r="T35" s="8"/>
      <c r="U35" s="8"/>
      <c r="V35" s="8"/>
      <c r="W35" s="8"/>
      <c r="X35" s="8"/>
      <c r="Y35" s="8"/>
      <c r="Z35" s="8"/>
      <c r="AA35" s="8"/>
      <c r="AB35" s="8"/>
      <c r="AC35" s="8"/>
      <c r="AH35" s="38" t="s">
        <v>1423</v>
      </c>
      <c r="AI35" s="39" t="s">
        <v>1424</v>
      </c>
      <c r="AJ35" s="38" t="s">
        <v>6</v>
      </c>
      <c r="AK35" s="39" t="s">
        <v>1049</v>
      </c>
      <c r="AL35" s="40" t="s">
        <v>1425</v>
      </c>
      <c r="AM35" s="40" t="s">
        <v>677</v>
      </c>
      <c r="AN35" s="40" t="s">
        <v>1426</v>
      </c>
      <c r="AO35" s="40" t="s">
        <v>462</v>
      </c>
      <c r="AP35" s="39" t="s">
        <v>475</v>
      </c>
      <c r="AS35" s="81" t="s">
        <v>2518</v>
      </c>
      <c r="AT35" s="38" t="s">
        <v>1423</v>
      </c>
      <c r="AU35" s="39" t="s">
        <v>1424</v>
      </c>
      <c r="AV35" t="s">
        <v>2088</v>
      </c>
    </row>
    <row r="36" spans="1:48" ht="20.100000000000001" customHeight="1" x14ac:dyDescent="0.25">
      <c r="A36" s="4">
        <v>27</v>
      </c>
      <c r="B36" s="4" t="s">
        <v>2518</v>
      </c>
      <c r="C36" s="38" t="s">
        <v>1423</v>
      </c>
      <c r="D36" s="39" t="s">
        <v>1424</v>
      </c>
      <c r="E36" s="38" t="s">
        <v>6</v>
      </c>
      <c r="F36" s="8"/>
      <c r="G36" s="8"/>
      <c r="H36" s="8"/>
      <c r="I36" s="8"/>
      <c r="J36" s="8"/>
      <c r="K36" s="8"/>
      <c r="L36" s="8"/>
      <c r="M36" s="8"/>
      <c r="N36" s="8"/>
      <c r="O36" s="8"/>
      <c r="P36" s="8"/>
      <c r="Q36" s="8"/>
      <c r="R36" s="8"/>
      <c r="S36" s="8"/>
      <c r="T36" s="8"/>
      <c r="U36" s="8"/>
      <c r="V36" s="8"/>
      <c r="W36" s="8"/>
      <c r="X36" s="8"/>
      <c r="Y36" s="8"/>
      <c r="Z36" s="8"/>
      <c r="AA36" s="8"/>
      <c r="AB36" s="8"/>
      <c r="AC36" s="8"/>
      <c r="AH36" s="38">
        <v>3110166716</v>
      </c>
      <c r="AI36" s="39" t="s">
        <v>1427</v>
      </c>
      <c r="AJ36" s="38" t="s">
        <v>7</v>
      </c>
      <c r="AK36" s="39" t="s">
        <v>1428</v>
      </c>
      <c r="AL36" s="40" t="s">
        <v>1280</v>
      </c>
      <c r="AM36" s="40" t="s">
        <v>561</v>
      </c>
      <c r="AN36" s="40" t="s">
        <v>1429</v>
      </c>
      <c r="AO36" s="40" t="s">
        <v>462</v>
      </c>
      <c r="AP36" s="39" t="s">
        <v>485</v>
      </c>
      <c r="AS36" s="81" t="s">
        <v>2522</v>
      </c>
      <c r="AT36" s="42" t="s">
        <v>2098</v>
      </c>
      <c r="AU36" s="39" t="s">
        <v>1427</v>
      </c>
      <c r="AV36" t="s">
        <v>2089</v>
      </c>
    </row>
    <row r="37" spans="1:48" ht="20.100000000000001" customHeight="1" x14ac:dyDescent="0.25">
      <c r="A37" s="4">
        <v>28</v>
      </c>
      <c r="B37" s="4" t="s">
        <v>2522</v>
      </c>
      <c r="C37" s="38">
        <v>3110166716</v>
      </c>
      <c r="D37" s="39" t="s">
        <v>1427</v>
      </c>
      <c r="E37" s="38" t="s">
        <v>7</v>
      </c>
      <c r="F37" s="8"/>
      <c r="G37" s="8"/>
      <c r="H37" s="8"/>
      <c r="I37" s="8"/>
      <c r="J37" s="8"/>
      <c r="K37" s="8"/>
      <c r="L37" s="8"/>
      <c r="M37" s="8"/>
      <c r="N37" s="8"/>
      <c r="O37" s="8"/>
      <c r="P37" s="8"/>
      <c r="Q37" s="8"/>
      <c r="R37" s="8"/>
      <c r="S37" s="8"/>
      <c r="T37" s="8"/>
      <c r="U37" s="8"/>
      <c r="V37" s="8"/>
      <c r="W37" s="8"/>
      <c r="X37" s="8"/>
      <c r="Y37" s="8"/>
      <c r="Z37" s="8"/>
      <c r="AA37" s="8"/>
      <c r="AB37" s="8"/>
      <c r="AC37" s="8"/>
      <c r="AH37" s="38" t="s">
        <v>1430</v>
      </c>
      <c r="AI37" s="39" t="s">
        <v>1431</v>
      </c>
      <c r="AJ37" s="38" t="s">
        <v>6</v>
      </c>
      <c r="AK37" s="39" t="s">
        <v>1432</v>
      </c>
      <c r="AL37" s="40">
        <v>86.89</v>
      </c>
      <c r="AM37" s="40">
        <v>51.67</v>
      </c>
      <c r="AN37" s="40">
        <v>71.989999999999995</v>
      </c>
      <c r="AO37" s="40" t="s">
        <v>462</v>
      </c>
      <c r="AP37" s="39"/>
      <c r="AS37" s="81" t="s">
        <v>2526</v>
      </c>
      <c r="AT37" s="38" t="s">
        <v>1430</v>
      </c>
      <c r="AU37" s="39" t="s">
        <v>1431</v>
      </c>
      <c r="AV37" t="s">
        <v>2090</v>
      </c>
    </row>
    <row r="38" spans="1:48" ht="20.100000000000001" customHeight="1" x14ac:dyDescent="0.25">
      <c r="A38" s="4">
        <v>29</v>
      </c>
      <c r="B38" s="4" t="s">
        <v>2526</v>
      </c>
      <c r="C38" s="38" t="s">
        <v>1430</v>
      </c>
      <c r="D38" s="39" t="s">
        <v>1431</v>
      </c>
      <c r="E38" s="38" t="s">
        <v>6</v>
      </c>
      <c r="F38" s="8"/>
      <c r="G38" s="8"/>
      <c r="H38" s="8"/>
      <c r="I38" s="8"/>
      <c r="J38" s="8"/>
      <c r="K38" s="8"/>
      <c r="L38" s="8"/>
      <c r="M38" s="8"/>
      <c r="N38" s="8"/>
      <c r="O38" s="8"/>
      <c r="P38" s="8"/>
      <c r="Q38" s="8"/>
      <c r="R38" s="8"/>
      <c r="S38" s="8"/>
      <c r="T38" s="8"/>
      <c r="U38" s="8"/>
      <c r="V38" s="8"/>
      <c r="W38" s="8"/>
      <c r="X38" s="8"/>
      <c r="Y38" s="8"/>
      <c r="Z38" s="8"/>
      <c r="AA38" s="8"/>
      <c r="AB38" s="8"/>
      <c r="AC38" s="8"/>
      <c r="AH38" s="38" t="s">
        <v>1433</v>
      </c>
      <c r="AI38" s="39" t="s">
        <v>1434</v>
      </c>
      <c r="AJ38" s="38" t="s">
        <v>7</v>
      </c>
      <c r="AK38" s="39" t="s">
        <v>494</v>
      </c>
      <c r="AL38" s="40" t="s">
        <v>1435</v>
      </c>
      <c r="AM38" s="40" t="s">
        <v>985</v>
      </c>
      <c r="AN38" s="40" t="s">
        <v>1436</v>
      </c>
      <c r="AO38" s="40" t="s">
        <v>462</v>
      </c>
      <c r="AP38" s="39"/>
      <c r="AS38" s="81" t="s">
        <v>2528</v>
      </c>
      <c r="AT38" s="38" t="s">
        <v>1433</v>
      </c>
      <c r="AU38" s="39" t="s">
        <v>1434</v>
      </c>
      <c r="AV38" t="s">
        <v>2091</v>
      </c>
    </row>
    <row r="39" spans="1:48" ht="20.100000000000001" customHeight="1" x14ac:dyDescent="0.25">
      <c r="A39" s="4">
        <v>30</v>
      </c>
      <c r="B39" s="4" t="s">
        <v>2528</v>
      </c>
      <c r="C39" s="38" t="s">
        <v>1433</v>
      </c>
      <c r="D39" s="39" t="s">
        <v>1434</v>
      </c>
      <c r="E39" s="38" t="s">
        <v>7</v>
      </c>
      <c r="F39" s="8"/>
      <c r="G39" s="8"/>
      <c r="H39" s="8"/>
      <c r="I39" s="8"/>
      <c r="J39" s="8"/>
      <c r="K39" s="8"/>
      <c r="L39" s="8"/>
      <c r="M39" s="8"/>
      <c r="N39" s="8"/>
      <c r="O39" s="8"/>
      <c r="P39" s="8"/>
      <c r="Q39" s="8"/>
      <c r="R39" s="8"/>
      <c r="S39" s="8"/>
      <c r="T39" s="8"/>
      <c r="U39" s="8"/>
      <c r="V39" s="8"/>
      <c r="W39" s="8"/>
      <c r="X39" s="8"/>
      <c r="Y39" s="8"/>
      <c r="Z39" s="8"/>
      <c r="AA39" s="8"/>
      <c r="AB39" s="8"/>
      <c r="AC39" s="8"/>
      <c r="AH39" s="38" t="s">
        <v>1437</v>
      </c>
      <c r="AI39" s="39" t="s">
        <v>1438</v>
      </c>
      <c r="AJ39" s="38" t="s">
        <v>6</v>
      </c>
      <c r="AK39" s="39" t="s">
        <v>1439</v>
      </c>
      <c r="AL39" s="40">
        <v>89.29</v>
      </c>
      <c r="AM39" s="40">
        <v>53.33</v>
      </c>
      <c r="AN39" s="40">
        <v>74.900000000000006</v>
      </c>
      <c r="AO39" s="40" t="s">
        <v>462</v>
      </c>
      <c r="AP39" s="39" t="s">
        <v>1440</v>
      </c>
      <c r="AS39" s="81" t="s">
        <v>2529</v>
      </c>
      <c r="AT39" s="38" t="s">
        <v>1437</v>
      </c>
      <c r="AU39" s="39" t="s">
        <v>1438</v>
      </c>
      <c r="AV39" t="s">
        <v>2092</v>
      </c>
    </row>
    <row r="40" spans="1:48" ht="20.100000000000001" customHeight="1" x14ac:dyDescent="0.25">
      <c r="A40" s="4">
        <v>31</v>
      </c>
      <c r="B40" s="4" t="s">
        <v>2529</v>
      </c>
      <c r="C40" s="38" t="s">
        <v>1437</v>
      </c>
      <c r="D40" s="39" t="s">
        <v>1438</v>
      </c>
      <c r="E40" s="38" t="s">
        <v>6</v>
      </c>
      <c r="F40" s="8"/>
      <c r="G40" s="8"/>
      <c r="H40" s="8"/>
      <c r="I40" s="8"/>
      <c r="J40" s="8"/>
      <c r="K40" s="8"/>
      <c r="L40" s="8"/>
      <c r="M40" s="8"/>
      <c r="N40" s="8"/>
      <c r="O40" s="8"/>
      <c r="P40" s="8"/>
      <c r="Q40" s="8"/>
      <c r="R40" s="8"/>
      <c r="S40" s="8"/>
      <c r="T40" s="8"/>
      <c r="U40" s="8"/>
      <c r="V40" s="8"/>
      <c r="W40" s="8"/>
      <c r="X40" s="8"/>
      <c r="Y40" s="8"/>
      <c r="Z40" s="8"/>
      <c r="AA40" s="8"/>
      <c r="AB40" s="8"/>
      <c r="AC40" s="8"/>
      <c r="AH40" s="38" t="s">
        <v>1441</v>
      </c>
      <c r="AI40" s="39" t="s">
        <v>1442</v>
      </c>
      <c r="AJ40" s="38" t="s">
        <v>6</v>
      </c>
      <c r="AK40" s="39" t="s">
        <v>1155</v>
      </c>
      <c r="AL40" s="40" t="s">
        <v>1443</v>
      </c>
      <c r="AM40" s="40" t="s">
        <v>593</v>
      </c>
      <c r="AN40" s="40" t="s">
        <v>1444</v>
      </c>
      <c r="AO40" s="40" t="s">
        <v>462</v>
      </c>
      <c r="AP40" s="39" t="s">
        <v>475</v>
      </c>
      <c r="AS40" s="81" t="s">
        <v>2539</v>
      </c>
      <c r="AT40" s="38" t="s">
        <v>1441</v>
      </c>
      <c r="AU40" s="39" t="s">
        <v>1442</v>
      </c>
      <c r="AV40" t="s">
        <v>2093</v>
      </c>
    </row>
    <row r="41" spans="1:48" ht="20.100000000000001" customHeight="1" x14ac:dyDescent="0.25">
      <c r="A41" s="4">
        <v>32</v>
      </c>
      <c r="B41" s="4" t="s">
        <v>2539</v>
      </c>
      <c r="C41" s="38" t="s">
        <v>1441</v>
      </c>
      <c r="D41" s="39" t="s">
        <v>1442</v>
      </c>
      <c r="E41" s="38" t="s">
        <v>6</v>
      </c>
      <c r="F41" s="8"/>
      <c r="G41" s="8"/>
      <c r="H41" s="8"/>
      <c r="I41" s="8"/>
      <c r="J41" s="8"/>
      <c r="K41" s="8"/>
      <c r="L41" s="8"/>
      <c r="M41" s="8"/>
      <c r="N41" s="8"/>
      <c r="O41" s="8"/>
      <c r="P41" s="8"/>
      <c r="Q41" s="8"/>
      <c r="R41" s="8"/>
      <c r="S41" s="8"/>
      <c r="T41" s="8"/>
      <c r="U41" s="8"/>
      <c r="V41" s="8"/>
      <c r="W41" s="8"/>
      <c r="X41" s="8"/>
      <c r="Y41" s="8"/>
      <c r="Z41" s="8"/>
      <c r="AA41" s="8"/>
      <c r="AB41" s="8"/>
      <c r="AC41" s="8"/>
      <c r="AH41" s="38" t="s">
        <v>1445</v>
      </c>
      <c r="AI41" s="39" t="s">
        <v>1446</v>
      </c>
      <c r="AJ41" s="38" t="s">
        <v>6</v>
      </c>
      <c r="AK41" s="39" t="s">
        <v>1447</v>
      </c>
      <c r="AL41" s="40" t="s">
        <v>1448</v>
      </c>
      <c r="AM41" s="40" t="s">
        <v>1449</v>
      </c>
      <c r="AN41" s="40" t="s">
        <v>1450</v>
      </c>
      <c r="AO41" s="40" t="s">
        <v>462</v>
      </c>
      <c r="AP41" s="39" t="s">
        <v>475</v>
      </c>
      <c r="AS41" s="81" t="s">
        <v>2558</v>
      </c>
      <c r="AT41" s="38" t="s">
        <v>1445</v>
      </c>
      <c r="AU41" s="39" t="s">
        <v>1446</v>
      </c>
      <c r="AV41" t="s">
        <v>2094</v>
      </c>
    </row>
    <row r="42" spans="1:48" ht="20.100000000000001" customHeight="1" x14ac:dyDescent="0.25">
      <c r="A42" s="4">
        <v>33</v>
      </c>
      <c r="B42" s="4" t="s">
        <v>2558</v>
      </c>
      <c r="C42" s="38" t="s">
        <v>1445</v>
      </c>
      <c r="D42" s="39" t="s">
        <v>1446</v>
      </c>
      <c r="E42" s="38" t="s">
        <v>6</v>
      </c>
      <c r="F42" s="8"/>
      <c r="G42" s="8"/>
      <c r="H42" s="8"/>
      <c r="I42" s="8"/>
      <c r="J42" s="8"/>
      <c r="K42" s="8"/>
      <c r="L42" s="8"/>
      <c r="M42" s="8"/>
      <c r="N42" s="8"/>
      <c r="O42" s="8"/>
      <c r="P42" s="8"/>
      <c r="Q42" s="8"/>
      <c r="R42" s="8"/>
      <c r="S42" s="8"/>
      <c r="T42" s="8"/>
      <c r="U42" s="8"/>
      <c r="V42" s="8"/>
      <c r="W42" s="8"/>
      <c r="X42" s="8"/>
      <c r="Y42" s="8"/>
      <c r="Z42" s="8"/>
      <c r="AA42" s="8"/>
      <c r="AB42" s="8"/>
      <c r="AC42" s="8"/>
      <c r="AH42" s="38" t="s">
        <v>1451</v>
      </c>
      <c r="AI42" s="39" t="s">
        <v>1452</v>
      </c>
      <c r="AJ42" s="38" t="s">
        <v>6</v>
      </c>
      <c r="AK42" s="39" t="s">
        <v>478</v>
      </c>
      <c r="AL42" s="40" t="s">
        <v>1453</v>
      </c>
      <c r="AM42" s="40" t="s">
        <v>605</v>
      </c>
      <c r="AN42" s="40" t="s">
        <v>1448</v>
      </c>
      <c r="AO42" s="40" t="s">
        <v>462</v>
      </c>
      <c r="AP42" s="39" t="s">
        <v>475</v>
      </c>
      <c r="AS42" s="81" t="s">
        <v>2561</v>
      </c>
      <c r="AT42" s="38" t="s">
        <v>1451</v>
      </c>
      <c r="AU42" s="39" t="s">
        <v>1452</v>
      </c>
      <c r="AV42" t="s">
        <v>2095</v>
      </c>
    </row>
    <row r="43" spans="1:48" ht="20.100000000000001" customHeight="1" x14ac:dyDescent="0.25">
      <c r="A43" s="4">
        <v>34</v>
      </c>
      <c r="B43" s="4" t="s">
        <v>2561</v>
      </c>
      <c r="C43" s="38" t="s">
        <v>1451</v>
      </c>
      <c r="D43" s="39" t="s">
        <v>1452</v>
      </c>
      <c r="E43" s="38" t="s">
        <v>6</v>
      </c>
      <c r="F43" s="8"/>
      <c r="G43" s="8"/>
      <c r="H43" s="8"/>
      <c r="I43" s="8"/>
      <c r="J43" s="8"/>
      <c r="K43" s="8"/>
      <c r="L43" s="8"/>
      <c r="M43" s="8"/>
      <c r="N43" s="8"/>
      <c r="O43" s="8"/>
      <c r="P43" s="8"/>
      <c r="Q43" s="8"/>
      <c r="R43" s="8"/>
      <c r="S43" s="8"/>
      <c r="T43" s="8"/>
      <c r="U43" s="8"/>
      <c r="V43" s="8"/>
      <c r="W43" s="8"/>
      <c r="X43" s="8"/>
      <c r="Y43" s="8"/>
      <c r="Z43" s="8"/>
      <c r="AA43" s="8"/>
      <c r="AB43" s="8"/>
      <c r="AC43" s="8"/>
      <c r="AH43" s="38" t="s">
        <v>1454</v>
      </c>
      <c r="AI43" s="39" t="s">
        <v>1455</v>
      </c>
      <c r="AJ43" s="38" t="s">
        <v>6</v>
      </c>
      <c r="AK43" s="39" t="s">
        <v>1264</v>
      </c>
      <c r="AL43" s="40" t="s">
        <v>532</v>
      </c>
      <c r="AM43" s="40" t="s">
        <v>1456</v>
      </c>
      <c r="AN43" s="40" t="s">
        <v>1457</v>
      </c>
      <c r="AO43" s="40" t="s">
        <v>462</v>
      </c>
      <c r="AP43" s="39" t="s">
        <v>1458</v>
      </c>
      <c r="AS43" s="81" t="s">
        <v>2563</v>
      </c>
      <c r="AT43" s="38" t="s">
        <v>1454</v>
      </c>
      <c r="AU43" s="39" t="s">
        <v>1455</v>
      </c>
      <c r="AV43" t="s">
        <v>2096</v>
      </c>
    </row>
    <row r="44" spans="1:48" ht="20.100000000000001" customHeight="1" x14ac:dyDescent="0.25">
      <c r="A44" s="4">
        <v>35</v>
      </c>
      <c r="B44" s="4" t="s">
        <v>2563</v>
      </c>
      <c r="C44" s="38" t="s">
        <v>1454</v>
      </c>
      <c r="D44" s="39" t="s">
        <v>1455</v>
      </c>
      <c r="E44" s="38" t="s">
        <v>6</v>
      </c>
      <c r="F44" s="8"/>
      <c r="G44" s="8"/>
      <c r="H44" s="8"/>
      <c r="I44" s="8"/>
      <c r="J44" s="8"/>
      <c r="K44" s="8"/>
      <c r="L44" s="8"/>
      <c r="M44" s="8"/>
      <c r="N44" s="8"/>
      <c r="O44" s="8"/>
      <c r="P44" s="8"/>
      <c r="Q44" s="8"/>
      <c r="R44" s="8"/>
      <c r="S44" s="8"/>
      <c r="T44" s="8"/>
      <c r="U44" s="8"/>
      <c r="V44" s="8"/>
      <c r="W44" s="8"/>
      <c r="X44" s="8"/>
      <c r="Y44" s="8"/>
      <c r="Z44" s="8"/>
      <c r="AA44" s="8"/>
      <c r="AB44" s="8"/>
      <c r="AC44" s="8"/>
      <c r="AH44" s="38" t="s">
        <v>1459</v>
      </c>
      <c r="AI44" s="39" t="s">
        <v>1460</v>
      </c>
      <c r="AJ44" s="38" t="s">
        <v>6</v>
      </c>
      <c r="AK44" s="39" t="s">
        <v>1461</v>
      </c>
      <c r="AL44" s="40">
        <v>85</v>
      </c>
      <c r="AM44" s="40">
        <v>60</v>
      </c>
      <c r="AN44" s="40">
        <v>75</v>
      </c>
      <c r="AO44" s="40" t="s">
        <v>462</v>
      </c>
      <c r="AP44" s="39" t="s">
        <v>475</v>
      </c>
      <c r="AS44" s="81" t="s">
        <v>2570</v>
      </c>
      <c r="AT44" s="38" t="s">
        <v>1459</v>
      </c>
      <c r="AU44" s="39" t="s">
        <v>1460</v>
      </c>
      <c r="AV44" t="s">
        <v>2097</v>
      </c>
    </row>
    <row r="45" spans="1:48" ht="20.100000000000001" customHeight="1" x14ac:dyDescent="0.25">
      <c r="A45" s="4">
        <v>36</v>
      </c>
      <c r="B45" s="4" t="s">
        <v>2570</v>
      </c>
      <c r="C45" s="38" t="s">
        <v>1459</v>
      </c>
      <c r="D45" s="39" t="s">
        <v>1460</v>
      </c>
      <c r="E45" s="38" t="s">
        <v>6</v>
      </c>
      <c r="F45" s="8"/>
      <c r="G45" s="8"/>
      <c r="H45" s="8"/>
      <c r="I45" s="8"/>
      <c r="J45" s="8"/>
      <c r="K45" s="8"/>
      <c r="L45" s="8"/>
      <c r="M45" s="8"/>
      <c r="N45" s="8"/>
      <c r="O45" s="8"/>
      <c r="P45" s="8"/>
      <c r="Q45" s="8"/>
      <c r="R45" s="8"/>
      <c r="S45" s="8"/>
      <c r="T45" s="8"/>
      <c r="U45" s="8"/>
      <c r="V45" s="8"/>
      <c r="W45" s="8"/>
      <c r="X45" s="8"/>
      <c r="Y45" s="8"/>
      <c r="Z45" s="8"/>
      <c r="AA45" s="8"/>
      <c r="AB45" s="8"/>
      <c r="AC45" s="8"/>
    </row>
    <row r="46" spans="1:48" x14ac:dyDescent="0.25">
      <c r="A46" s="58" t="s">
        <v>8</v>
      </c>
      <c r="B46" s="58"/>
      <c r="C46" s="58"/>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48" x14ac:dyDescent="0.25">
      <c r="A47" s="58" t="s">
        <v>10</v>
      </c>
      <c r="B47" s="58"/>
      <c r="C47" s="58"/>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48"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pageMargins left="0.62992125984251968" right="0" top="0.47244094488188981" bottom="0.74803149606299213" header="0.31496062992125984" footer="0.31496062992125984"/>
  <pageSetup paperSize="5" scale="80"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E48"/>
  <sheetViews>
    <sheetView topLeftCell="A22" workbookViewId="0">
      <selection activeCell="B10" sqref="B10:B45"/>
    </sheetView>
  </sheetViews>
  <sheetFormatPr defaultColWidth="3.28515625" defaultRowHeight="15" x14ac:dyDescent="0.25"/>
  <cols>
    <col min="1" max="1" width="4.5703125" bestFit="1" customWidth="1"/>
    <col min="2" max="2" width="6.140625" customWidth="1"/>
    <col min="3" max="3" width="11" bestFit="1" customWidth="1"/>
    <col min="4" max="4" width="30.7109375" customWidth="1"/>
    <col min="5" max="5" width="3.7109375" bestFit="1" customWidth="1"/>
    <col min="6" max="29" width="2.7109375" customWidth="1"/>
    <col min="32" max="42" width="0" hidden="1" customWidth="1"/>
    <col min="43" max="43" width="4.5703125" hidden="1" customWidth="1"/>
    <col min="44" max="44" width="8" customWidth="1"/>
    <col min="45" max="45" width="12.85546875" customWidth="1"/>
    <col min="46" max="46" width="27.7109375" customWidth="1"/>
    <col min="54" max="54" width="8.42578125" customWidth="1"/>
    <col min="55" max="55" width="11.85546875" customWidth="1"/>
    <col min="56" max="56" width="8.42578125" customWidth="1"/>
  </cols>
  <sheetData>
    <row r="1" spans="1:57"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57"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F2" s="15" t="s">
        <v>456</v>
      </c>
      <c r="AG2" t="s">
        <v>307</v>
      </c>
      <c r="AH2">
        <v>20527197</v>
      </c>
      <c r="AI2" t="s">
        <v>308</v>
      </c>
      <c r="AJ2" t="s">
        <v>7</v>
      </c>
    </row>
    <row r="3" spans="1:57"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F3" s="15" t="s">
        <v>456</v>
      </c>
      <c r="AG3" t="s">
        <v>266</v>
      </c>
      <c r="AH3">
        <v>20583410</v>
      </c>
      <c r="AI3" t="s">
        <v>267</v>
      </c>
      <c r="AJ3" t="s">
        <v>6</v>
      </c>
    </row>
    <row r="4" spans="1:57"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F4" s="18" t="s">
        <v>237</v>
      </c>
      <c r="AG4" t="s">
        <v>147</v>
      </c>
      <c r="AH4">
        <v>20527197</v>
      </c>
      <c r="AI4" t="s">
        <v>148</v>
      </c>
      <c r="AJ4" t="s">
        <v>6</v>
      </c>
    </row>
    <row r="5" spans="1:57" x14ac:dyDescent="0.25">
      <c r="A5" s="1"/>
      <c r="B5" s="1"/>
      <c r="C5" s="2"/>
      <c r="P5" s="11"/>
      <c r="AF5" s="15" t="s">
        <v>456</v>
      </c>
      <c r="AG5" t="s">
        <v>403</v>
      </c>
      <c r="AH5">
        <v>20527197</v>
      </c>
      <c r="AI5" t="s">
        <v>404</v>
      </c>
      <c r="AJ5" t="s">
        <v>6</v>
      </c>
    </row>
    <row r="6" spans="1:57" ht="3.75" customHeight="1" x14ac:dyDescent="0.25">
      <c r="A6" s="1"/>
      <c r="B6" s="1"/>
      <c r="C6" s="2"/>
      <c r="AF6" s="15" t="s">
        <v>456</v>
      </c>
      <c r="AG6" t="s">
        <v>327</v>
      </c>
      <c r="AH6">
        <v>20527197</v>
      </c>
      <c r="AI6" t="s">
        <v>328</v>
      </c>
      <c r="AJ6" t="s">
        <v>6</v>
      </c>
    </row>
    <row r="7" spans="1:57" x14ac:dyDescent="0.25">
      <c r="A7" s="52" t="s">
        <v>0</v>
      </c>
      <c r="B7" s="53" t="s">
        <v>467</v>
      </c>
      <c r="C7" s="53" t="s">
        <v>1</v>
      </c>
      <c r="D7" s="52" t="s">
        <v>2</v>
      </c>
      <c r="E7" s="54" t="s">
        <v>3</v>
      </c>
      <c r="F7" s="55" t="s">
        <v>4</v>
      </c>
      <c r="G7" s="56"/>
      <c r="H7" s="57"/>
      <c r="I7" s="59" t="s">
        <v>1864</v>
      </c>
      <c r="J7" s="60"/>
      <c r="K7" s="60"/>
      <c r="L7" s="60"/>
      <c r="M7" s="60"/>
      <c r="N7" s="60"/>
      <c r="O7" s="60"/>
      <c r="P7" s="60"/>
      <c r="Q7" s="60"/>
      <c r="R7" s="60"/>
      <c r="S7" s="61"/>
      <c r="T7" s="58" t="s">
        <v>5</v>
      </c>
      <c r="U7" s="58"/>
      <c r="V7" s="67">
        <v>1.99601062024212E+17</v>
      </c>
      <c r="W7" s="68"/>
      <c r="X7" s="68"/>
      <c r="Y7" s="68"/>
      <c r="Z7" s="68"/>
      <c r="AA7" s="68"/>
      <c r="AB7" s="68"/>
      <c r="AC7" s="68"/>
      <c r="AF7" s="15" t="s">
        <v>456</v>
      </c>
      <c r="AG7" t="s">
        <v>431</v>
      </c>
      <c r="AH7">
        <v>20566545</v>
      </c>
      <c r="AI7" t="s">
        <v>432</v>
      </c>
      <c r="AJ7" t="s">
        <v>7</v>
      </c>
    </row>
    <row r="8" spans="1:57"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c r="AF8" s="17" t="s">
        <v>128</v>
      </c>
      <c r="AG8" t="s">
        <v>111</v>
      </c>
      <c r="AH8">
        <v>20527180</v>
      </c>
      <c r="AI8" t="s">
        <v>112</v>
      </c>
      <c r="AJ8" t="s">
        <v>7</v>
      </c>
    </row>
    <row r="9" spans="1:57"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c r="AF9" s="12" t="s">
        <v>49</v>
      </c>
      <c r="AG9" t="s">
        <v>47</v>
      </c>
      <c r="AH9">
        <v>20527197</v>
      </c>
      <c r="AI9" t="s">
        <v>48</v>
      </c>
      <c r="AJ9" t="s">
        <v>7</v>
      </c>
    </row>
    <row r="10" spans="1:57" ht="20.100000000000001" customHeight="1" x14ac:dyDescent="0.25">
      <c r="A10" s="4">
        <v>1</v>
      </c>
      <c r="B10" s="4" t="s">
        <v>2253</v>
      </c>
      <c r="C10" s="38" t="s">
        <v>1462</v>
      </c>
      <c r="D10" s="39" t="s">
        <v>1463</v>
      </c>
      <c r="E10" s="7" t="s">
        <v>6</v>
      </c>
      <c r="F10" s="8"/>
      <c r="G10" s="8"/>
      <c r="H10" s="8"/>
      <c r="I10" s="8"/>
      <c r="J10" s="8"/>
      <c r="K10" s="8"/>
      <c r="L10" s="8"/>
      <c r="M10" s="8"/>
      <c r="N10" s="8"/>
      <c r="O10" s="8"/>
      <c r="P10" s="8"/>
      <c r="Q10" s="8"/>
      <c r="R10" s="8"/>
      <c r="S10" s="8"/>
      <c r="T10" s="8"/>
      <c r="U10" s="8"/>
      <c r="V10" s="8"/>
      <c r="W10" s="8"/>
      <c r="X10" s="8"/>
      <c r="Y10" s="8"/>
      <c r="Z10" s="8"/>
      <c r="AA10" s="8"/>
      <c r="AB10" s="8"/>
      <c r="AC10" s="8"/>
      <c r="AR10" s="38" t="s">
        <v>1462</v>
      </c>
      <c r="AS10" s="39" t="s">
        <v>1463</v>
      </c>
      <c r="AT10" s="38" t="s">
        <v>6</v>
      </c>
      <c r="AU10" s="39" t="s">
        <v>1464</v>
      </c>
      <c r="AV10" s="40" t="s">
        <v>1465</v>
      </c>
      <c r="AW10" s="40" t="s">
        <v>548</v>
      </c>
      <c r="AX10" s="40" t="s">
        <v>1466</v>
      </c>
      <c r="AY10" s="40" t="s">
        <v>463</v>
      </c>
      <c r="AZ10" s="39" t="s">
        <v>475</v>
      </c>
      <c r="BB10" s="81" t="s">
        <v>2253</v>
      </c>
      <c r="BC10" s="38" t="s">
        <v>1462</v>
      </c>
      <c r="BD10" s="39" t="s">
        <v>1463</v>
      </c>
      <c r="BE10" t="s">
        <v>1988</v>
      </c>
    </row>
    <row r="11" spans="1:57" ht="20.100000000000001" customHeight="1" x14ac:dyDescent="0.25">
      <c r="A11" s="4">
        <v>2</v>
      </c>
      <c r="B11" s="4" t="s">
        <v>2259</v>
      </c>
      <c r="C11" s="38" t="s">
        <v>1467</v>
      </c>
      <c r="D11" s="39" t="s">
        <v>1468</v>
      </c>
      <c r="E11" s="7" t="s">
        <v>6</v>
      </c>
      <c r="F11" s="8"/>
      <c r="G11" s="8"/>
      <c r="H11" s="8"/>
      <c r="I11" s="8"/>
      <c r="J11" s="8"/>
      <c r="K11" s="8"/>
      <c r="L11" s="8"/>
      <c r="M11" s="8"/>
      <c r="N11" s="8"/>
      <c r="O11" s="8"/>
      <c r="P11" s="8"/>
      <c r="Q11" s="8"/>
      <c r="R11" s="8"/>
      <c r="S11" s="8"/>
      <c r="T11" s="8"/>
      <c r="U11" s="8"/>
      <c r="V11" s="8"/>
      <c r="W11" s="8"/>
      <c r="X11" s="8"/>
      <c r="Y11" s="8"/>
      <c r="Z11" s="8"/>
      <c r="AA11" s="8"/>
      <c r="AB11" s="8"/>
      <c r="AC11" s="8"/>
      <c r="AR11" s="38" t="s">
        <v>1467</v>
      </c>
      <c r="AS11" s="39" t="s">
        <v>1468</v>
      </c>
      <c r="AT11" s="38" t="s">
        <v>6</v>
      </c>
      <c r="AU11" s="39" t="s">
        <v>1469</v>
      </c>
      <c r="AV11" s="40">
        <v>87.26</v>
      </c>
      <c r="AW11" s="40">
        <v>63.34</v>
      </c>
      <c r="AX11" s="40">
        <v>77.69</v>
      </c>
      <c r="AY11" s="40" t="s">
        <v>463</v>
      </c>
      <c r="AZ11" s="39" t="s">
        <v>475</v>
      </c>
      <c r="BB11" s="81" t="s">
        <v>2259</v>
      </c>
      <c r="BC11" s="38" t="s">
        <v>1467</v>
      </c>
      <c r="BD11" s="39" t="s">
        <v>1468</v>
      </c>
      <c r="BE11" t="s">
        <v>2099</v>
      </c>
    </row>
    <row r="12" spans="1:57" ht="20.100000000000001" customHeight="1" x14ac:dyDescent="0.25">
      <c r="A12" s="4">
        <v>3</v>
      </c>
      <c r="B12" s="4" t="s">
        <v>2265</v>
      </c>
      <c r="C12" s="38" t="s">
        <v>1470</v>
      </c>
      <c r="D12" s="39" t="s">
        <v>1471</v>
      </c>
      <c r="E12" s="7" t="s">
        <v>6</v>
      </c>
      <c r="F12" s="8"/>
      <c r="G12" s="8"/>
      <c r="H12" s="8"/>
      <c r="I12" s="8"/>
      <c r="J12" s="8"/>
      <c r="K12" s="8"/>
      <c r="L12" s="8"/>
      <c r="M12" s="8"/>
      <c r="N12" s="8"/>
      <c r="O12" s="8"/>
      <c r="P12" s="8"/>
      <c r="Q12" s="8"/>
      <c r="R12" s="8"/>
      <c r="S12" s="8"/>
      <c r="T12" s="8"/>
      <c r="U12" s="8"/>
      <c r="V12" s="8"/>
      <c r="W12" s="8"/>
      <c r="X12" s="8"/>
      <c r="Y12" s="8"/>
      <c r="Z12" s="8"/>
      <c r="AA12" s="8"/>
      <c r="AB12" s="8"/>
      <c r="AC12" s="8"/>
      <c r="AR12" s="38" t="s">
        <v>1470</v>
      </c>
      <c r="AS12" s="39" t="s">
        <v>1471</v>
      </c>
      <c r="AT12" s="38" t="s">
        <v>6</v>
      </c>
      <c r="AU12" s="39" t="s">
        <v>609</v>
      </c>
      <c r="AV12" s="40">
        <v>89.26</v>
      </c>
      <c r="AW12" s="40">
        <v>71.67</v>
      </c>
      <c r="AX12" s="40">
        <v>82.22</v>
      </c>
      <c r="AY12" s="40" t="s">
        <v>463</v>
      </c>
      <c r="AZ12" s="39" t="s">
        <v>475</v>
      </c>
      <c r="BB12" s="81" t="s">
        <v>2265</v>
      </c>
      <c r="BC12" s="38" t="s">
        <v>1470</v>
      </c>
      <c r="BD12" s="39" t="s">
        <v>1471</v>
      </c>
      <c r="BE12" t="s">
        <v>2100</v>
      </c>
    </row>
    <row r="13" spans="1:57" ht="20.100000000000001" customHeight="1" x14ac:dyDescent="0.25">
      <c r="A13" s="4">
        <v>4</v>
      </c>
      <c r="B13" s="4" t="s">
        <v>2302</v>
      </c>
      <c r="C13" s="38" t="s">
        <v>1472</v>
      </c>
      <c r="D13" s="39" t="s">
        <v>1473</v>
      </c>
      <c r="E13" s="7" t="s">
        <v>7</v>
      </c>
      <c r="F13" s="8"/>
      <c r="G13" s="8"/>
      <c r="H13" s="8"/>
      <c r="I13" s="8"/>
      <c r="J13" s="8"/>
      <c r="K13" s="8"/>
      <c r="L13" s="8"/>
      <c r="M13" s="8"/>
      <c r="N13" s="8"/>
      <c r="O13" s="8"/>
      <c r="P13" s="8"/>
      <c r="Q13" s="8"/>
      <c r="R13" s="8"/>
      <c r="S13" s="8"/>
      <c r="T13" s="8"/>
      <c r="U13" s="8"/>
      <c r="V13" s="8"/>
      <c r="W13" s="8"/>
      <c r="X13" s="8"/>
      <c r="Y13" s="8"/>
      <c r="Z13" s="8"/>
      <c r="AA13" s="8"/>
      <c r="AB13" s="8"/>
      <c r="AC13" s="8"/>
      <c r="AR13" s="38" t="s">
        <v>1472</v>
      </c>
      <c r="AS13" s="39" t="s">
        <v>1473</v>
      </c>
      <c r="AT13" s="38" t="s">
        <v>7</v>
      </c>
      <c r="AU13" s="39" t="s">
        <v>1474</v>
      </c>
      <c r="AV13" s="40" t="s">
        <v>935</v>
      </c>
      <c r="AW13" s="40" t="s">
        <v>720</v>
      </c>
      <c r="AX13" s="40" t="s">
        <v>1475</v>
      </c>
      <c r="AY13" s="40" t="s">
        <v>463</v>
      </c>
      <c r="AZ13" s="39" t="s">
        <v>475</v>
      </c>
      <c r="BB13" s="81" t="s">
        <v>2302</v>
      </c>
      <c r="BC13" s="38" t="s">
        <v>1472</v>
      </c>
      <c r="BD13" s="39" t="s">
        <v>1473</v>
      </c>
      <c r="BE13" t="s">
        <v>2101</v>
      </c>
    </row>
    <row r="14" spans="1:57" ht="20.100000000000001" customHeight="1" x14ac:dyDescent="0.25">
      <c r="A14" s="4">
        <v>5</v>
      </c>
      <c r="B14" s="4" t="s">
        <v>2313</v>
      </c>
      <c r="C14" s="38" t="s">
        <v>1476</v>
      </c>
      <c r="D14" s="39" t="s">
        <v>1477</v>
      </c>
      <c r="E14" s="7" t="s">
        <v>6</v>
      </c>
      <c r="F14" s="8"/>
      <c r="G14" s="8"/>
      <c r="H14" s="8"/>
      <c r="I14" s="8"/>
      <c r="J14" s="8"/>
      <c r="K14" s="8"/>
      <c r="L14" s="8"/>
      <c r="M14" s="8"/>
      <c r="N14" s="8"/>
      <c r="O14" s="8"/>
      <c r="P14" s="8"/>
      <c r="Q14" s="8"/>
      <c r="R14" s="8"/>
      <c r="S14" s="8"/>
      <c r="T14" s="8"/>
      <c r="U14" s="8"/>
      <c r="V14" s="8"/>
      <c r="W14" s="8"/>
      <c r="X14" s="8"/>
      <c r="Y14" s="8"/>
      <c r="Z14" s="8"/>
      <c r="AA14" s="8"/>
      <c r="AB14" s="8"/>
      <c r="AC14" s="8"/>
      <c r="AR14" s="38" t="s">
        <v>1476</v>
      </c>
      <c r="AS14" s="39" t="s">
        <v>1477</v>
      </c>
      <c r="AT14" s="38" t="s">
        <v>6</v>
      </c>
      <c r="AU14" s="39" t="s">
        <v>925</v>
      </c>
      <c r="AV14" s="40" t="s">
        <v>1478</v>
      </c>
      <c r="AW14" s="40" t="s">
        <v>688</v>
      </c>
      <c r="AX14" s="40" t="s">
        <v>1479</v>
      </c>
      <c r="AY14" s="40" t="s">
        <v>463</v>
      </c>
      <c r="AZ14" s="39" t="s">
        <v>1480</v>
      </c>
      <c r="BB14" s="81" t="s">
        <v>2313</v>
      </c>
      <c r="BC14" s="38" t="s">
        <v>1476</v>
      </c>
      <c r="BD14" s="39" t="s">
        <v>1477</v>
      </c>
      <c r="BE14" t="s">
        <v>2102</v>
      </c>
    </row>
    <row r="15" spans="1:57" ht="20.100000000000001" customHeight="1" x14ac:dyDescent="0.25">
      <c r="A15" s="4">
        <v>6</v>
      </c>
      <c r="B15" s="4" t="s">
        <v>2318</v>
      </c>
      <c r="C15" s="38" t="s">
        <v>1481</v>
      </c>
      <c r="D15" s="39" t="s">
        <v>1482</v>
      </c>
      <c r="E15" s="7" t="s">
        <v>7</v>
      </c>
      <c r="F15" s="8"/>
      <c r="G15" s="8"/>
      <c r="H15" s="8"/>
      <c r="I15" s="8"/>
      <c r="J15" s="8"/>
      <c r="K15" s="8"/>
      <c r="L15" s="8"/>
      <c r="M15" s="8"/>
      <c r="N15" s="8"/>
      <c r="O15" s="8"/>
      <c r="P15" s="8"/>
      <c r="Q15" s="8"/>
      <c r="R15" s="8"/>
      <c r="S15" s="8"/>
      <c r="T15" s="8"/>
      <c r="U15" s="8"/>
      <c r="V15" s="8"/>
      <c r="W15" s="8"/>
      <c r="X15" s="8"/>
      <c r="Y15" s="8"/>
      <c r="Z15" s="8"/>
      <c r="AA15" s="8"/>
      <c r="AB15" s="8"/>
      <c r="AC15" s="8"/>
      <c r="AR15" s="38" t="s">
        <v>1481</v>
      </c>
      <c r="AS15" s="39" t="s">
        <v>1482</v>
      </c>
      <c r="AT15" s="38" t="s">
        <v>7</v>
      </c>
      <c r="AU15" s="39" t="s">
        <v>953</v>
      </c>
      <c r="AV15" s="40">
        <v>87.91</v>
      </c>
      <c r="AW15" s="40">
        <v>65</v>
      </c>
      <c r="AX15" s="40">
        <v>78.75</v>
      </c>
      <c r="AY15" s="40" t="s">
        <v>463</v>
      </c>
      <c r="AZ15" s="39" t="s">
        <v>648</v>
      </c>
      <c r="BB15" s="81" t="s">
        <v>2318</v>
      </c>
      <c r="BC15" s="38" t="s">
        <v>1481</v>
      </c>
      <c r="BD15" s="39" t="s">
        <v>1482</v>
      </c>
      <c r="BE15" t="s">
        <v>2103</v>
      </c>
    </row>
    <row r="16" spans="1:57" ht="20.100000000000001" customHeight="1" x14ac:dyDescent="0.25">
      <c r="A16" s="4">
        <v>7</v>
      </c>
      <c r="B16" s="4" t="s">
        <v>2320</v>
      </c>
      <c r="C16" s="38" t="s">
        <v>1483</v>
      </c>
      <c r="D16" s="39" t="s">
        <v>1484</v>
      </c>
      <c r="E16" s="7" t="s">
        <v>7</v>
      </c>
      <c r="F16" s="8"/>
      <c r="G16" s="8"/>
      <c r="H16" s="8"/>
      <c r="I16" s="8"/>
      <c r="J16" s="8"/>
      <c r="K16" s="8"/>
      <c r="L16" s="8"/>
      <c r="M16" s="8"/>
      <c r="N16" s="8"/>
      <c r="O16" s="8"/>
      <c r="P16" s="8"/>
      <c r="Q16" s="8"/>
      <c r="R16" s="8"/>
      <c r="S16" s="8"/>
      <c r="T16" s="8"/>
      <c r="U16" s="8"/>
      <c r="V16" s="8"/>
      <c r="W16" s="8"/>
      <c r="X16" s="8"/>
      <c r="Y16" s="8"/>
      <c r="Z16" s="8"/>
      <c r="AA16" s="8"/>
      <c r="AB16" s="8"/>
      <c r="AC16" s="8"/>
      <c r="AR16" s="38" t="s">
        <v>1483</v>
      </c>
      <c r="AS16" s="39" t="s">
        <v>1484</v>
      </c>
      <c r="AT16" s="38" t="s">
        <v>7</v>
      </c>
      <c r="AU16" s="39" t="s">
        <v>484</v>
      </c>
      <c r="AV16" s="40" t="s">
        <v>1485</v>
      </c>
      <c r="AW16" s="40" t="s">
        <v>1140</v>
      </c>
      <c r="AX16" s="40" t="s">
        <v>1486</v>
      </c>
      <c r="AY16" s="40" t="s">
        <v>463</v>
      </c>
      <c r="AZ16" s="39" t="s">
        <v>1487</v>
      </c>
      <c r="BB16" s="81" t="s">
        <v>2320</v>
      </c>
      <c r="BC16" s="38" t="s">
        <v>1483</v>
      </c>
      <c r="BD16" s="39" t="s">
        <v>1484</v>
      </c>
      <c r="BE16" t="s">
        <v>2104</v>
      </c>
    </row>
    <row r="17" spans="1:57" ht="20.100000000000001" customHeight="1" x14ac:dyDescent="0.25">
      <c r="A17" s="4">
        <v>8</v>
      </c>
      <c r="B17" s="4" t="s">
        <v>2322</v>
      </c>
      <c r="C17" s="38" t="s">
        <v>1488</v>
      </c>
      <c r="D17" s="39" t="s">
        <v>1489</v>
      </c>
      <c r="E17" s="7" t="s">
        <v>6</v>
      </c>
      <c r="F17" s="8"/>
      <c r="G17" s="8"/>
      <c r="H17" s="8"/>
      <c r="I17" s="8"/>
      <c r="J17" s="8"/>
      <c r="K17" s="8"/>
      <c r="L17" s="8"/>
      <c r="M17" s="8"/>
      <c r="N17" s="8"/>
      <c r="O17" s="8"/>
      <c r="P17" s="8"/>
      <c r="Q17" s="8"/>
      <c r="R17" s="8"/>
      <c r="S17" s="8"/>
      <c r="T17" s="8"/>
      <c r="U17" s="8"/>
      <c r="V17" s="8"/>
      <c r="W17" s="8"/>
      <c r="X17" s="8"/>
      <c r="Y17" s="8"/>
      <c r="Z17" s="8"/>
      <c r="AA17" s="8"/>
      <c r="AB17" s="8"/>
      <c r="AC17" s="8"/>
      <c r="AR17" s="38" t="s">
        <v>1488</v>
      </c>
      <c r="AS17" s="39" t="s">
        <v>1489</v>
      </c>
      <c r="AT17" s="38" t="s">
        <v>6</v>
      </c>
      <c r="AU17" s="39" t="s">
        <v>1490</v>
      </c>
      <c r="AV17" s="40">
        <v>84.82</v>
      </c>
      <c r="AW17" s="40">
        <v>68.334999999999994</v>
      </c>
      <c r="AX17" s="40">
        <v>78.23</v>
      </c>
      <c r="AY17" s="40" t="s">
        <v>463</v>
      </c>
      <c r="AZ17" s="39" t="s">
        <v>475</v>
      </c>
      <c r="BB17" s="81" t="s">
        <v>2322</v>
      </c>
      <c r="BC17" s="38" t="s">
        <v>1488</v>
      </c>
      <c r="BD17" s="39" t="s">
        <v>1489</v>
      </c>
      <c r="BE17" t="s">
        <v>2105</v>
      </c>
    </row>
    <row r="18" spans="1:57" ht="20.100000000000001" customHeight="1" x14ac:dyDescent="0.25">
      <c r="A18" s="4">
        <v>9</v>
      </c>
      <c r="B18" s="4" t="s">
        <v>2335</v>
      </c>
      <c r="C18" s="38" t="s">
        <v>1491</v>
      </c>
      <c r="D18" s="39" t="s">
        <v>1492</v>
      </c>
      <c r="E18" s="7" t="s">
        <v>6</v>
      </c>
      <c r="F18" s="8"/>
      <c r="G18" s="8"/>
      <c r="H18" s="8"/>
      <c r="I18" s="8"/>
      <c r="J18" s="8"/>
      <c r="K18" s="8"/>
      <c r="L18" s="8"/>
      <c r="M18" s="8"/>
      <c r="N18" s="8"/>
      <c r="O18" s="8"/>
      <c r="P18" s="8"/>
      <c r="Q18" s="8"/>
      <c r="R18" s="8"/>
      <c r="S18" s="8"/>
      <c r="T18" s="8"/>
      <c r="U18" s="8"/>
      <c r="V18" s="8"/>
      <c r="W18" s="8"/>
      <c r="X18" s="8"/>
      <c r="Y18" s="8"/>
      <c r="Z18" s="8"/>
      <c r="AA18" s="8"/>
      <c r="AB18" s="8"/>
      <c r="AC18" s="8"/>
      <c r="AR18" s="38" t="s">
        <v>1491</v>
      </c>
      <c r="AS18" s="39" t="s">
        <v>1492</v>
      </c>
      <c r="AT18" s="38" t="s">
        <v>6</v>
      </c>
      <c r="AU18" s="39" t="s">
        <v>1493</v>
      </c>
      <c r="AV18" s="40">
        <v>90.09</v>
      </c>
      <c r="AW18" s="40">
        <v>88.34</v>
      </c>
      <c r="AX18" s="40">
        <v>89.39</v>
      </c>
      <c r="AY18" s="40" t="s">
        <v>463</v>
      </c>
      <c r="AZ18" s="39" t="s">
        <v>475</v>
      </c>
      <c r="BB18" s="81" t="s">
        <v>2335</v>
      </c>
      <c r="BC18" s="38" t="s">
        <v>1491</v>
      </c>
      <c r="BD18" s="39" t="s">
        <v>1492</v>
      </c>
      <c r="BE18" t="s">
        <v>2106</v>
      </c>
    </row>
    <row r="19" spans="1:57" ht="20.100000000000001" customHeight="1" x14ac:dyDescent="0.25">
      <c r="A19" s="4">
        <v>10</v>
      </c>
      <c r="B19" s="4" t="s">
        <v>2359</v>
      </c>
      <c r="C19" s="38" t="s">
        <v>1494</v>
      </c>
      <c r="D19" s="39" t="s">
        <v>1495</v>
      </c>
      <c r="E19" s="7" t="s">
        <v>6</v>
      </c>
      <c r="F19" s="8"/>
      <c r="G19" s="8"/>
      <c r="H19" s="8"/>
      <c r="I19" s="8"/>
      <c r="J19" s="8"/>
      <c r="K19" s="8"/>
      <c r="L19" s="8"/>
      <c r="M19" s="8"/>
      <c r="N19" s="8"/>
      <c r="O19" s="8"/>
      <c r="P19" s="8"/>
      <c r="Q19" s="8"/>
      <c r="R19" s="8"/>
      <c r="S19" s="8"/>
      <c r="T19" s="8"/>
      <c r="U19" s="8"/>
      <c r="V19" s="8"/>
      <c r="W19" s="8"/>
      <c r="X19" s="8"/>
      <c r="Y19" s="8"/>
      <c r="Z19" s="8"/>
      <c r="AA19" s="8"/>
      <c r="AB19" s="8"/>
      <c r="AC19" s="8"/>
      <c r="AR19" s="38" t="s">
        <v>1494</v>
      </c>
      <c r="AS19" s="39" t="s">
        <v>1495</v>
      </c>
      <c r="AT19" s="38" t="s">
        <v>6</v>
      </c>
      <c r="AU19" s="39" t="s">
        <v>1059</v>
      </c>
      <c r="AV19" s="40" t="s">
        <v>1496</v>
      </c>
      <c r="AW19" s="40" t="s">
        <v>1497</v>
      </c>
      <c r="AX19" s="40" t="s">
        <v>1498</v>
      </c>
      <c r="AY19" s="40" t="s">
        <v>463</v>
      </c>
      <c r="AZ19" s="39" t="s">
        <v>1499</v>
      </c>
      <c r="BB19" s="81" t="s">
        <v>2359</v>
      </c>
      <c r="BC19" s="38" t="s">
        <v>1494</v>
      </c>
      <c r="BD19" s="39" t="s">
        <v>1495</v>
      </c>
      <c r="BE19" t="s">
        <v>2107</v>
      </c>
    </row>
    <row r="20" spans="1:57" ht="20.100000000000001" customHeight="1" x14ac:dyDescent="0.25">
      <c r="A20" s="4">
        <v>11</v>
      </c>
      <c r="B20" s="4" t="s">
        <v>2360</v>
      </c>
      <c r="C20" s="38" t="s">
        <v>1500</v>
      </c>
      <c r="D20" s="39" t="s">
        <v>1501</v>
      </c>
      <c r="E20" s="7" t="s">
        <v>6</v>
      </c>
      <c r="F20" s="8"/>
      <c r="G20" s="8"/>
      <c r="H20" s="8"/>
      <c r="I20" s="8"/>
      <c r="J20" s="8"/>
      <c r="K20" s="8"/>
      <c r="L20" s="8"/>
      <c r="M20" s="8"/>
      <c r="N20" s="8"/>
      <c r="O20" s="8"/>
      <c r="P20" s="8"/>
      <c r="Q20" s="8"/>
      <c r="R20" s="8"/>
      <c r="S20" s="8"/>
      <c r="T20" s="8"/>
      <c r="U20" s="8"/>
      <c r="V20" s="8"/>
      <c r="W20" s="8"/>
      <c r="X20" s="8"/>
      <c r="Y20" s="8"/>
      <c r="Z20" s="8"/>
      <c r="AA20" s="8"/>
      <c r="AB20" s="8"/>
      <c r="AC20" s="8"/>
      <c r="AR20" s="38" t="s">
        <v>1500</v>
      </c>
      <c r="AS20" s="39" t="s">
        <v>1501</v>
      </c>
      <c r="AT20" s="38" t="s">
        <v>6</v>
      </c>
      <c r="AU20" s="39" t="s">
        <v>1502</v>
      </c>
      <c r="AV20" s="40" t="s">
        <v>1503</v>
      </c>
      <c r="AW20" s="40" t="s">
        <v>473</v>
      </c>
      <c r="AX20" s="40" t="s">
        <v>1325</v>
      </c>
      <c r="AY20" s="40" t="s">
        <v>463</v>
      </c>
      <c r="AZ20" s="39" t="s">
        <v>1504</v>
      </c>
      <c r="BB20" s="81" t="s">
        <v>2360</v>
      </c>
      <c r="BC20" s="38" t="s">
        <v>1500</v>
      </c>
      <c r="BD20" s="39" t="s">
        <v>1501</v>
      </c>
      <c r="BE20" t="s">
        <v>2108</v>
      </c>
    </row>
    <row r="21" spans="1:57" ht="20.100000000000001" customHeight="1" x14ac:dyDescent="0.25">
      <c r="A21" s="4">
        <v>12</v>
      </c>
      <c r="B21" s="4" t="s">
        <v>2369</v>
      </c>
      <c r="C21" s="38" t="s">
        <v>1505</v>
      </c>
      <c r="D21" s="39" t="s">
        <v>1506</v>
      </c>
      <c r="E21" s="7" t="s">
        <v>7</v>
      </c>
      <c r="F21" s="8"/>
      <c r="G21" s="8"/>
      <c r="H21" s="8"/>
      <c r="I21" s="8"/>
      <c r="J21" s="8"/>
      <c r="K21" s="8"/>
      <c r="L21" s="8"/>
      <c r="M21" s="8"/>
      <c r="N21" s="8"/>
      <c r="O21" s="8"/>
      <c r="P21" s="8"/>
      <c r="Q21" s="8"/>
      <c r="R21" s="8"/>
      <c r="S21" s="8"/>
      <c r="T21" s="8"/>
      <c r="U21" s="8"/>
      <c r="V21" s="8"/>
      <c r="W21" s="8"/>
      <c r="X21" s="8"/>
      <c r="Y21" s="8"/>
      <c r="Z21" s="8"/>
      <c r="AA21" s="8"/>
      <c r="AB21" s="8"/>
      <c r="AC21" s="8"/>
      <c r="AR21" s="38" t="s">
        <v>1505</v>
      </c>
      <c r="AS21" s="39" t="s">
        <v>1506</v>
      </c>
      <c r="AT21" s="38" t="s">
        <v>7</v>
      </c>
      <c r="AU21" s="39" t="s">
        <v>478</v>
      </c>
      <c r="AV21" s="40" t="s">
        <v>1507</v>
      </c>
      <c r="AW21" s="40" t="s">
        <v>605</v>
      </c>
      <c r="AX21" s="40" t="s">
        <v>1508</v>
      </c>
      <c r="AY21" s="40" t="s">
        <v>463</v>
      </c>
      <c r="AZ21" s="39" t="s">
        <v>475</v>
      </c>
      <c r="BB21" s="81" t="s">
        <v>2369</v>
      </c>
      <c r="BC21" s="38" t="s">
        <v>1505</v>
      </c>
      <c r="BD21" s="39" t="s">
        <v>1506</v>
      </c>
      <c r="BE21" t="s">
        <v>2109</v>
      </c>
    </row>
    <row r="22" spans="1:57" ht="20.100000000000001" customHeight="1" x14ac:dyDescent="0.25">
      <c r="A22" s="4">
        <v>13</v>
      </c>
      <c r="B22" s="4" t="s">
        <v>2383</v>
      </c>
      <c r="C22" s="38" t="s">
        <v>1509</v>
      </c>
      <c r="D22" s="39" t="s">
        <v>1510</v>
      </c>
      <c r="E22" s="7" t="s">
        <v>6</v>
      </c>
      <c r="F22" s="8"/>
      <c r="G22" s="8"/>
      <c r="H22" s="8"/>
      <c r="I22" s="8"/>
      <c r="J22" s="8"/>
      <c r="K22" s="8"/>
      <c r="L22" s="8"/>
      <c r="M22" s="8"/>
      <c r="N22" s="8"/>
      <c r="O22" s="8"/>
      <c r="P22" s="8"/>
      <c r="Q22" s="8"/>
      <c r="R22" s="8"/>
      <c r="S22" s="8"/>
      <c r="T22" s="8"/>
      <c r="U22" s="8"/>
      <c r="V22" s="8"/>
      <c r="W22" s="8"/>
      <c r="X22" s="8"/>
      <c r="Y22" s="8"/>
      <c r="Z22" s="8"/>
      <c r="AA22" s="8"/>
      <c r="AB22" s="8"/>
      <c r="AC22" s="8"/>
      <c r="AR22" s="38" t="s">
        <v>1509</v>
      </c>
      <c r="AS22" s="39" t="s">
        <v>1510</v>
      </c>
      <c r="AT22" s="38" t="s">
        <v>6</v>
      </c>
      <c r="AU22" s="39" t="s">
        <v>528</v>
      </c>
      <c r="AV22" s="40">
        <v>91.83</v>
      </c>
      <c r="AW22" s="40">
        <v>60</v>
      </c>
      <c r="AX22" s="40">
        <v>79.099999999999994</v>
      </c>
      <c r="AY22" s="40" t="s">
        <v>463</v>
      </c>
      <c r="AZ22" s="39" t="s">
        <v>475</v>
      </c>
      <c r="BB22" s="81" t="s">
        <v>2383</v>
      </c>
      <c r="BC22" s="38" t="s">
        <v>1509</v>
      </c>
      <c r="BD22" s="39" t="s">
        <v>1510</v>
      </c>
      <c r="BE22" t="s">
        <v>2110</v>
      </c>
    </row>
    <row r="23" spans="1:57" ht="20.100000000000001" customHeight="1" x14ac:dyDescent="0.25">
      <c r="A23" s="4">
        <v>14</v>
      </c>
      <c r="B23" s="4" t="s">
        <v>2390</v>
      </c>
      <c r="C23" s="38" t="s">
        <v>1511</v>
      </c>
      <c r="D23" s="39" t="s">
        <v>1512</v>
      </c>
      <c r="E23" s="7" t="s">
        <v>7</v>
      </c>
      <c r="F23" s="8"/>
      <c r="G23" s="8"/>
      <c r="H23" s="8"/>
      <c r="I23" s="8"/>
      <c r="J23" s="8"/>
      <c r="K23" s="8"/>
      <c r="L23" s="8"/>
      <c r="M23" s="8"/>
      <c r="N23" s="8"/>
      <c r="O23" s="8"/>
      <c r="P23" s="8"/>
      <c r="Q23" s="8"/>
      <c r="R23" s="8"/>
      <c r="S23" s="8"/>
      <c r="T23" s="8"/>
      <c r="U23" s="8"/>
      <c r="V23" s="8"/>
      <c r="W23" s="8"/>
      <c r="X23" s="8"/>
      <c r="Y23" s="8"/>
      <c r="Z23" s="8"/>
      <c r="AA23" s="8"/>
      <c r="AB23" s="8"/>
      <c r="AC23" s="8"/>
      <c r="AR23" s="38" t="s">
        <v>1511</v>
      </c>
      <c r="AS23" s="39" t="s">
        <v>1512</v>
      </c>
      <c r="AT23" s="38" t="s">
        <v>7</v>
      </c>
      <c r="AU23" s="39" t="s">
        <v>494</v>
      </c>
      <c r="AV23" s="40" t="s">
        <v>1513</v>
      </c>
      <c r="AW23" s="40" t="s">
        <v>605</v>
      </c>
      <c r="AX23" s="40" t="s">
        <v>1514</v>
      </c>
      <c r="AY23" s="40" t="s">
        <v>463</v>
      </c>
      <c r="AZ23" s="39" t="s">
        <v>525</v>
      </c>
      <c r="BB23" s="81" t="s">
        <v>2390</v>
      </c>
      <c r="BC23" s="38" t="s">
        <v>1511</v>
      </c>
      <c r="BD23" s="39" t="s">
        <v>1512</v>
      </c>
      <c r="BE23" t="s">
        <v>2111</v>
      </c>
    </row>
    <row r="24" spans="1:57" ht="20.100000000000001" customHeight="1" x14ac:dyDescent="0.25">
      <c r="A24" s="4">
        <v>15</v>
      </c>
      <c r="B24" s="4" t="s">
        <v>2393</v>
      </c>
      <c r="C24" s="38" t="s">
        <v>1515</v>
      </c>
      <c r="D24" s="39" t="s">
        <v>1516</v>
      </c>
      <c r="E24" s="7" t="s">
        <v>6</v>
      </c>
      <c r="F24" s="8"/>
      <c r="G24" s="8"/>
      <c r="H24" s="8"/>
      <c r="I24" s="8"/>
      <c r="J24" s="8"/>
      <c r="K24" s="8"/>
      <c r="L24" s="8"/>
      <c r="M24" s="8"/>
      <c r="N24" s="8"/>
      <c r="O24" s="8"/>
      <c r="P24" s="8"/>
      <c r="Q24" s="8"/>
      <c r="R24" s="8"/>
      <c r="S24" s="8"/>
      <c r="T24" s="8"/>
      <c r="U24" s="8"/>
      <c r="V24" s="8"/>
      <c r="W24" s="8"/>
      <c r="X24" s="8"/>
      <c r="Y24" s="8"/>
      <c r="Z24" s="8"/>
      <c r="AA24" s="8"/>
      <c r="AB24" s="8"/>
      <c r="AC24" s="8"/>
      <c r="AR24" s="38" t="s">
        <v>1515</v>
      </c>
      <c r="AS24" s="39" t="s">
        <v>1516</v>
      </c>
      <c r="AT24" s="38" t="s">
        <v>6</v>
      </c>
      <c r="AU24" s="39" t="s">
        <v>542</v>
      </c>
      <c r="AV24" s="40" t="s">
        <v>1517</v>
      </c>
      <c r="AW24" s="40" t="s">
        <v>677</v>
      </c>
      <c r="AX24" s="40" t="s">
        <v>1518</v>
      </c>
      <c r="AY24" s="40" t="s">
        <v>463</v>
      </c>
      <c r="AZ24" s="39" t="s">
        <v>475</v>
      </c>
      <c r="BB24" s="81" t="s">
        <v>2393</v>
      </c>
      <c r="BC24" s="38" t="s">
        <v>1515</v>
      </c>
      <c r="BD24" s="39" t="s">
        <v>1516</v>
      </c>
      <c r="BE24" t="s">
        <v>2112</v>
      </c>
    </row>
    <row r="25" spans="1:57" ht="20.100000000000001" customHeight="1" x14ac:dyDescent="0.25">
      <c r="A25" s="4">
        <v>16</v>
      </c>
      <c r="B25" s="4" t="s">
        <v>2397</v>
      </c>
      <c r="C25" s="38" t="s">
        <v>1519</v>
      </c>
      <c r="D25" s="39" t="s">
        <v>1520</v>
      </c>
      <c r="E25" s="7" t="s">
        <v>7</v>
      </c>
      <c r="F25" s="8"/>
      <c r="G25" s="8"/>
      <c r="H25" s="8"/>
      <c r="I25" s="8"/>
      <c r="J25" s="8"/>
      <c r="K25" s="8"/>
      <c r="L25" s="8"/>
      <c r="M25" s="8"/>
      <c r="N25" s="8"/>
      <c r="O25" s="8"/>
      <c r="P25" s="8"/>
      <c r="Q25" s="8"/>
      <c r="R25" s="8"/>
      <c r="S25" s="8"/>
      <c r="T25" s="8"/>
      <c r="U25" s="8"/>
      <c r="V25" s="8"/>
      <c r="W25" s="8"/>
      <c r="X25" s="8"/>
      <c r="Y25" s="8"/>
      <c r="Z25" s="8"/>
      <c r="AA25" s="8"/>
      <c r="AB25" s="8"/>
      <c r="AC25" s="8"/>
      <c r="AR25" s="38" t="s">
        <v>1519</v>
      </c>
      <c r="AS25" s="39" t="s">
        <v>1520</v>
      </c>
      <c r="AT25" s="38" t="s">
        <v>7</v>
      </c>
      <c r="AU25" s="39" t="s">
        <v>484</v>
      </c>
      <c r="AV25" s="40" t="s">
        <v>1251</v>
      </c>
      <c r="AW25" s="40" t="s">
        <v>489</v>
      </c>
      <c r="AX25" s="40" t="s">
        <v>1521</v>
      </c>
      <c r="AY25" s="40" t="s">
        <v>463</v>
      </c>
      <c r="AZ25" s="39" t="s">
        <v>1522</v>
      </c>
      <c r="BB25" s="81" t="s">
        <v>2397</v>
      </c>
      <c r="BC25" s="38" t="s">
        <v>1519</v>
      </c>
      <c r="BD25" s="39" t="s">
        <v>1520</v>
      </c>
      <c r="BE25" t="s">
        <v>2113</v>
      </c>
    </row>
    <row r="26" spans="1:57" ht="20.100000000000001" customHeight="1" x14ac:dyDescent="0.25">
      <c r="A26" s="4">
        <v>17</v>
      </c>
      <c r="B26" s="4" t="s">
        <v>2398</v>
      </c>
      <c r="C26" s="38" t="s">
        <v>1523</v>
      </c>
      <c r="D26" s="39" t="s">
        <v>1524</v>
      </c>
      <c r="E26" s="7" t="s">
        <v>6</v>
      </c>
      <c r="F26" s="8"/>
      <c r="G26" s="8"/>
      <c r="H26" s="8"/>
      <c r="I26" s="8"/>
      <c r="J26" s="8"/>
      <c r="K26" s="8"/>
      <c r="L26" s="8"/>
      <c r="M26" s="8"/>
      <c r="N26" s="8"/>
      <c r="O26" s="8"/>
      <c r="P26" s="8"/>
      <c r="Q26" s="8"/>
      <c r="R26" s="8"/>
      <c r="S26" s="8"/>
      <c r="T26" s="8"/>
      <c r="U26" s="8"/>
      <c r="V26" s="8"/>
      <c r="W26" s="8"/>
      <c r="X26" s="8"/>
      <c r="Y26" s="8"/>
      <c r="Z26" s="8"/>
      <c r="AA26" s="8"/>
      <c r="AB26" s="8"/>
      <c r="AC26" s="8"/>
      <c r="AR26" s="38" t="s">
        <v>1523</v>
      </c>
      <c r="AS26" s="39" t="s">
        <v>1524</v>
      </c>
      <c r="AT26" s="38" t="s">
        <v>6</v>
      </c>
      <c r="AU26" s="39" t="s">
        <v>841</v>
      </c>
      <c r="AV26" s="40">
        <v>87.4</v>
      </c>
      <c r="AW26" s="40">
        <v>58.34</v>
      </c>
      <c r="AX26" s="40">
        <v>75.040000000000006</v>
      </c>
      <c r="AY26" s="40" t="s">
        <v>463</v>
      </c>
      <c r="AZ26" s="39" t="s">
        <v>475</v>
      </c>
      <c r="BB26" s="81" t="s">
        <v>2398</v>
      </c>
      <c r="BC26" s="38" t="s">
        <v>1523</v>
      </c>
      <c r="BD26" s="39" t="s">
        <v>1524</v>
      </c>
      <c r="BE26" t="s">
        <v>2114</v>
      </c>
    </row>
    <row r="27" spans="1:57" ht="20.100000000000001" customHeight="1" x14ac:dyDescent="0.25">
      <c r="A27" s="4">
        <v>18</v>
      </c>
      <c r="B27" s="4" t="s">
        <v>2404</v>
      </c>
      <c r="C27" s="38" t="s">
        <v>1525</v>
      </c>
      <c r="D27" s="39" t="s">
        <v>1526</v>
      </c>
      <c r="E27" s="7" t="s">
        <v>7</v>
      </c>
      <c r="F27" s="8"/>
      <c r="G27" s="8"/>
      <c r="H27" s="8"/>
      <c r="I27" s="8"/>
      <c r="J27" s="8"/>
      <c r="K27" s="8"/>
      <c r="L27" s="8"/>
      <c r="M27" s="8"/>
      <c r="N27" s="8"/>
      <c r="O27" s="8"/>
      <c r="P27" s="8"/>
      <c r="Q27" s="8"/>
      <c r="R27" s="8"/>
      <c r="S27" s="8"/>
      <c r="T27" s="8"/>
      <c r="U27" s="8"/>
      <c r="V27" s="8"/>
      <c r="W27" s="8"/>
      <c r="X27" s="8"/>
      <c r="Y27" s="8"/>
      <c r="Z27" s="8"/>
      <c r="AA27" s="8"/>
      <c r="AB27" s="8"/>
      <c r="AC27" s="8"/>
      <c r="AR27" s="38" t="s">
        <v>1525</v>
      </c>
      <c r="AS27" s="39" t="s">
        <v>1526</v>
      </c>
      <c r="AT27" s="38" t="s">
        <v>7</v>
      </c>
      <c r="AU27" s="39" t="s">
        <v>1223</v>
      </c>
      <c r="AV27" s="40" t="s">
        <v>1527</v>
      </c>
      <c r="AW27" s="40" t="s">
        <v>512</v>
      </c>
      <c r="AX27" s="40" t="s">
        <v>1528</v>
      </c>
      <c r="AY27" s="40" t="s">
        <v>463</v>
      </c>
      <c r="AZ27" s="39" t="s">
        <v>1529</v>
      </c>
      <c r="BB27" s="81" t="s">
        <v>2404</v>
      </c>
      <c r="BC27" s="38" t="s">
        <v>1525</v>
      </c>
      <c r="BD27" s="39" t="s">
        <v>1526</v>
      </c>
      <c r="BE27" t="s">
        <v>2115</v>
      </c>
    </row>
    <row r="28" spans="1:57" ht="20.100000000000001" customHeight="1" x14ac:dyDescent="0.25">
      <c r="A28" s="4">
        <v>19</v>
      </c>
      <c r="B28" s="4" t="s">
        <v>2407</v>
      </c>
      <c r="C28" s="38" t="s">
        <v>1530</v>
      </c>
      <c r="D28" s="39" t="s">
        <v>1531</v>
      </c>
      <c r="E28" s="7" t="s">
        <v>6</v>
      </c>
      <c r="F28" s="8"/>
      <c r="G28" s="8"/>
      <c r="H28" s="8"/>
      <c r="I28" s="8"/>
      <c r="J28" s="8"/>
      <c r="K28" s="8"/>
      <c r="L28" s="8"/>
      <c r="M28" s="8"/>
      <c r="N28" s="8"/>
      <c r="O28" s="8"/>
      <c r="P28" s="8"/>
      <c r="Q28" s="8"/>
      <c r="R28" s="8"/>
      <c r="S28" s="8"/>
      <c r="T28" s="8"/>
      <c r="U28" s="8"/>
      <c r="V28" s="8"/>
      <c r="W28" s="8"/>
      <c r="X28" s="8"/>
      <c r="Y28" s="8"/>
      <c r="Z28" s="8"/>
      <c r="AA28" s="8"/>
      <c r="AB28" s="8"/>
      <c r="AC28" s="8"/>
      <c r="AR28" s="38" t="s">
        <v>1530</v>
      </c>
      <c r="AS28" s="39" t="s">
        <v>1531</v>
      </c>
      <c r="AT28" s="38" t="s">
        <v>6</v>
      </c>
      <c r="AU28" s="39" t="s">
        <v>1532</v>
      </c>
      <c r="AV28" s="40" t="s">
        <v>1533</v>
      </c>
      <c r="AW28" s="40" t="s">
        <v>561</v>
      </c>
      <c r="AX28" s="40" t="s">
        <v>1534</v>
      </c>
      <c r="AY28" s="40" t="s">
        <v>463</v>
      </c>
      <c r="AZ28" s="39" t="s">
        <v>485</v>
      </c>
      <c r="BB28" s="81" t="s">
        <v>2407</v>
      </c>
      <c r="BC28" s="38" t="s">
        <v>1530</v>
      </c>
      <c r="BD28" s="39" t="s">
        <v>1531</v>
      </c>
      <c r="BE28" t="s">
        <v>2116</v>
      </c>
    </row>
    <row r="29" spans="1:57" ht="20.100000000000001" customHeight="1" x14ac:dyDescent="0.25">
      <c r="A29" s="4">
        <v>20</v>
      </c>
      <c r="B29" s="4" t="s">
        <v>2408</v>
      </c>
      <c r="C29" s="38" t="s">
        <v>1535</v>
      </c>
      <c r="D29" s="39" t="s">
        <v>1536</v>
      </c>
      <c r="E29" s="7" t="s">
        <v>7</v>
      </c>
      <c r="F29" s="8"/>
      <c r="G29" s="8"/>
      <c r="H29" s="8"/>
      <c r="I29" s="8"/>
      <c r="J29" s="8"/>
      <c r="K29" s="8"/>
      <c r="L29" s="8"/>
      <c r="M29" s="8"/>
      <c r="N29" s="8"/>
      <c r="O29" s="8"/>
      <c r="P29" s="8"/>
      <c r="Q29" s="8"/>
      <c r="R29" s="8"/>
      <c r="S29" s="8"/>
      <c r="T29" s="8"/>
      <c r="U29" s="8"/>
      <c r="V29" s="8"/>
      <c r="W29" s="8"/>
      <c r="X29" s="8"/>
      <c r="Y29" s="8"/>
      <c r="Z29" s="8"/>
      <c r="AA29" s="8"/>
      <c r="AB29" s="8"/>
      <c r="AC29" s="8"/>
      <c r="AR29" s="38" t="s">
        <v>1535</v>
      </c>
      <c r="AS29" s="39" t="s">
        <v>1536</v>
      </c>
      <c r="AT29" s="38" t="s">
        <v>7</v>
      </c>
      <c r="AU29" s="39" t="s">
        <v>1537</v>
      </c>
      <c r="AV29" s="40" t="s">
        <v>994</v>
      </c>
      <c r="AW29" s="40" t="s">
        <v>537</v>
      </c>
      <c r="AX29" s="40">
        <v>83.52</v>
      </c>
      <c r="AY29" s="40" t="s">
        <v>463</v>
      </c>
      <c r="AZ29" s="39" t="s">
        <v>475</v>
      </c>
      <c r="BB29" s="81" t="s">
        <v>2408</v>
      </c>
      <c r="BC29" s="38" t="s">
        <v>1535</v>
      </c>
      <c r="BD29" s="39" t="s">
        <v>1536</v>
      </c>
      <c r="BE29" t="s">
        <v>2117</v>
      </c>
    </row>
    <row r="30" spans="1:57" ht="20.100000000000001" customHeight="1" x14ac:dyDescent="0.25">
      <c r="A30" s="4">
        <v>21</v>
      </c>
      <c r="B30" s="4" t="s">
        <v>2418</v>
      </c>
      <c r="C30" s="38" t="s">
        <v>1538</v>
      </c>
      <c r="D30" s="39" t="s">
        <v>1539</v>
      </c>
      <c r="E30" s="7" t="s">
        <v>6</v>
      </c>
      <c r="F30" s="8"/>
      <c r="G30" s="8"/>
      <c r="H30" s="8"/>
      <c r="I30" s="8"/>
      <c r="J30" s="8"/>
      <c r="K30" s="8"/>
      <c r="L30" s="8"/>
      <c r="M30" s="8"/>
      <c r="N30" s="8"/>
      <c r="O30" s="8"/>
      <c r="P30" s="8"/>
      <c r="Q30" s="8"/>
      <c r="R30" s="8"/>
      <c r="S30" s="8"/>
      <c r="T30" s="8"/>
      <c r="U30" s="8"/>
      <c r="V30" s="8"/>
      <c r="W30" s="8"/>
      <c r="X30" s="8"/>
      <c r="Y30" s="8"/>
      <c r="Z30" s="8"/>
      <c r="AA30" s="8"/>
      <c r="AB30" s="8"/>
      <c r="AC30" s="8"/>
      <c r="AR30" s="38" t="s">
        <v>1538</v>
      </c>
      <c r="AS30" s="39" t="s">
        <v>1539</v>
      </c>
      <c r="AT30" s="38" t="s">
        <v>6</v>
      </c>
      <c r="AU30" s="39" t="s">
        <v>1155</v>
      </c>
      <c r="AV30" s="40">
        <v>90.95</v>
      </c>
      <c r="AW30" s="40">
        <v>66.67</v>
      </c>
      <c r="AX30" s="40">
        <v>81.239999999999995</v>
      </c>
      <c r="AY30" s="40" t="s">
        <v>463</v>
      </c>
      <c r="AZ30" s="39" t="s">
        <v>1540</v>
      </c>
      <c r="BB30" s="81" t="s">
        <v>2418</v>
      </c>
      <c r="BC30" s="38" t="s">
        <v>1538</v>
      </c>
      <c r="BD30" s="39" t="s">
        <v>1539</v>
      </c>
      <c r="BE30" t="s">
        <v>2118</v>
      </c>
    </row>
    <row r="31" spans="1:57" ht="20.100000000000001" customHeight="1" x14ac:dyDescent="0.25">
      <c r="A31" s="4">
        <v>22</v>
      </c>
      <c r="B31" s="4" t="s">
        <v>2432</v>
      </c>
      <c r="C31" s="38" t="s">
        <v>1541</v>
      </c>
      <c r="D31" s="39" t="s">
        <v>1542</v>
      </c>
      <c r="E31" s="7" t="s">
        <v>6</v>
      </c>
      <c r="F31" s="8"/>
      <c r="G31" s="8"/>
      <c r="H31" s="8"/>
      <c r="I31" s="8"/>
      <c r="J31" s="8"/>
      <c r="K31" s="8"/>
      <c r="L31" s="8"/>
      <c r="M31" s="8"/>
      <c r="N31" s="8"/>
      <c r="O31" s="8"/>
      <c r="P31" s="8"/>
      <c r="Q31" s="8"/>
      <c r="R31" s="8"/>
      <c r="S31" s="8"/>
      <c r="T31" s="8"/>
      <c r="U31" s="8"/>
      <c r="V31" s="8"/>
      <c r="W31" s="8"/>
      <c r="X31" s="8"/>
      <c r="Y31" s="8"/>
      <c r="Z31" s="8"/>
      <c r="AA31" s="8"/>
      <c r="AB31" s="8"/>
      <c r="AC31" s="8"/>
      <c r="AR31" s="38" t="s">
        <v>1541</v>
      </c>
      <c r="AS31" s="39" t="s">
        <v>1542</v>
      </c>
      <c r="AT31" s="38" t="s">
        <v>6</v>
      </c>
      <c r="AU31" s="39" t="s">
        <v>862</v>
      </c>
      <c r="AV31" s="40" t="s">
        <v>1543</v>
      </c>
      <c r="AW31" s="40" t="s">
        <v>1331</v>
      </c>
      <c r="AX31" s="40" t="s">
        <v>1544</v>
      </c>
      <c r="AY31" s="40" t="s">
        <v>463</v>
      </c>
      <c r="AZ31" s="39" t="s">
        <v>1545</v>
      </c>
      <c r="BB31" s="81" t="s">
        <v>2432</v>
      </c>
      <c r="BC31" s="38" t="s">
        <v>1541</v>
      </c>
      <c r="BD31" s="39" t="s">
        <v>1542</v>
      </c>
      <c r="BE31" t="s">
        <v>2119</v>
      </c>
    </row>
    <row r="32" spans="1:57" ht="20.100000000000001" customHeight="1" x14ac:dyDescent="0.25">
      <c r="A32" s="4">
        <v>23</v>
      </c>
      <c r="B32" s="4" t="s">
        <v>2456</v>
      </c>
      <c r="C32" s="38" t="s">
        <v>1546</v>
      </c>
      <c r="D32" s="39" t="s">
        <v>1547</v>
      </c>
      <c r="E32" s="7" t="s">
        <v>7</v>
      </c>
      <c r="F32" s="8"/>
      <c r="G32" s="8"/>
      <c r="H32" s="8"/>
      <c r="I32" s="8"/>
      <c r="J32" s="8"/>
      <c r="K32" s="8"/>
      <c r="L32" s="8"/>
      <c r="M32" s="8"/>
      <c r="N32" s="8"/>
      <c r="O32" s="8"/>
      <c r="P32" s="8"/>
      <c r="Q32" s="8"/>
      <c r="R32" s="8"/>
      <c r="S32" s="8"/>
      <c r="T32" s="8"/>
      <c r="U32" s="8"/>
      <c r="V32" s="8"/>
      <c r="W32" s="8"/>
      <c r="X32" s="8"/>
      <c r="Y32" s="8"/>
      <c r="Z32" s="8"/>
      <c r="AA32" s="8"/>
      <c r="AB32" s="8"/>
      <c r="AC32" s="8"/>
      <c r="AR32" s="38" t="s">
        <v>1546</v>
      </c>
      <c r="AS32" s="39" t="s">
        <v>1547</v>
      </c>
      <c r="AT32" s="38" t="s">
        <v>7</v>
      </c>
      <c r="AU32" s="39" t="s">
        <v>953</v>
      </c>
      <c r="AV32" s="40" t="s">
        <v>955</v>
      </c>
      <c r="AW32" s="40" t="s">
        <v>605</v>
      </c>
      <c r="AX32" s="40" t="s">
        <v>1548</v>
      </c>
      <c r="AY32" s="40" t="s">
        <v>463</v>
      </c>
      <c r="AZ32" s="39" t="s">
        <v>475</v>
      </c>
      <c r="BB32" s="81" t="s">
        <v>2456</v>
      </c>
      <c r="BC32" s="38" t="s">
        <v>1546</v>
      </c>
      <c r="BD32" s="39" t="s">
        <v>1547</v>
      </c>
      <c r="BE32" t="s">
        <v>2120</v>
      </c>
    </row>
    <row r="33" spans="1:57" ht="20.100000000000001" customHeight="1" x14ac:dyDescent="0.25">
      <c r="A33" s="4">
        <v>24</v>
      </c>
      <c r="B33" s="4" t="s">
        <v>2469</v>
      </c>
      <c r="C33" s="38" t="s">
        <v>1549</v>
      </c>
      <c r="D33" s="39" t="s">
        <v>1550</v>
      </c>
      <c r="E33" s="7" t="s">
        <v>7</v>
      </c>
      <c r="F33" s="8"/>
      <c r="G33" s="8"/>
      <c r="H33" s="8"/>
      <c r="I33" s="8"/>
      <c r="J33" s="8"/>
      <c r="K33" s="8"/>
      <c r="L33" s="8"/>
      <c r="M33" s="8"/>
      <c r="N33" s="8"/>
      <c r="O33" s="8"/>
      <c r="P33" s="8"/>
      <c r="Q33" s="8"/>
      <c r="R33" s="8"/>
      <c r="S33" s="8"/>
      <c r="T33" s="8"/>
      <c r="U33" s="8"/>
      <c r="V33" s="8"/>
      <c r="W33" s="8"/>
      <c r="X33" s="8"/>
      <c r="Y33" s="8"/>
      <c r="Z33" s="8"/>
      <c r="AA33" s="8"/>
      <c r="AB33" s="8"/>
      <c r="AC33" s="8"/>
      <c r="AR33" s="38" t="s">
        <v>1549</v>
      </c>
      <c r="AS33" s="39" t="s">
        <v>1550</v>
      </c>
      <c r="AT33" s="38" t="s">
        <v>7</v>
      </c>
      <c r="AU33" s="39" t="s">
        <v>619</v>
      </c>
      <c r="AV33" s="40" t="s">
        <v>1551</v>
      </c>
      <c r="AW33" s="40" t="s">
        <v>741</v>
      </c>
      <c r="AX33" s="40" t="s">
        <v>1552</v>
      </c>
      <c r="AY33" s="40" t="s">
        <v>463</v>
      </c>
      <c r="AZ33" s="39" t="s">
        <v>475</v>
      </c>
      <c r="BB33" s="81" t="s">
        <v>2469</v>
      </c>
      <c r="BC33" s="38" t="s">
        <v>1549</v>
      </c>
      <c r="BD33" s="39" t="s">
        <v>1550</v>
      </c>
      <c r="BE33" t="s">
        <v>2121</v>
      </c>
    </row>
    <row r="34" spans="1:57" ht="20.100000000000001" customHeight="1" x14ac:dyDescent="0.25">
      <c r="A34" s="4">
        <v>25</v>
      </c>
      <c r="B34" s="4" t="s">
        <v>2471</v>
      </c>
      <c r="C34" s="38" t="s">
        <v>1553</v>
      </c>
      <c r="D34" s="39" t="s">
        <v>1554</v>
      </c>
      <c r="E34" s="7" t="s">
        <v>7</v>
      </c>
      <c r="F34" s="8"/>
      <c r="G34" s="8"/>
      <c r="H34" s="8"/>
      <c r="I34" s="8"/>
      <c r="J34" s="8"/>
      <c r="K34" s="8"/>
      <c r="L34" s="8"/>
      <c r="M34" s="8"/>
      <c r="N34" s="8"/>
      <c r="O34" s="8"/>
      <c r="P34" s="8"/>
      <c r="Q34" s="8"/>
      <c r="R34" s="8"/>
      <c r="S34" s="8"/>
      <c r="T34" s="8"/>
      <c r="U34" s="8"/>
      <c r="V34" s="8"/>
      <c r="W34" s="8"/>
      <c r="X34" s="8"/>
      <c r="Y34" s="8"/>
      <c r="Z34" s="8"/>
      <c r="AA34" s="8"/>
      <c r="AB34" s="8"/>
      <c r="AC34" s="8"/>
      <c r="AR34" s="38" t="s">
        <v>1553</v>
      </c>
      <c r="AS34" s="39" t="s">
        <v>1554</v>
      </c>
      <c r="AT34" s="38" t="s">
        <v>7</v>
      </c>
      <c r="AU34" s="39" t="s">
        <v>1555</v>
      </c>
      <c r="AV34" s="40">
        <v>93.23</v>
      </c>
      <c r="AW34" s="40">
        <v>71.67</v>
      </c>
      <c r="AX34" s="40">
        <v>84.61</v>
      </c>
      <c r="AY34" s="40" t="s">
        <v>463</v>
      </c>
      <c r="AZ34" s="39" t="s">
        <v>1556</v>
      </c>
      <c r="BB34" s="81" t="s">
        <v>2471</v>
      </c>
      <c r="BC34" s="38" t="s">
        <v>1553</v>
      </c>
      <c r="BD34" s="39" t="s">
        <v>1554</v>
      </c>
      <c r="BE34" t="s">
        <v>2122</v>
      </c>
    </row>
    <row r="35" spans="1:57" ht="20.100000000000001" customHeight="1" x14ac:dyDescent="0.25">
      <c r="A35" s="4">
        <v>26</v>
      </c>
      <c r="B35" s="4" t="s">
        <v>2477</v>
      </c>
      <c r="C35" s="38" t="s">
        <v>1557</v>
      </c>
      <c r="D35" s="39" t="s">
        <v>1558</v>
      </c>
      <c r="E35" s="7" t="s">
        <v>6</v>
      </c>
      <c r="F35" s="8"/>
      <c r="G35" s="8"/>
      <c r="H35" s="8"/>
      <c r="I35" s="8"/>
      <c r="J35" s="8"/>
      <c r="K35" s="8"/>
      <c r="L35" s="8"/>
      <c r="M35" s="8"/>
      <c r="N35" s="8"/>
      <c r="O35" s="8"/>
      <c r="P35" s="8"/>
      <c r="Q35" s="8"/>
      <c r="R35" s="8"/>
      <c r="S35" s="8"/>
      <c r="T35" s="8"/>
      <c r="U35" s="8"/>
      <c r="V35" s="8"/>
      <c r="W35" s="8"/>
      <c r="X35" s="8"/>
      <c r="Y35" s="8"/>
      <c r="Z35" s="8"/>
      <c r="AA35" s="8"/>
      <c r="AB35" s="8"/>
      <c r="AC35" s="8"/>
      <c r="AR35" s="38" t="s">
        <v>1557</v>
      </c>
      <c r="AS35" s="39" t="s">
        <v>1558</v>
      </c>
      <c r="AT35" s="38" t="s">
        <v>6</v>
      </c>
      <c r="AU35" s="39" t="s">
        <v>1559</v>
      </c>
      <c r="AV35" s="40" t="s">
        <v>1309</v>
      </c>
      <c r="AW35" s="40">
        <v>76.67</v>
      </c>
      <c r="AX35" s="40">
        <v>80.05</v>
      </c>
      <c r="AY35" s="40" t="s">
        <v>463</v>
      </c>
      <c r="AZ35" s="39" t="s">
        <v>475</v>
      </c>
      <c r="BB35" s="81" t="s">
        <v>2477</v>
      </c>
      <c r="BC35" s="38" t="s">
        <v>1557</v>
      </c>
      <c r="BD35" s="39" t="s">
        <v>1558</v>
      </c>
      <c r="BE35" t="s">
        <v>2123</v>
      </c>
    </row>
    <row r="36" spans="1:57" ht="20.100000000000001" customHeight="1" x14ac:dyDescent="0.25">
      <c r="A36" s="4">
        <v>27</v>
      </c>
      <c r="B36" s="4" t="s">
        <v>2479</v>
      </c>
      <c r="C36" s="38" t="s">
        <v>1560</v>
      </c>
      <c r="D36" s="39" t="s">
        <v>1561</v>
      </c>
      <c r="E36" s="7" t="s">
        <v>6</v>
      </c>
      <c r="F36" s="8"/>
      <c r="G36" s="8"/>
      <c r="H36" s="8"/>
      <c r="I36" s="8"/>
      <c r="J36" s="8"/>
      <c r="K36" s="8"/>
      <c r="L36" s="8"/>
      <c r="M36" s="8"/>
      <c r="N36" s="8"/>
      <c r="O36" s="8"/>
      <c r="P36" s="8"/>
      <c r="Q36" s="8"/>
      <c r="R36" s="8"/>
      <c r="S36" s="8"/>
      <c r="T36" s="8"/>
      <c r="U36" s="8"/>
      <c r="V36" s="8"/>
      <c r="W36" s="8"/>
      <c r="X36" s="8"/>
      <c r="Y36" s="8"/>
      <c r="Z36" s="8"/>
      <c r="AA36" s="8"/>
      <c r="AB36" s="8"/>
      <c r="AC36" s="8"/>
      <c r="AR36" s="38" t="s">
        <v>1560</v>
      </c>
      <c r="AS36" s="39" t="s">
        <v>1561</v>
      </c>
      <c r="AT36" s="38" t="s">
        <v>6</v>
      </c>
      <c r="AU36" s="39" t="s">
        <v>494</v>
      </c>
      <c r="AV36" s="40" t="s">
        <v>1562</v>
      </c>
      <c r="AW36" s="40" t="s">
        <v>769</v>
      </c>
      <c r="AX36" s="40" t="s">
        <v>1563</v>
      </c>
      <c r="AY36" s="40" t="s">
        <v>463</v>
      </c>
      <c r="AZ36" s="39" t="s">
        <v>1564</v>
      </c>
      <c r="BB36" s="81" t="s">
        <v>2479</v>
      </c>
      <c r="BC36" s="38" t="s">
        <v>1560</v>
      </c>
      <c r="BD36" s="39" t="s">
        <v>1561</v>
      </c>
      <c r="BE36" t="s">
        <v>2124</v>
      </c>
    </row>
    <row r="37" spans="1:57" ht="20.100000000000001" customHeight="1" x14ac:dyDescent="0.25">
      <c r="A37" s="4">
        <v>28</v>
      </c>
      <c r="B37" s="4" t="s">
        <v>2490</v>
      </c>
      <c r="C37" s="38" t="s">
        <v>1565</v>
      </c>
      <c r="D37" s="39" t="s">
        <v>1566</v>
      </c>
      <c r="E37" s="7" t="s">
        <v>6</v>
      </c>
      <c r="F37" s="8"/>
      <c r="G37" s="8"/>
      <c r="H37" s="8"/>
      <c r="I37" s="8"/>
      <c r="J37" s="8"/>
      <c r="K37" s="8"/>
      <c r="L37" s="8"/>
      <c r="M37" s="8"/>
      <c r="N37" s="8"/>
      <c r="O37" s="8"/>
      <c r="P37" s="8"/>
      <c r="Q37" s="8"/>
      <c r="R37" s="8"/>
      <c r="S37" s="8"/>
      <c r="T37" s="8"/>
      <c r="U37" s="8"/>
      <c r="V37" s="8"/>
      <c r="W37" s="8"/>
      <c r="X37" s="8"/>
      <c r="Y37" s="8"/>
      <c r="Z37" s="8"/>
      <c r="AA37" s="8"/>
      <c r="AB37" s="8"/>
      <c r="AC37" s="8"/>
      <c r="AR37" s="38" t="s">
        <v>1565</v>
      </c>
      <c r="AS37" s="39" t="s">
        <v>1566</v>
      </c>
      <c r="AT37" s="38" t="s">
        <v>6</v>
      </c>
      <c r="AU37" s="39" t="s">
        <v>1567</v>
      </c>
      <c r="AV37" s="40" t="s">
        <v>1568</v>
      </c>
      <c r="AW37" s="40" t="s">
        <v>677</v>
      </c>
      <c r="AX37" s="40" t="s">
        <v>1569</v>
      </c>
      <c r="AY37" s="40" t="s">
        <v>463</v>
      </c>
      <c r="AZ37" s="39" t="s">
        <v>1570</v>
      </c>
      <c r="BB37" s="81" t="s">
        <v>2490</v>
      </c>
      <c r="BC37" s="38" t="s">
        <v>1565</v>
      </c>
      <c r="BD37" s="39" t="s">
        <v>1566</v>
      </c>
      <c r="BE37" t="s">
        <v>2125</v>
      </c>
    </row>
    <row r="38" spans="1:57" ht="20.100000000000001" customHeight="1" x14ac:dyDescent="0.25">
      <c r="A38" s="4">
        <v>29</v>
      </c>
      <c r="B38" s="4" t="s">
        <v>2498</v>
      </c>
      <c r="C38" s="38" t="s">
        <v>1571</v>
      </c>
      <c r="D38" s="39" t="s">
        <v>1572</v>
      </c>
      <c r="E38" s="7" t="s">
        <v>6</v>
      </c>
      <c r="F38" s="8"/>
      <c r="G38" s="8"/>
      <c r="H38" s="8"/>
      <c r="I38" s="8"/>
      <c r="J38" s="8"/>
      <c r="K38" s="8"/>
      <c r="L38" s="8"/>
      <c r="M38" s="8"/>
      <c r="N38" s="8"/>
      <c r="O38" s="8"/>
      <c r="P38" s="8"/>
      <c r="Q38" s="8"/>
      <c r="R38" s="8"/>
      <c r="S38" s="8"/>
      <c r="T38" s="8"/>
      <c r="U38" s="8"/>
      <c r="V38" s="8"/>
      <c r="W38" s="8"/>
      <c r="X38" s="8"/>
      <c r="Y38" s="8"/>
      <c r="Z38" s="8"/>
      <c r="AA38" s="8"/>
      <c r="AB38" s="8"/>
      <c r="AC38" s="8"/>
      <c r="AE38" s="20"/>
      <c r="AF38" s="19"/>
      <c r="AG38" s="7"/>
      <c r="AR38" s="38" t="s">
        <v>1571</v>
      </c>
      <c r="AS38" s="39" t="s">
        <v>1572</v>
      </c>
      <c r="AT38" s="38" t="s">
        <v>6</v>
      </c>
      <c r="AU38" s="39" t="s">
        <v>603</v>
      </c>
      <c r="AV38" s="40">
        <v>85.06</v>
      </c>
      <c r="AW38" s="40">
        <v>63.34</v>
      </c>
      <c r="AX38" s="40">
        <v>76.37</v>
      </c>
      <c r="AY38" s="40" t="s">
        <v>463</v>
      </c>
      <c r="AZ38" s="39" t="s">
        <v>475</v>
      </c>
      <c r="BB38" s="81" t="s">
        <v>2498</v>
      </c>
      <c r="BC38" s="38" t="s">
        <v>1571</v>
      </c>
      <c r="BD38" s="39" t="s">
        <v>1572</v>
      </c>
      <c r="BE38" t="s">
        <v>2126</v>
      </c>
    </row>
    <row r="39" spans="1:57" ht="20.100000000000001" customHeight="1" x14ac:dyDescent="0.25">
      <c r="A39" s="4">
        <v>30</v>
      </c>
      <c r="B39" s="4" t="s">
        <v>2499</v>
      </c>
      <c r="C39" s="38" t="s">
        <v>1573</v>
      </c>
      <c r="D39" s="39" t="s">
        <v>1574</v>
      </c>
      <c r="E39" s="7" t="s">
        <v>6</v>
      </c>
      <c r="F39" s="8"/>
      <c r="G39" s="8"/>
      <c r="H39" s="8"/>
      <c r="I39" s="8"/>
      <c r="J39" s="8"/>
      <c r="K39" s="8"/>
      <c r="L39" s="8"/>
      <c r="M39" s="8"/>
      <c r="N39" s="8"/>
      <c r="O39" s="8"/>
      <c r="P39" s="8"/>
      <c r="Q39" s="8"/>
      <c r="R39" s="8"/>
      <c r="S39" s="8"/>
      <c r="T39" s="8"/>
      <c r="U39" s="8"/>
      <c r="V39" s="8"/>
      <c r="W39" s="8"/>
      <c r="X39" s="8"/>
      <c r="Y39" s="8"/>
      <c r="Z39" s="8"/>
      <c r="AA39" s="8"/>
      <c r="AB39" s="8"/>
      <c r="AC39" s="8"/>
      <c r="AR39" s="38" t="s">
        <v>1573</v>
      </c>
      <c r="AS39" s="39" t="s">
        <v>1574</v>
      </c>
      <c r="AT39" s="38" t="s">
        <v>6</v>
      </c>
      <c r="AU39" s="39" t="s">
        <v>1575</v>
      </c>
      <c r="AV39" s="40">
        <v>91.61</v>
      </c>
      <c r="AW39" s="40">
        <v>58.33</v>
      </c>
      <c r="AX39" s="40">
        <v>68.38</v>
      </c>
      <c r="AY39" s="40" t="s">
        <v>463</v>
      </c>
      <c r="AZ39" s="39" t="s">
        <v>485</v>
      </c>
      <c r="BB39" s="81" t="s">
        <v>2499</v>
      </c>
      <c r="BC39" s="38" t="s">
        <v>1573</v>
      </c>
      <c r="BD39" s="39" t="s">
        <v>1574</v>
      </c>
      <c r="BE39" t="s">
        <v>2127</v>
      </c>
    </row>
    <row r="40" spans="1:57" ht="20.100000000000001" customHeight="1" x14ac:dyDescent="0.25">
      <c r="A40" s="4">
        <v>31</v>
      </c>
      <c r="B40" s="4" t="s">
        <v>2531</v>
      </c>
      <c r="C40" s="38" t="s">
        <v>1576</v>
      </c>
      <c r="D40" s="39" t="s">
        <v>1577</v>
      </c>
      <c r="E40" s="7" t="s">
        <v>6</v>
      </c>
      <c r="F40" s="8"/>
      <c r="G40" s="8"/>
      <c r="H40" s="8"/>
      <c r="I40" s="8"/>
      <c r="J40" s="8"/>
      <c r="K40" s="8"/>
      <c r="L40" s="8"/>
      <c r="M40" s="8"/>
      <c r="N40" s="8"/>
      <c r="O40" s="8"/>
      <c r="P40" s="8"/>
      <c r="Q40" s="8"/>
      <c r="R40" s="8"/>
      <c r="S40" s="8"/>
      <c r="T40" s="8"/>
      <c r="U40" s="8"/>
      <c r="V40" s="8"/>
      <c r="W40" s="8"/>
      <c r="X40" s="8"/>
      <c r="Y40" s="8"/>
      <c r="Z40" s="8"/>
      <c r="AA40" s="8"/>
      <c r="AB40" s="8"/>
      <c r="AC40" s="8"/>
      <c r="AR40" s="38" t="s">
        <v>1576</v>
      </c>
      <c r="AS40" s="39" t="s">
        <v>1577</v>
      </c>
      <c r="AT40" s="38" t="s">
        <v>6</v>
      </c>
      <c r="AU40" s="39" t="s">
        <v>1578</v>
      </c>
      <c r="AV40" s="40" t="s">
        <v>1579</v>
      </c>
      <c r="AW40" s="40" t="s">
        <v>1497</v>
      </c>
      <c r="AX40" s="40" t="s">
        <v>1580</v>
      </c>
      <c r="AY40" s="40" t="s">
        <v>463</v>
      </c>
      <c r="AZ40" s="39" t="s">
        <v>1581</v>
      </c>
      <c r="BB40" s="81" t="s">
        <v>2531</v>
      </c>
      <c r="BC40" s="38" t="s">
        <v>1576</v>
      </c>
      <c r="BD40" s="39" t="s">
        <v>1577</v>
      </c>
      <c r="BE40" t="s">
        <v>2128</v>
      </c>
    </row>
    <row r="41" spans="1:57" ht="20.100000000000001" customHeight="1" x14ac:dyDescent="0.25">
      <c r="A41" s="4">
        <v>32</v>
      </c>
      <c r="B41" s="4" t="s">
        <v>2534</v>
      </c>
      <c r="C41" s="38" t="s">
        <v>1582</v>
      </c>
      <c r="D41" s="39" t="s">
        <v>1583</v>
      </c>
      <c r="E41" s="7" t="s">
        <v>6</v>
      </c>
      <c r="F41" s="8"/>
      <c r="G41" s="8"/>
      <c r="H41" s="8"/>
      <c r="I41" s="8"/>
      <c r="J41" s="8"/>
      <c r="K41" s="8"/>
      <c r="L41" s="8"/>
      <c r="M41" s="8"/>
      <c r="N41" s="8"/>
      <c r="O41" s="8"/>
      <c r="P41" s="8"/>
      <c r="Q41" s="8"/>
      <c r="R41" s="8"/>
      <c r="S41" s="8"/>
      <c r="T41" s="8"/>
      <c r="U41" s="8"/>
      <c r="V41" s="8"/>
      <c r="W41" s="8"/>
      <c r="X41" s="8"/>
      <c r="Y41" s="8"/>
      <c r="Z41" s="8"/>
      <c r="AA41" s="8"/>
      <c r="AB41" s="8"/>
      <c r="AC41" s="8"/>
      <c r="AR41" s="38" t="s">
        <v>1582</v>
      </c>
      <c r="AS41" s="39" t="s">
        <v>1583</v>
      </c>
      <c r="AT41" s="38" t="s">
        <v>6</v>
      </c>
      <c r="AU41" s="39" t="s">
        <v>1584</v>
      </c>
      <c r="AV41" s="40">
        <v>85.37</v>
      </c>
      <c r="AW41" s="40">
        <v>51.67</v>
      </c>
      <c r="AX41" s="40">
        <v>71.89</v>
      </c>
      <c r="AY41" s="40" t="s">
        <v>463</v>
      </c>
      <c r="AZ41" s="39" t="s">
        <v>1585</v>
      </c>
      <c r="BB41" s="81" t="s">
        <v>2534</v>
      </c>
      <c r="BC41" s="38" t="s">
        <v>1582</v>
      </c>
      <c r="BD41" s="39" t="s">
        <v>1583</v>
      </c>
      <c r="BE41" t="s">
        <v>2129</v>
      </c>
    </row>
    <row r="42" spans="1:57" ht="20.100000000000001" customHeight="1" x14ac:dyDescent="0.25">
      <c r="A42" s="4">
        <v>33</v>
      </c>
      <c r="B42" s="4" t="s">
        <v>2547</v>
      </c>
      <c r="C42" s="38" t="s">
        <v>1586</v>
      </c>
      <c r="D42" s="39" t="s">
        <v>1587</v>
      </c>
      <c r="E42" s="7" t="s">
        <v>6</v>
      </c>
      <c r="F42" s="8"/>
      <c r="G42" s="8"/>
      <c r="H42" s="8"/>
      <c r="I42" s="8"/>
      <c r="J42" s="8"/>
      <c r="K42" s="8"/>
      <c r="L42" s="8"/>
      <c r="M42" s="8"/>
      <c r="N42" s="8"/>
      <c r="O42" s="8"/>
      <c r="P42" s="8"/>
      <c r="Q42" s="8"/>
      <c r="R42" s="8"/>
      <c r="S42" s="8"/>
      <c r="T42" s="8"/>
      <c r="U42" s="8"/>
      <c r="V42" s="8"/>
      <c r="W42" s="8"/>
      <c r="X42" s="8"/>
      <c r="Y42" s="8"/>
      <c r="Z42" s="8"/>
      <c r="AA42" s="8"/>
      <c r="AB42" s="8"/>
      <c r="AC42" s="8"/>
      <c r="AR42" s="38" t="s">
        <v>1586</v>
      </c>
      <c r="AS42" s="39" t="s">
        <v>1587</v>
      </c>
      <c r="AT42" s="38" t="s">
        <v>6</v>
      </c>
      <c r="AU42" s="39" t="s">
        <v>1447</v>
      </c>
      <c r="AV42" s="40" t="s">
        <v>1588</v>
      </c>
      <c r="AW42" s="40" t="s">
        <v>502</v>
      </c>
      <c r="AX42" s="40" t="s">
        <v>1589</v>
      </c>
      <c r="AY42" s="40" t="s">
        <v>463</v>
      </c>
      <c r="AZ42" s="39" t="s">
        <v>475</v>
      </c>
      <c r="BB42" s="81" t="s">
        <v>2547</v>
      </c>
      <c r="BC42" s="38" t="s">
        <v>1586</v>
      </c>
      <c r="BD42" s="39" t="s">
        <v>1587</v>
      </c>
      <c r="BE42" t="s">
        <v>2130</v>
      </c>
    </row>
    <row r="43" spans="1:57" ht="20.100000000000001" customHeight="1" x14ac:dyDescent="0.25">
      <c r="A43" s="4">
        <v>34</v>
      </c>
      <c r="B43" s="4" t="s">
        <v>2551</v>
      </c>
      <c r="C43" s="38" t="s">
        <v>1590</v>
      </c>
      <c r="D43" s="39" t="s">
        <v>1591</v>
      </c>
      <c r="E43" s="7" t="s">
        <v>6</v>
      </c>
      <c r="F43" s="8"/>
      <c r="G43" s="8"/>
      <c r="H43" s="8"/>
      <c r="I43" s="8"/>
      <c r="J43" s="8"/>
      <c r="K43" s="8"/>
      <c r="L43" s="8"/>
      <c r="M43" s="8"/>
      <c r="N43" s="8"/>
      <c r="O43" s="8"/>
      <c r="P43" s="8"/>
      <c r="Q43" s="8"/>
      <c r="R43" s="8"/>
      <c r="S43" s="8"/>
      <c r="T43" s="8"/>
      <c r="U43" s="8"/>
      <c r="V43" s="8"/>
      <c r="W43" s="8"/>
      <c r="X43" s="8"/>
      <c r="Y43" s="8"/>
      <c r="Z43" s="8"/>
      <c r="AA43" s="8"/>
      <c r="AB43" s="8"/>
      <c r="AC43" s="8"/>
      <c r="AE43" s="20"/>
      <c r="AF43" s="21"/>
      <c r="AG43" s="22"/>
      <c r="AR43" s="38" t="s">
        <v>1590</v>
      </c>
      <c r="AS43" s="39" t="s">
        <v>1591</v>
      </c>
      <c r="AT43" s="38" t="s">
        <v>6</v>
      </c>
      <c r="AU43" s="39" t="s">
        <v>603</v>
      </c>
      <c r="AV43" s="40" t="s">
        <v>1592</v>
      </c>
      <c r="AW43" s="40" t="s">
        <v>473</v>
      </c>
      <c r="AX43" s="40" t="s">
        <v>1593</v>
      </c>
      <c r="AY43" s="40" t="s">
        <v>463</v>
      </c>
      <c r="AZ43" s="39" t="s">
        <v>475</v>
      </c>
      <c r="BB43" s="81" t="s">
        <v>2551</v>
      </c>
      <c r="BC43" s="38" t="s">
        <v>1590</v>
      </c>
      <c r="BD43" s="39" t="s">
        <v>1591</v>
      </c>
      <c r="BE43" t="s">
        <v>2131</v>
      </c>
    </row>
    <row r="44" spans="1:57" ht="20.100000000000001" customHeight="1" x14ac:dyDescent="0.25">
      <c r="A44" s="4">
        <v>35</v>
      </c>
      <c r="B44" s="4" t="s">
        <v>2573</v>
      </c>
      <c r="C44" s="38" t="s">
        <v>1594</v>
      </c>
      <c r="D44" s="39" t="s">
        <v>1595</v>
      </c>
      <c r="E44" s="7" t="s">
        <v>6</v>
      </c>
      <c r="F44" s="8"/>
      <c r="G44" s="8"/>
      <c r="H44" s="8"/>
      <c r="I44" s="8"/>
      <c r="J44" s="8"/>
      <c r="K44" s="8"/>
      <c r="L44" s="8"/>
      <c r="M44" s="8"/>
      <c r="N44" s="8"/>
      <c r="O44" s="8"/>
      <c r="P44" s="8"/>
      <c r="Q44" s="8"/>
      <c r="R44" s="8"/>
      <c r="S44" s="8"/>
      <c r="T44" s="8"/>
      <c r="U44" s="8"/>
      <c r="V44" s="8"/>
      <c r="W44" s="8"/>
      <c r="X44" s="8"/>
      <c r="Y44" s="8"/>
      <c r="Z44" s="8"/>
      <c r="AA44" s="8"/>
      <c r="AB44" s="8"/>
      <c r="AC44" s="8"/>
      <c r="AR44" s="38" t="s">
        <v>1594</v>
      </c>
      <c r="AS44" s="39" t="s">
        <v>1595</v>
      </c>
      <c r="AT44" s="38" t="s">
        <v>6</v>
      </c>
      <c r="AU44" s="39" t="s">
        <v>1439</v>
      </c>
      <c r="AV44" s="40" t="s">
        <v>1596</v>
      </c>
      <c r="AW44" s="40" t="s">
        <v>697</v>
      </c>
      <c r="AX44" s="40" t="s">
        <v>537</v>
      </c>
      <c r="AY44" s="40" t="s">
        <v>463</v>
      </c>
      <c r="AZ44" s="39" t="s">
        <v>475</v>
      </c>
      <c r="BB44" s="81" t="s">
        <v>2573</v>
      </c>
      <c r="BC44" s="38" t="s">
        <v>1594</v>
      </c>
      <c r="BD44" s="39" t="s">
        <v>1595</v>
      </c>
      <c r="BE44" t="s">
        <v>2132</v>
      </c>
    </row>
    <row r="45" spans="1:57" ht="20.100000000000001" customHeight="1" x14ac:dyDescent="0.25">
      <c r="A45" s="4">
        <v>36</v>
      </c>
      <c r="B45" s="4" t="s">
        <v>2579</v>
      </c>
      <c r="C45" s="38" t="s">
        <v>1597</v>
      </c>
      <c r="D45" s="39" t="s">
        <v>1598</v>
      </c>
      <c r="E45" s="7" t="s">
        <v>7</v>
      </c>
      <c r="F45" s="8"/>
      <c r="G45" s="8"/>
      <c r="H45" s="8"/>
      <c r="I45" s="8"/>
      <c r="J45" s="8"/>
      <c r="K45" s="8"/>
      <c r="L45" s="8"/>
      <c r="M45" s="8"/>
      <c r="N45" s="8"/>
      <c r="O45" s="8"/>
      <c r="P45" s="8"/>
      <c r="Q45" s="8"/>
      <c r="R45" s="8"/>
      <c r="S45" s="8"/>
      <c r="T45" s="8"/>
      <c r="U45" s="8"/>
      <c r="V45" s="8"/>
      <c r="W45" s="8"/>
      <c r="X45" s="8"/>
      <c r="Y45" s="8"/>
      <c r="Z45" s="8"/>
      <c r="AA45" s="8"/>
      <c r="AB45" s="8"/>
      <c r="AC45" s="8"/>
      <c r="AR45" s="38" t="s">
        <v>1597</v>
      </c>
      <c r="AS45" s="39" t="s">
        <v>1598</v>
      </c>
      <c r="AT45" s="38" t="s">
        <v>7</v>
      </c>
      <c r="AU45" s="39" t="s">
        <v>603</v>
      </c>
      <c r="AV45" s="40" t="s">
        <v>1599</v>
      </c>
      <c r="AW45" s="40" t="s">
        <v>936</v>
      </c>
      <c r="AX45" s="40" t="s">
        <v>1600</v>
      </c>
      <c r="AY45" s="40" t="s">
        <v>463</v>
      </c>
      <c r="AZ45" s="39" t="s">
        <v>475</v>
      </c>
      <c r="BB45" s="81" t="s">
        <v>2579</v>
      </c>
      <c r="BC45" s="38" t="s">
        <v>1597</v>
      </c>
      <c r="BD45" s="39" t="s">
        <v>1598</v>
      </c>
      <c r="BE45" t="s">
        <v>2133</v>
      </c>
    </row>
    <row r="46" spans="1:57" x14ac:dyDescent="0.25">
      <c r="A46" s="58" t="s">
        <v>8</v>
      </c>
      <c r="B46" s="58"/>
      <c r="C46" s="58"/>
      <c r="D46" s="10" t="s">
        <v>9</v>
      </c>
      <c r="E46" s="8">
        <f>COUNTIFS($E$10:$E$45,"L")</f>
        <v>12</v>
      </c>
      <c r="F46" s="8"/>
      <c r="G46" s="8"/>
      <c r="H46" s="8"/>
      <c r="I46" s="8"/>
      <c r="J46" s="8"/>
      <c r="K46" s="8"/>
      <c r="L46" s="8"/>
      <c r="M46" s="8"/>
      <c r="N46" s="8"/>
      <c r="O46" s="8"/>
      <c r="P46" s="8"/>
      <c r="Q46" s="8"/>
      <c r="R46" s="8"/>
      <c r="S46" s="8"/>
      <c r="T46" s="8"/>
      <c r="U46" s="8"/>
      <c r="V46" s="8"/>
      <c r="W46" s="8"/>
      <c r="X46" s="8"/>
      <c r="Y46" s="8"/>
      <c r="Z46" s="8"/>
      <c r="AA46" s="8"/>
      <c r="AB46" s="8"/>
      <c r="AC46" s="8"/>
    </row>
    <row r="47" spans="1:57" x14ac:dyDescent="0.25">
      <c r="A47" s="58" t="s">
        <v>10</v>
      </c>
      <c r="B47" s="58"/>
      <c r="C47" s="58"/>
      <c r="D47" s="10" t="s">
        <v>11</v>
      </c>
      <c r="E47" s="8">
        <f>COUNTIFS($E$10:$E$45,"P")</f>
        <v>24</v>
      </c>
      <c r="F47" s="8"/>
      <c r="G47" s="8"/>
      <c r="H47" s="8"/>
      <c r="I47" s="8"/>
      <c r="J47" s="8"/>
      <c r="K47" s="8"/>
      <c r="L47" s="8"/>
      <c r="M47" s="8"/>
      <c r="N47" s="8"/>
      <c r="O47" s="8"/>
      <c r="P47" s="8"/>
      <c r="Q47" s="8"/>
      <c r="R47" s="8"/>
      <c r="S47" s="8"/>
      <c r="T47" s="8"/>
      <c r="U47" s="8"/>
      <c r="V47" s="8"/>
      <c r="W47" s="8"/>
      <c r="X47" s="8"/>
      <c r="Y47" s="8"/>
      <c r="Z47" s="8"/>
      <c r="AA47" s="8"/>
      <c r="AB47" s="8"/>
      <c r="AC47" s="8"/>
    </row>
    <row r="48" spans="1:57" x14ac:dyDescent="0.25">
      <c r="E48">
        <v>36</v>
      </c>
      <c r="AE48" s="1"/>
      <c r="AF48" s="2"/>
      <c r="AH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AF38">
    <cfRule type="colorScale" priority="47">
      <colorScale>
        <cfvo type="min"/>
        <cfvo type="max"/>
        <color rgb="FFFCFCFF"/>
        <color rgb="FF63BE7B"/>
      </colorScale>
    </cfRule>
    <cfRule type="duplicateValues" dxfId="71" priority="48"/>
  </conditionalFormatting>
  <conditionalFormatting sqref="AF43">
    <cfRule type="colorScale" priority="41">
      <colorScale>
        <cfvo type="min"/>
        <cfvo type="max"/>
        <color rgb="FFFCFCFF"/>
        <color rgb="FF63BE7B"/>
      </colorScale>
    </cfRule>
    <cfRule type="duplicateValues" dxfId="70" priority="42"/>
  </conditionalFormatting>
  <conditionalFormatting sqref="AT11">
    <cfRule type="colorScale" priority="19">
      <colorScale>
        <cfvo type="min"/>
        <cfvo type="max"/>
        <color rgb="FFFCFCFF"/>
        <color rgb="FF63BE7B"/>
      </colorScale>
    </cfRule>
    <cfRule type="duplicateValues" dxfId="69" priority="20"/>
  </conditionalFormatting>
  <conditionalFormatting sqref="AT12:AT15 AT10 AT33:AT37 AT39:AT42 AT28 AT17:AT25">
    <cfRule type="colorScale" priority="17">
      <colorScale>
        <cfvo type="min"/>
        <cfvo type="max"/>
        <color rgb="FFFCFCFF"/>
        <color rgb="FF63BE7B"/>
      </colorScale>
    </cfRule>
    <cfRule type="duplicateValues" dxfId="68" priority="18"/>
  </conditionalFormatting>
  <conditionalFormatting sqref="AT16">
    <cfRule type="colorScale" priority="3">
      <colorScale>
        <cfvo type="min"/>
        <cfvo type="max"/>
        <color rgb="FFFCFCFF"/>
        <color rgb="FF63BE7B"/>
      </colorScale>
    </cfRule>
    <cfRule type="duplicateValues" dxfId="67" priority="4"/>
  </conditionalFormatting>
  <conditionalFormatting sqref="AT26">
    <cfRule type="colorScale" priority="9">
      <colorScale>
        <cfvo type="min"/>
        <cfvo type="max"/>
        <color rgb="FFFCFCFF"/>
        <color rgb="FF63BE7B"/>
      </colorScale>
    </cfRule>
    <cfRule type="duplicateValues" dxfId="66" priority="10"/>
  </conditionalFormatting>
  <conditionalFormatting sqref="AT27">
    <cfRule type="colorScale" priority="5">
      <colorScale>
        <cfvo type="min"/>
        <cfvo type="max"/>
        <color rgb="FFFCFCFF"/>
        <color rgb="FF63BE7B"/>
      </colorScale>
    </cfRule>
    <cfRule type="duplicateValues" dxfId="65" priority="6"/>
  </conditionalFormatting>
  <conditionalFormatting sqref="AT29">
    <cfRule type="colorScale" priority="23">
      <colorScale>
        <cfvo type="min"/>
        <cfvo type="max"/>
        <color rgb="FFFCFCFF"/>
        <color rgb="FF63BE7B"/>
      </colorScale>
    </cfRule>
    <cfRule type="duplicateValues" dxfId="64" priority="24"/>
  </conditionalFormatting>
  <conditionalFormatting sqref="AT30">
    <cfRule type="colorScale" priority="1">
      <colorScale>
        <cfvo type="min"/>
        <cfvo type="max"/>
        <color rgb="FFFCFCFF"/>
        <color rgb="FF63BE7B"/>
      </colorScale>
    </cfRule>
    <cfRule type="duplicateValues" dxfId="63" priority="2"/>
  </conditionalFormatting>
  <conditionalFormatting sqref="AT31">
    <cfRule type="colorScale" priority="7">
      <colorScale>
        <cfvo type="min"/>
        <cfvo type="max"/>
        <color rgb="FFFCFCFF"/>
        <color rgb="FF63BE7B"/>
      </colorScale>
    </cfRule>
    <cfRule type="duplicateValues" dxfId="62" priority="8"/>
  </conditionalFormatting>
  <conditionalFormatting sqref="AT32">
    <cfRule type="colorScale" priority="15">
      <colorScale>
        <cfvo type="min"/>
        <cfvo type="max"/>
        <color rgb="FFFCFCFF"/>
        <color rgb="FF63BE7B"/>
      </colorScale>
    </cfRule>
    <cfRule type="duplicateValues" dxfId="61" priority="16"/>
  </conditionalFormatting>
  <conditionalFormatting sqref="AT38">
    <cfRule type="colorScale" priority="11">
      <colorScale>
        <cfvo type="min"/>
        <cfvo type="max"/>
        <color rgb="FFFCFCFF"/>
        <color rgb="FF63BE7B"/>
      </colorScale>
    </cfRule>
    <cfRule type="duplicateValues" dxfId="60" priority="12"/>
  </conditionalFormatting>
  <conditionalFormatting sqref="AT43">
    <cfRule type="colorScale" priority="13">
      <colorScale>
        <cfvo type="min"/>
        <cfvo type="max"/>
        <color rgb="FFFCFCFF"/>
        <color rgb="FF63BE7B"/>
      </colorScale>
    </cfRule>
    <cfRule type="duplicateValues" dxfId="59" priority="14"/>
  </conditionalFormatting>
  <conditionalFormatting sqref="AT44:AT45">
    <cfRule type="colorScale" priority="21">
      <colorScale>
        <cfvo type="min"/>
        <cfvo type="max"/>
        <color rgb="FFFCFCFF"/>
        <color rgb="FF63BE7B"/>
      </colorScale>
    </cfRule>
    <cfRule type="duplicateValues" dxfId="58" priority="22"/>
  </conditionalFormatting>
  <pageMargins left="0.62992125984251968" right="0" top="0.39370078740157483" bottom="0.6692913385826772" header="0.31496062992125984" footer="0.31496062992125984"/>
  <pageSetup paperSize="5" scale="80"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48"/>
  <sheetViews>
    <sheetView topLeftCell="A25" workbookViewId="0">
      <selection activeCell="B10" sqref="B10:B45"/>
    </sheetView>
  </sheetViews>
  <sheetFormatPr defaultColWidth="3.28515625" defaultRowHeight="15" x14ac:dyDescent="0.25"/>
  <cols>
    <col min="1" max="1" width="4.5703125" bestFit="1" customWidth="1"/>
    <col min="2" max="2" width="5.85546875" customWidth="1"/>
    <col min="3" max="3" width="11" bestFit="1" customWidth="1"/>
    <col min="4" max="4" width="30.7109375" customWidth="1"/>
    <col min="5" max="5" width="3.7109375" bestFit="1" customWidth="1"/>
    <col min="6" max="29" width="2.7109375" customWidth="1"/>
    <col min="31" max="31" width="6.5703125" customWidth="1"/>
    <col min="32" max="32" width="11.85546875" customWidth="1"/>
    <col min="33" max="33" width="32.28515625" customWidth="1"/>
    <col min="42" max="42" width="7.140625" customWidth="1"/>
    <col min="43" max="43" width="13.42578125" customWidth="1"/>
    <col min="44" max="44" width="16.7109375" customWidth="1"/>
    <col min="45" max="45" width="8.28515625" customWidth="1"/>
  </cols>
  <sheetData>
    <row r="1" spans="1:45"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45"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row>
    <row r="3" spans="1:45"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row>
    <row r="4" spans="1:45"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row>
    <row r="5" spans="1:45" x14ac:dyDescent="0.25">
      <c r="A5" s="1"/>
      <c r="B5" s="1"/>
      <c r="C5" s="2"/>
      <c r="P5" s="11"/>
    </row>
    <row r="6" spans="1:45" ht="3.75" customHeight="1" x14ac:dyDescent="0.25">
      <c r="A6" s="1"/>
      <c r="B6" s="1"/>
      <c r="C6" s="2"/>
    </row>
    <row r="7" spans="1:45" x14ac:dyDescent="0.25">
      <c r="A7" s="52" t="s">
        <v>0</v>
      </c>
      <c r="B7" s="53" t="s">
        <v>467</v>
      </c>
      <c r="C7" s="53" t="s">
        <v>1</v>
      </c>
      <c r="D7" s="52" t="s">
        <v>2</v>
      </c>
      <c r="E7" s="54" t="s">
        <v>3</v>
      </c>
      <c r="F7" s="55" t="s">
        <v>4</v>
      </c>
      <c r="G7" s="56"/>
      <c r="H7" s="57"/>
      <c r="I7" s="59" t="s">
        <v>1866</v>
      </c>
      <c r="J7" s="60"/>
      <c r="K7" s="60"/>
      <c r="L7" s="60"/>
      <c r="M7" s="60"/>
      <c r="N7" s="60"/>
      <c r="O7" s="60"/>
      <c r="P7" s="60"/>
      <c r="Q7" s="60"/>
      <c r="R7" s="60"/>
      <c r="S7" s="61"/>
      <c r="T7" s="58" t="s">
        <v>5</v>
      </c>
      <c r="U7" s="58"/>
      <c r="V7" s="67" t="s">
        <v>1867</v>
      </c>
      <c r="W7" s="68"/>
      <c r="X7" s="68"/>
      <c r="Y7" s="68"/>
      <c r="Z7" s="68"/>
      <c r="AA7" s="68"/>
      <c r="AB7" s="68"/>
      <c r="AC7" s="68"/>
    </row>
    <row r="8" spans="1:45"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row>
    <row r="9" spans="1:45"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row>
    <row r="10" spans="1:45" ht="20.100000000000001" customHeight="1" x14ac:dyDescent="0.25">
      <c r="A10" s="4">
        <v>1</v>
      </c>
      <c r="B10" s="4" t="s">
        <v>2261</v>
      </c>
      <c r="C10" s="5" t="s">
        <v>1601</v>
      </c>
      <c r="D10" s="6" t="s">
        <v>1602</v>
      </c>
      <c r="E10" s="7" t="s">
        <v>7</v>
      </c>
      <c r="F10" s="8"/>
      <c r="G10" s="8"/>
      <c r="H10" s="8"/>
      <c r="I10" s="8"/>
      <c r="J10" s="8"/>
      <c r="K10" s="8"/>
      <c r="L10" s="8"/>
      <c r="M10" s="8"/>
      <c r="N10" s="8"/>
      <c r="O10" s="8"/>
      <c r="P10" s="8"/>
      <c r="Q10" s="8"/>
      <c r="R10" s="8"/>
      <c r="S10" s="8"/>
      <c r="T10" s="8"/>
      <c r="U10" s="8"/>
      <c r="V10" s="8"/>
      <c r="W10" s="8"/>
      <c r="X10" s="8"/>
      <c r="Y10" s="8"/>
      <c r="Z10" s="8"/>
      <c r="AA10" s="8"/>
      <c r="AB10" s="8"/>
      <c r="AC10" s="8"/>
      <c r="AE10" s="38" t="s">
        <v>1601</v>
      </c>
      <c r="AF10" s="39" t="s">
        <v>1602</v>
      </c>
      <c r="AG10" s="38" t="s">
        <v>7</v>
      </c>
      <c r="AH10" s="39" t="s">
        <v>494</v>
      </c>
      <c r="AI10" s="40" t="s">
        <v>1603</v>
      </c>
      <c r="AJ10" s="40" t="s">
        <v>517</v>
      </c>
      <c r="AK10" s="40" t="s">
        <v>1604</v>
      </c>
      <c r="AL10" s="40" t="s">
        <v>464</v>
      </c>
      <c r="AM10" s="39" t="s">
        <v>475</v>
      </c>
      <c r="AP10" s="81" t="s">
        <v>2261</v>
      </c>
      <c r="AQ10" s="5" t="s">
        <v>1601</v>
      </c>
      <c r="AR10" s="6" t="s">
        <v>1602</v>
      </c>
      <c r="AS10" t="s">
        <v>1991</v>
      </c>
    </row>
    <row r="11" spans="1:45" ht="20.100000000000001" customHeight="1" x14ac:dyDescent="0.25">
      <c r="A11" s="4">
        <v>2</v>
      </c>
      <c r="B11" s="4" t="s">
        <v>2262</v>
      </c>
      <c r="C11" s="5" t="s">
        <v>1605</v>
      </c>
      <c r="D11" s="6" t="s">
        <v>1606</v>
      </c>
      <c r="E11" s="7" t="s">
        <v>7</v>
      </c>
      <c r="F11" s="8"/>
      <c r="G11" s="8"/>
      <c r="H11" s="8"/>
      <c r="I11" s="8"/>
      <c r="J11" s="8"/>
      <c r="K11" s="8"/>
      <c r="L11" s="8"/>
      <c r="M11" s="8"/>
      <c r="N11" s="8"/>
      <c r="O11" s="8"/>
      <c r="P11" s="8"/>
      <c r="Q11" s="8"/>
      <c r="R11" s="8"/>
      <c r="S11" s="8"/>
      <c r="T11" s="8"/>
      <c r="U11" s="8"/>
      <c r="V11" s="8"/>
      <c r="W11" s="8"/>
      <c r="X11" s="8"/>
      <c r="Y11" s="8"/>
      <c r="Z11" s="8"/>
      <c r="AA11" s="8"/>
      <c r="AB11" s="8"/>
      <c r="AC11" s="8"/>
      <c r="AE11" s="38" t="s">
        <v>1605</v>
      </c>
      <c r="AF11" s="39" t="s">
        <v>1606</v>
      </c>
      <c r="AG11" s="38" t="s">
        <v>7</v>
      </c>
      <c r="AH11" s="39" t="s">
        <v>1607</v>
      </c>
      <c r="AI11" s="40">
        <v>89.23</v>
      </c>
      <c r="AJ11" s="40">
        <v>88.33</v>
      </c>
      <c r="AK11" s="40">
        <v>88.87</v>
      </c>
      <c r="AL11" s="40" t="s">
        <v>464</v>
      </c>
      <c r="AM11" s="39" t="s">
        <v>1608</v>
      </c>
      <c r="AP11" s="81" t="s">
        <v>2262</v>
      </c>
      <c r="AQ11" s="5" t="s">
        <v>1605</v>
      </c>
      <c r="AR11" s="6" t="s">
        <v>1606</v>
      </c>
      <c r="AS11" t="s">
        <v>2134</v>
      </c>
    </row>
    <row r="12" spans="1:45" ht="20.100000000000001" customHeight="1" x14ac:dyDescent="0.25">
      <c r="A12" s="4">
        <v>3</v>
      </c>
      <c r="B12" s="4" t="s">
        <v>2264</v>
      </c>
      <c r="C12" s="9" t="s">
        <v>1609</v>
      </c>
      <c r="D12" s="6" t="s">
        <v>1610</v>
      </c>
      <c r="E12" s="7" t="s">
        <v>6</v>
      </c>
      <c r="F12" s="8"/>
      <c r="G12" s="8"/>
      <c r="H12" s="8"/>
      <c r="I12" s="8"/>
      <c r="J12" s="8"/>
      <c r="K12" s="8"/>
      <c r="L12" s="8"/>
      <c r="M12" s="8"/>
      <c r="N12" s="8"/>
      <c r="O12" s="8"/>
      <c r="P12" s="8"/>
      <c r="Q12" s="8"/>
      <c r="R12" s="8"/>
      <c r="S12" s="8"/>
      <c r="T12" s="8"/>
      <c r="U12" s="8"/>
      <c r="V12" s="8"/>
      <c r="W12" s="8"/>
      <c r="X12" s="8"/>
      <c r="Y12" s="8"/>
      <c r="Z12" s="8"/>
      <c r="AA12" s="8"/>
      <c r="AB12" s="8"/>
      <c r="AC12" s="8"/>
      <c r="AE12" s="38" t="s">
        <v>1609</v>
      </c>
      <c r="AF12" s="39" t="s">
        <v>1610</v>
      </c>
      <c r="AG12" s="38" t="s">
        <v>6</v>
      </c>
      <c r="AH12" s="39" t="s">
        <v>619</v>
      </c>
      <c r="AI12" s="40" t="s">
        <v>1140</v>
      </c>
      <c r="AJ12" s="40" t="s">
        <v>548</v>
      </c>
      <c r="AK12" s="40" t="s">
        <v>1611</v>
      </c>
      <c r="AL12" s="40" t="s">
        <v>464</v>
      </c>
      <c r="AM12" s="39" t="s">
        <v>475</v>
      </c>
      <c r="AP12" s="81" t="s">
        <v>2264</v>
      </c>
      <c r="AQ12" s="9" t="s">
        <v>1609</v>
      </c>
      <c r="AR12" s="6" t="s">
        <v>1610</v>
      </c>
      <c r="AS12" t="s">
        <v>2135</v>
      </c>
    </row>
    <row r="13" spans="1:45" ht="20.100000000000001" customHeight="1" x14ac:dyDescent="0.25">
      <c r="A13" s="4">
        <v>4</v>
      </c>
      <c r="B13" s="4" t="s">
        <v>2273</v>
      </c>
      <c r="C13" s="5" t="s">
        <v>1612</v>
      </c>
      <c r="D13" s="6" t="s">
        <v>1613</v>
      </c>
      <c r="E13" s="7" t="s">
        <v>6</v>
      </c>
      <c r="F13" s="8"/>
      <c r="G13" s="8"/>
      <c r="H13" s="8"/>
      <c r="I13" s="8"/>
      <c r="J13" s="8"/>
      <c r="K13" s="8"/>
      <c r="L13" s="8"/>
      <c r="M13" s="8"/>
      <c r="N13" s="8"/>
      <c r="O13" s="8"/>
      <c r="P13" s="8"/>
      <c r="Q13" s="8"/>
      <c r="R13" s="8"/>
      <c r="S13" s="8"/>
      <c r="T13" s="8"/>
      <c r="U13" s="8"/>
      <c r="V13" s="8"/>
      <c r="W13" s="8"/>
      <c r="X13" s="8"/>
      <c r="Y13" s="8"/>
      <c r="Z13" s="8"/>
      <c r="AA13" s="8"/>
      <c r="AB13" s="8"/>
      <c r="AC13" s="8"/>
      <c r="AE13" s="38" t="s">
        <v>1612</v>
      </c>
      <c r="AF13" s="39" t="s">
        <v>1613</v>
      </c>
      <c r="AG13" s="38" t="s">
        <v>6</v>
      </c>
      <c r="AH13" s="39" t="s">
        <v>484</v>
      </c>
      <c r="AI13" s="40" t="s">
        <v>536</v>
      </c>
      <c r="AJ13" s="40" t="s">
        <v>473</v>
      </c>
      <c r="AK13" s="40" t="s">
        <v>1614</v>
      </c>
      <c r="AL13" s="40" t="s">
        <v>464</v>
      </c>
      <c r="AM13" s="39" t="s">
        <v>1615</v>
      </c>
      <c r="AP13" s="81" t="s">
        <v>2273</v>
      </c>
      <c r="AQ13" s="5" t="s">
        <v>1612</v>
      </c>
      <c r="AR13" s="6" t="s">
        <v>1613</v>
      </c>
      <c r="AS13" t="s">
        <v>2028</v>
      </c>
    </row>
    <row r="14" spans="1:45" ht="20.100000000000001" customHeight="1" x14ac:dyDescent="0.25">
      <c r="A14" s="4">
        <v>5</v>
      </c>
      <c r="B14" s="4" t="s">
        <v>2276</v>
      </c>
      <c r="C14" s="5" t="s">
        <v>1616</v>
      </c>
      <c r="D14" s="6" t="s">
        <v>1617</v>
      </c>
      <c r="E14" s="7" t="s">
        <v>6</v>
      </c>
      <c r="F14" s="8"/>
      <c r="G14" s="8"/>
      <c r="H14" s="8"/>
      <c r="I14" s="8"/>
      <c r="J14" s="8"/>
      <c r="K14" s="8"/>
      <c r="L14" s="8"/>
      <c r="M14" s="8"/>
      <c r="N14" s="8"/>
      <c r="O14" s="8"/>
      <c r="P14" s="8"/>
      <c r="Q14" s="8"/>
      <c r="R14" s="8"/>
      <c r="S14" s="8"/>
      <c r="T14" s="8"/>
      <c r="U14" s="8"/>
      <c r="V14" s="8"/>
      <c r="W14" s="8"/>
      <c r="X14" s="8"/>
      <c r="Y14" s="8"/>
      <c r="Z14" s="8"/>
      <c r="AA14" s="8"/>
      <c r="AB14" s="8"/>
      <c r="AC14" s="8"/>
      <c r="AE14" s="38" t="s">
        <v>1616</v>
      </c>
      <c r="AF14" s="39" t="s">
        <v>1617</v>
      </c>
      <c r="AG14" s="38" t="s">
        <v>6</v>
      </c>
      <c r="AH14" s="39" t="s">
        <v>1618</v>
      </c>
      <c r="AI14" s="40">
        <v>88.14</v>
      </c>
      <c r="AJ14" s="40">
        <v>78.34</v>
      </c>
      <c r="AK14" s="40">
        <v>84.22</v>
      </c>
      <c r="AL14" s="40" t="s">
        <v>464</v>
      </c>
      <c r="AM14" s="39" t="s">
        <v>475</v>
      </c>
      <c r="AP14" s="81" t="s">
        <v>2276</v>
      </c>
      <c r="AQ14" s="5" t="s">
        <v>1616</v>
      </c>
      <c r="AR14" s="6" t="s">
        <v>1617</v>
      </c>
      <c r="AS14" t="s">
        <v>2136</v>
      </c>
    </row>
    <row r="15" spans="1:45" ht="20.100000000000001" customHeight="1" x14ac:dyDescent="0.25">
      <c r="A15" s="4">
        <v>6</v>
      </c>
      <c r="B15" s="4" t="s">
        <v>2281</v>
      </c>
      <c r="C15" s="5" t="s">
        <v>1619</v>
      </c>
      <c r="D15" s="6" t="s">
        <v>1620</v>
      </c>
      <c r="E15" s="7" t="s">
        <v>6</v>
      </c>
      <c r="F15" s="8"/>
      <c r="G15" s="8"/>
      <c r="H15" s="8"/>
      <c r="I15" s="8"/>
      <c r="J15" s="8"/>
      <c r="K15" s="8"/>
      <c r="L15" s="8"/>
      <c r="M15" s="8"/>
      <c r="N15" s="8"/>
      <c r="O15" s="8"/>
      <c r="P15" s="8"/>
      <c r="Q15" s="8"/>
      <c r="R15" s="8"/>
      <c r="S15" s="8"/>
      <c r="T15" s="8"/>
      <c r="U15" s="8"/>
      <c r="V15" s="8"/>
      <c r="W15" s="8"/>
      <c r="X15" s="8"/>
      <c r="Y15" s="8"/>
      <c r="Z15" s="8"/>
      <c r="AA15" s="8"/>
      <c r="AB15" s="8"/>
      <c r="AC15" s="8"/>
      <c r="AE15" s="38" t="s">
        <v>1619</v>
      </c>
      <c r="AF15" s="39" t="s">
        <v>1620</v>
      </c>
      <c r="AG15" s="38" t="s">
        <v>6</v>
      </c>
      <c r="AH15" s="39" t="s">
        <v>528</v>
      </c>
      <c r="AI15" s="40" t="s">
        <v>1621</v>
      </c>
      <c r="AJ15" s="40" t="s">
        <v>769</v>
      </c>
      <c r="AK15" s="40" t="s">
        <v>1622</v>
      </c>
      <c r="AL15" s="40" t="s">
        <v>464</v>
      </c>
      <c r="AM15" s="39" t="s">
        <v>1623</v>
      </c>
      <c r="AP15" s="81" t="s">
        <v>2281</v>
      </c>
      <c r="AQ15" s="5" t="s">
        <v>1619</v>
      </c>
      <c r="AR15" s="6" t="s">
        <v>1620</v>
      </c>
      <c r="AS15" t="s">
        <v>2137</v>
      </c>
    </row>
    <row r="16" spans="1:45" ht="20.100000000000001" customHeight="1" x14ac:dyDescent="0.25">
      <c r="A16" s="4">
        <v>7</v>
      </c>
      <c r="B16" s="4" t="s">
        <v>2289</v>
      </c>
      <c r="C16" s="5" t="s">
        <v>1624</v>
      </c>
      <c r="D16" s="6" t="s">
        <v>1625</v>
      </c>
      <c r="E16" s="7" t="s">
        <v>6</v>
      </c>
      <c r="F16" s="8"/>
      <c r="G16" s="8"/>
      <c r="H16" s="8"/>
      <c r="I16" s="8"/>
      <c r="J16" s="8"/>
      <c r="K16" s="8"/>
      <c r="L16" s="8"/>
      <c r="M16" s="8"/>
      <c r="N16" s="8"/>
      <c r="O16" s="8"/>
      <c r="P16" s="8"/>
      <c r="Q16" s="8"/>
      <c r="R16" s="8"/>
      <c r="S16" s="8"/>
      <c r="T16" s="8"/>
      <c r="U16" s="8"/>
      <c r="V16" s="8"/>
      <c r="W16" s="8"/>
      <c r="X16" s="8"/>
      <c r="Y16" s="8"/>
      <c r="Z16" s="8"/>
      <c r="AA16" s="8"/>
      <c r="AB16" s="8"/>
      <c r="AC16" s="8"/>
      <c r="AE16" s="38" t="s">
        <v>1624</v>
      </c>
      <c r="AF16" s="39" t="s">
        <v>1625</v>
      </c>
      <c r="AG16" s="38" t="s">
        <v>6</v>
      </c>
      <c r="AH16" s="39" t="s">
        <v>695</v>
      </c>
      <c r="AI16" s="40" t="s">
        <v>1626</v>
      </c>
      <c r="AJ16" s="40" t="s">
        <v>720</v>
      </c>
      <c r="AK16" s="40" t="s">
        <v>1627</v>
      </c>
      <c r="AL16" s="40" t="s">
        <v>464</v>
      </c>
      <c r="AM16" s="39" t="s">
        <v>1628</v>
      </c>
      <c r="AP16" s="81" t="s">
        <v>2289</v>
      </c>
      <c r="AQ16" s="5" t="s">
        <v>1624</v>
      </c>
      <c r="AR16" s="6" t="s">
        <v>1625</v>
      </c>
      <c r="AS16" t="s">
        <v>2138</v>
      </c>
    </row>
    <row r="17" spans="1:45" ht="20.100000000000001" customHeight="1" x14ac:dyDescent="0.25">
      <c r="A17" s="4">
        <v>8</v>
      </c>
      <c r="B17" s="4" t="s">
        <v>2297</v>
      </c>
      <c r="C17" s="5" t="s">
        <v>1629</v>
      </c>
      <c r="D17" s="6" t="s">
        <v>1630</v>
      </c>
      <c r="E17" s="7" t="s">
        <v>7</v>
      </c>
      <c r="F17" s="8"/>
      <c r="G17" s="8"/>
      <c r="H17" s="8"/>
      <c r="I17" s="8"/>
      <c r="J17" s="8"/>
      <c r="K17" s="8"/>
      <c r="L17" s="8"/>
      <c r="M17" s="8"/>
      <c r="N17" s="8"/>
      <c r="O17" s="8"/>
      <c r="P17" s="8"/>
      <c r="Q17" s="8"/>
      <c r="R17" s="8"/>
      <c r="S17" s="8"/>
      <c r="T17" s="8"/>
      <c r="U17" s="8"/>
      <c r="V17" s="8"/>
      <c r="W17" s="8"/>
      <c r="X17" s="8"/>
      <c r="Y17" s="8"/>
      <c r="Z17" s="8"/>
      <c r="AA17" s="8"/>
      <c r="AB17" s="8"/>
      <c r="AC17" s="8"/>
      <c r="AE17" s="38" t="s">
        <v>1629</v>
      </c>
      <c r="AF17" s="39" t="s">
        <v>1630</v>
      </c>
      <c r="AG17" s="38" t="s">
        <v>7</v>
      </c>
      <c r="AH17" s="39" t="s">
        <v>542</v>
      </c>
      <c r="AI17" s="40" t="s">
        <v>1631</v>
      </c>
      <c r="AJ17" s="40" t="s">
        <v>605</v>
      </c>
      <c r="AK17" s="40" t="s">
        <v>1632</v>
      </c>
      <c r="AL17" s="40" t="s">
        <v>464</v>
      </c>
      <c r="AM17" s="39" t="s">
        <v>475</v>
      </c>
      <c r="AP17" s="81" t="s">
        <v>2297</v>
      </c>
      <c r="AQ17" s="5" t="s">
        <v>1629</v>
      </c>
      <c r="AR17" s="6" t="s">
        <v>1630</v>
      </c>
      <c r="AS17" t="s">
        <v>2139</v>
      </c>
    </row>
    <row r="18" spans="1:45" ht="20.100000000000001" customHeight="1" x14ac:dyDescent="0.25">
      <c r="A18" s="4">
        <v>9</v>
      </c>
      <c r="B18" s="4" t="s">
        <v>2305</v>
      </c>
      <c r="C18" s="5" t="s">
        <v>1633</v>
      </c>
      <c r="D18" s="6" t="s">
        <v>1634</v>
      </c>
      <c r="E18" s="7" t="s">
        <v>6</v>
      </c>
      <c r="F18" s="8"/>
      <c r="G18" s="8"/>
      <c r="H18" s="8"/>
      <c r="I18" s="8"/>
      <c r="J18" s="8"/>
      <c r="K18" s="8"/>
      <c r="L18" s="8"/>
      <c r="M18" s="8"/>
      <c r="N18" s="8"/>
      <c r="O18" s="8"/>
      <c r="P18" s="8"/>
      <c r="Q18" s="8"/>
      <c r="R18" s="8"/>
      <c r="S18" s="8"/>
      <c r="T18" s="8"/>
      <c r="U18" s="8"/>
      <c r="V18" s="8"/>
      <c r="W18" s="8"/>
      <c r="X18" s="8"/>
      <c r="Y18" s="8"/>
      <c r="Z18" s="8"/>
      <c r="AA18" s="8"/>
      <c r="AB18" s="8"/>
      <c r="AC18" s="8"/>
      <c r="AE18" s="38" t="s">
        <v>1633</v>
      </c>
      <c r="AF18" s="39" t="s">
        <v>1634</v>
      </c>
      <c r="AG18" s="38" t="s">
        <v>6</v>
      </c>
      <c r="AH18" s="39" t="s">
        <v>603</v>
      </c>
      <c r="AI18" s="40" t="s">
        <v>1635</v>
      </c>
      <c r="AJ18" s="40" t="s">
        <v>561</v>
      </c>
      <c r="AK18" s="40" t="s">
        <v>1636</v>
      </c>
      <c r="AL18" s="40" t="s">
        <v>464</v>
      </c>
      <c r="AM18" s="39" t="s">
        <v>475</v>
      </c>
      <c r="AP18" s="81" t="s">
        <v>2305</v>
      </c>
      <c r="AQ18" s="5" t="s">
        <v>1633</v>
      </c>
      <c r="AR18" s="6" t="s">
        <v>1634</v>
      </c>
      <c r="AS18" t="s">
        <v>2029</v>
      </c>
    </row>
    <row r="19" spans="1:45" ht="20.100000000000001" customHeight="1" x14ac:dyDescent="0.25">
      <c r="A19" s="4">
        <v>10</v>
      </c>
      <c r="B19" s="4" t="s">
        <v>2325</v>
      </c>
      <c r="C19" s="5" t="s">
        <v>1637</v>
      </c>
      <c r="D19" s="6" t="s">
        <v>1638</v>
      </c>
      <c r="E19" s="7" t="s">
        <v>6</v>
      </c>
      <c r="F19" s="8"/>
      <c r="G19" s="8"/>
      <c r="H19" s="8"/>
      <c r="I19" s="8"/>
      <c r="J19" s="8"/>
      <c r="K19" s="8"/>
      <c r="L19" s="8"/>
      <c r="M19" s="8"/>
      <c r="N19" s="8"/>
      <c r="O19" s="8"/>
      <c r="P19" s="8"/>
      <c r="Q19" s="8"/>
      <c r="R19" s="8"/>
      <c r="S19" s="8"/>
      <c r="T19" s="8"/>
      <c r="U19" s="8"/>
      <c r="V19" s="8"/>
      <c r="W19" s="8"/>
      <c r="X19" s="8"/>
      <c r="Y19" s="8"/>
      <c r="Z19" s="8"/>
      <c r="AA19" s="8"/>
      <c r="AB19" s="8"/>
      <c r="AC19" s="8"/>
      <c r="AE19" s="38" t="s">
        <v>1637</v>
      </c>
      <c r="AF19" s="39" t="s">
        <v>1638</v>
      </c>
      <c r="AG19" s="38" t="s">
        <v>6</v>
      </c>
      <c r="AH19" s="39" t="s">
        <v>484</v>
      </c>
      <c r="AI19" s="40" t="s">
        <v>1639</v>
      </c>
      <c r="AJ19" s="40" t="s">
        <v>548</v>
      </c>
      <c r="AK19" s="40" t="s">
        <v>1640</v>
      </c>
      <c r="AL19" s="40" t="s">
        <v>464</v>
      </c>
      <c r="AM19" s="39" t="s">
        <v>475</v>
      </c>
      <c r="AP19" s="81" t="s">
        <v>2325</v>
      </c>
      <c r="AQ19" s="5" t="s">
        <v>1637</v>
      </c>
      <c r="AR19" s="6" t="s">
        <v>1638</v>
      </c>
      <c r="AS19" t="s">
        <v>2140</v>
      </c>
    </row>
    <row r="20" spans="1:45" ht="20.100000000000001" customHeight="1" x14ac:dyDescent="0.25">
      <c r="A20" s="4">
        <v>11</v>
      </c>
      <c r="B20" s="4" t="s">
        <v>2344</v>
      </c>
      <c r="C20" s="5" t="s">
        <v>1641</v>
      </c>
      <c r="D20" s="6" t="s">
        <v>1642</v>
      </c>
      <c r="E20" s="7" t="s">
        <v>7</v>
      </c>
      <c r="F20" s="8"/>
      <c r="G20" s="8"/>
      <c r="H20" s="8"/>
      <c r="I20" s="8"/>
      <c r="J20" s="8"/>
      <c r="K20" s="8"/>
      <c r="L20" s="8"/>
      <c r="M20" s="8"/>
      <c r="N20" s="8"/>
      <c r="O20" s="8"/>
      <c r="P20" s="8"/>
      <c r="Q20" s="8"/>
      <c r="R20" s="8"/>
      <c r="S20" s="8"/>
      <c r="T20" s="8"/>
      <c r="U20" s="8"/>
      <c r="V20" s="8"/>
      <c r="W20" s="8"/>
      <c r="X20" s="8"/>
      <c r="Y20" s="8"/>
      <c r="Z20" s="8"/>
      <c r="AA20" s="8"/>
      <c r="AB20" s="8"/>
      <c r="AC20" s="8"/>
      <c r="AE20" s="38" t="s">
        <v>1641</v>
      </c>
      <c r="AF20" s="39" t="s">
        <v>1642</v>
      </c>
      <c r="AG20" s="38" t="s">
        <v>7</v>
      </c>
      <c r="AH20" s="39" t="s">
        <v>1643</v>
      </c>
      <c r="AI20" s="40" t="s">
        <v>1644</v>
      </c>
      <c r="AJ20" s="40" t="s">
        <v>636</v>
      </c>
      <c r="AK20" s="40" t="s">
        <v>1645</v>
      </c>
      <c r="AL20" s="40" t="s">
        <v>464</v>
      </c>
      <c r="AM20" s="39" t="s">
        <v>1646</v>
      </c>
      <c r="AP20" s="81" t="s">
        <v>2344</v>
      </c>
      <c r="AQ20" s="5" t="s">
        <v>1641</v>
      </c>
      <c r="AR20" s="6" t="s">
        <v>1642</v>
      </c>
      <c r="AS20" t="s">
        <v>2141</v>
      </c>
    </row>
    <row r="21" spans="1:45" ht="20.100000000000001" customHeight="1" x14ac:dyDescent="0.25">
      <c r="A21" s="4">
        <v>12</v>
      </c>
      <c r="B21" s="4" t="s">
        <v>2351</v>
      </c>
      <c r="C21" s="5" t="s">
        <v>1647</v>
      </c>
      <c r="D21" s="6" t="s">
        <v>1648</v>
      </c>
      <c r="E21" s="7" t="s">
        <v>6</v>
      </c>
      <c r="F21" s="8"/>
      <c r="G21" s="8"/>
      <c r="H21" s="8"/>
      <c r="I21" s="8"/>
      <c r="J21" s="8"/>
      <c r="K21" s="8"/>
      <c r="L21" s="8"/>
      <c r="M21" s="8"/>
      <c r="N21" s="8"/>
      <c r="O21" s="8"/>
      <c r="P21" s="8"/>
      <c r="Q21" s="8"/>
      <c r="R21" s="8"/>
      <c r="S21" s="8"/>
      <c r="T21" s="8"/>
      <c r="U21" s="8"/>
      <c r="V21" s="8"/>
      <c r="W21" s="8"/>
      <c r="X21" s="8"/>
      <c r="Y21" s="8"/>
      <c r="Z21" s="8"/>
      <c r="AA21" s="8"/>
      <c r="AB21" s="8"/>
      <c r="AC21" s="8"/>
      <c r="AE21" s="38" t="s">
        <v>1647</v>
      </c>
      <c r="AF21" s="39" t="s">
        <v>1648</v>
      </c>
      <c r="AG21" s="38" t="s">
        <v>6</v>
      </c>
      <c r="AH21" s="39" t="s">
        <v>557</v>
      </c>
      <c r="AI21" s="40" t="s">
        <v>798</v>
      </c>
      <c r="AJ21" s="40" t="s">
        <v>741</v>
      </c>
      <c r="AK21" s="40" t="s">
        <v>1649</v>
      </c>
      <c r="AL21" s="40" t="s">
        <v>464</v>
      </c>
      <c r="AM21" s="39" t="s">
        <v>648</v>
      </c>
      <c r="AP21" s="81" t="s">
        <v>2351</v>
      </c>
      <c r="AQ21" s="5" t="s">
        <v>1647</v>
      </c>
      <c r="AR21" s="6" t="s">
        <v>1648</v>
      </c>
      <c r="AS21" t="s">
        <v>2142</v>
      </c>
    </row>
    <row r="22" spans="1:45" ht="20.100000000000001" customHeight="1" x14ac:dyDescent="0.25">
      <c r="A22" s="4">
        <v>13</v>
      </c>
      <c r="B22" s="4" t="s">
        <v>2355</v>
      </c>
      <c r="C22" s="38" t="s">
        <v>1243</v>
      </c>
      <c r="D22" s="39" t="s">
        <v>1244</v>
      </c>
      <c r="E22" s="7" t="s">
        <v>6</v>
      </c>
      <c r="F22" s="8"/>
      <c r="G22" s="8"/>
      <c r="H22" s="8"/>
      <c r="I22" s="8"/>
      <c r="J22" s="8"/>
      <c r="K22" s="8"/>
      <c r="L22" s="8"/>
      <c r="M22" s="8"/>
      <c r="N22" s="8"/>
      <c r="O22" s="8"/>
      <c r="P22" s="8"/>
      <c r="Q22" s="8"/>
      <c r="R22" s="8"/>
      <c r="S22" s="8"/>
      <c r="T22" s="8"/>
      <c r="U22" s="8"/>
      <c r="V22" s="8"/>
      <c r="W22" s="8"/>
      <c r="X22" s="8"/>
      <c r="Y22" s="8"/>
      <c r="Z22" s="8"/>
      <c r="AA22" s="8"/>
      <c r="AB22" s="8"/>
      <c r="AC22" s="8"/>
      <c r="AE22" s="38">
        <v>3115236101</v>
      </c>
      <c r="AF22" s="39" t="s">
        <v>1650</v>
      </c>
      <c r="AG22" s="38" t="s">
        <v>7</v>
      </c>
      <c r="AH22" s="39" t="s">
        <v>494</v>
      </c>
      <c r="AI22" s="40" t="s">
        <v>1055</v>
      </c>
      <c r="AJ22" s="40" t="s">
        <v>516</v>
      </c>
      <c r="AK22" s="40" t="s">
        <v>1050</v>
      </c>
      <c r="AL22" s="40" t="s">
        <v>464</v>
      </c>
      <c r="AM22" s="39" t="s">
        <v>475</v>
      </c>
      <c r="AP22" s="81" t="s">
        <v>2355</v>
      </c>
      <c r="AQ22" s="38" t="s">
        <v>1243</v>
      </c>
      <c r="AR22" s="39" t="s">
        <v>1244</v>
      </c>
      <c r="AS22" t="s">
        <v>2143</v>
      </c>
    </row>
    <row r="23" spans="1:45" ht="20.100000000000001" customHeight="1" x14ac:dyDescent="0.25">
      <c r="A23" s="4">
        <v>14</v>
      </c>
      <c r="B23" s="4" t="s">
        <v>2367</v>
      </c>
      <c r="C23" s="9" t="s">
        <v>1865</v>
      </c>
      <c r="D23" s="6" t="s">
        <v>1650</v>
      </c>
      <c r="E23" s="7" t="s">
        <v>7</v>
      </c>
      <c r="F23" s="8"/>
      <c r="G23" s="8"/>
      <c r="H23" s="8"/>
      <c r="I23" s="8"/>
      <c r="J23" s="8"/>
      <c r="K23" s="8"/>
      <c r="L23" s="8"/>
      <c r="M23" s="8"/>
      <c r="N23" s="8"/>
      <c r="O23" s="8"/>
      <c r="P23" s="8"/>
      <c r="Q23" s="8"/>
      <c r="R23" s="8"/>
      <c r="S23" s="8"/>
      <c r="T23" s="8"/>
      <c r="U23" s="8"/>
      <c r="V23" s="8"/>
      <c r="W23" s="8"/>
      <c r="X23" s="8"/>
      <c r="Y23" s="8"/>
      <c r="Z23" s="8"/>
      <c r="AA23" s="8"/>
      <c r="AB23" s="8"/>
      <c r="AC23" s="8"/>
      <c r="AE23" s="38" t="s">
        <v>1651</v>
      </c>
      <c r="AF23" s="39" t="s">
        <v>1652</v>
      </c>
      <c r="AG23" s="38" t="s">
        <v>6</v>
      </c>
      <c r="AH23" s="39" t="s">
        <v>953</v>
      </c>
      <c r="AI23" s="40" t="s">
        <v>624</v>
      </c>
      <c r="AJ23" s="40" t="s">
        <v>605</v>
      </c>
      <c r="AK23" s="40" t="s">
        <v>1653</v>
      </c>
      <c r="AL23" s="40" t="s">
        <v>464</v>
      </c>
      <c r="AM23" s="39" t="s">
        <v>475</v>
      </c>
      <c r="AP23" s="81" t="s">
        <v>2367</v>
      </c>
      <c r="AQ23" s="9" t="s">
        <v>1865</v>
      </c>
      <c r="AR23" s="6" t="s">
        <v>1650</v>
      </c>
      <c r="AS23" t="s">
        <v>2144</v>
      </c>
    </row>
    <row r="24" spans="1:45" ht="20.100000000000001" customHeight="1" x14ac:dyDescent="0.25">
      <c r="A24" s="4">
        <v>15</v>
      </c>
      <c r="B24" s="4" t="s">
        <v>2382</v>
      </c>
      <c r="C24" s="5" t="s">
        <v>1651</v>
      </c>
      <c r="D24" s="5" t="s">
        <v>1652</v>
      </c>
      <c r="E24" s="7" t="s">
        <v>6</v>
      </c>
      <c r="F24" s="8"/>
      <c r="G24" s="8"/>
      <c r="H24" s="8"/>
      <c r="I24" s="8"/>
      <c r="J24" s="8"/>
      <c r="K24" s="8"/>
      <c r="L24" s="8"/>
      <c r="M24" s="8"/>
      <c r="N24" s="8"/>
      <c r="O24" s="8"/>
      <c r="P24" s="8"/>
      <c r="Q24" s="8"/>
      <c r="R24" s="8"/>
      <c r="S24" s="8"/>
      <c r="T24" s="8"/>
      <c r="U24" s="8"/>
      <c r="V24" s="8"/>
      <c r="W24" s="8"/>
      <c r="X24" s="8"/>
      <c r="Y24" s="8"/>
      <c r="Z24" s="8"/>
      <c r="AA24" s="8"/>
      <c r="AB24" s="8"/>
      <c r="AC24" s="8"/>
      <c r="AE24" s="38" t="s">
        <v>1654</v>
      </c>
      <c r="AF24" s="39" t="s">
        <v>1655</v>
      </c>
      <c r="AG24" s="38" t="s">
        <v>6</v>
      </c>
      <c r="AH24" s="39" t="s">
        <v>1532</v>
      </c>
      <c r="AI24" s="40" t="s">
        <v>1656</v>
      </c>
      <c r="AJ24" s="40" t="s">
        <v>512</v>
      </c>
      <c r="AK24" s="40" t="s">
        <v>1657</v>
      </c>
      <c r="AL24" s="40" t="s">
        <v>464</v>
      </c>
      <c r="AM24" s="39" t="s">
        <v>475</v>
      </c>
      <c r="AP24" s="81" t="s">
        <v>2382</v>
      </c>
      <c r="AQ24" s="5" t="s">
        <v>1651</v>
      </c>
      <c r="AR24" s="5" t="s">
        <v>1652</v>
      </c>
      <c r="AS24" t="s">
        <v>2145</v>
      </c>
    </row>
    <row r="25" spans="1:45" ht="20.100000000000001" customHeight="1" x14ac:dyDescent="0.25">
      <c r="A25" s="4">
        <v>16</v>
      </c>
      <c r="B25" s="4" t="s">
        <v>2385</v>
      </c>
      <c r="C25" s="5" t="s">
        <v>1654</v>
      </c>
      <c r="D25" s="6" t="s">
        <v>1655</v>
      </c>
      <c r="E25" s="7" t="s">
        <v>6</v>
      </c>
      <c r="F25" s="8"/>
      <c r="G25" s="8"/>
      <c r="H25" s="8"/>
      <c r="I25" s="8"/>
      <c r="J25" s="8"/>
      <c r="K25" s="8"/>
      <c r="L25" s="8"/>
      <c r="M25" s="8"/>
      <c r="N25" s="8"/>
      <c r="O25" s="8"/>
      <c r="P25" s="8"/>
      <c r="Q25" s="8"/>
      <c r="R25" s="8"/>
      <c r="S25" s="8"/>
      <c r="T25" s="8"/>
      <c r="U25" s="8"/>
      <c r="V25" s="8"/>
      <c r="W25" s="8"/>
      <c r="X25" s="8"/>
      <c r="Y25" s="8"/>
      <c r="Z25" s="8"/>
      <c r="AA25" s="8"/>
      <c r="AB25" s="8"/>
      <c r="AC25" s="8"/>
      <c r="AE25" s="38" t="s">
        <v>1658</v>
      </c>
      <c r="AF25" s="39" t="s">
        <v>1659</v>
      </c>
      <c r="AG25" s="38" t="s">
        <v>6</v>
      </c>
      <c r="AH25" s="39" t="s">
        <v>1660</v>
      </c>
      <c r="AI25" s="40" t="s">
        <v>1661</v>
      </c>
      <c r="AJ25" s="40" t="s">
        <v>579</v>
      </c>
      <c r="AK25" s="40" t="s">
        <v>1517</v>
      </c>
      <c r="AL25" s="40" t="s">
        <v>464</v>
      </c>
      <c r="AM25" s="39" t="s">
        <v>1662</v>
      </c>
      <c r="AP25" s="81" t="s">
        <v>2385</v>
      </c>
      <c r="AQ25" s="5" t="s">
        <v>1654</v>
      </c>
      <c r="AR25" s="6" t="s">
        <v>1655</v>
      </c>
      <c r="AS25" t="s">
        <v>2146</v>
      </c>
    </row>
    <row r="26" spans="1:45" ht="20.100000000000001" customHeight="1" x14ac:dyDescent="0.25">
      <c r="A26" s="4">
        <v>17</v>
      </c>
      <c r="B26" s="4" t="s">
        <v>2420</v>
      </c>
      <c r="C26" s="5" t="s">
        <v>1658</v>
      </c>
      <c r="D26" s="6" t="s">
        <v>1659</v>
      </c>
      <c r="E26" s="7" t="s">
        <v>6</v>
      </c>
      <c r="F26" s="8"/>
      <c r="G26" s="8"/>
      <c r="H26" s="8"/>
      <c r="I26" s="8"/>
      <c r="J26" s="8"/>
      <c r="K26" s="8"/>
      <c r="L26" s="8"/>
      <c r="M26" s="8"/>
      <c r="N26" s="8"/>
      <c r="O26" s="8"/>
      <c r="P26" s="8"/>
      <c r="Q26" s="8"/>
      <c r="R26" s="8"/>
      <c r="S26" s="8"/>
      <c r="T26" s="8"/>
      <c r="U26" s="8"/>
      <c r="V26" s="8"/>
      <c r="W26" s="8"/>
      <c r="X26" s="8"/>
      <c r="Y26" s="8"/>
      <c r="Z26" s="8"/>
      <c r="AA26" s="8"/>
      <c r="AB26" s="8"/>
      <c r="AC26" s="8"/>
      <c r="AE26" s="38" t="s">
        <v>1663</v>
      </c>
      <c r="AF26" s="39" t="s">
        <v>1664</v>
      </c>
      <c r="AG26" s="38" t="s">
        <v>7</v>
      </c>
      <c r="AH26" s="39" t="s">
        <v>1665</v>
      </c>
      <c r="AI26" s="40">
        <v>88.89</v>
      </c>
      <c r="AJ26" s="40" t="s">
        <v>1666</v>
      </c>
      <c r="AK26" s="40">
        <v>77.7</v>
      </c>
      <c r="AL26" s="40" t="s">
        <v>464</v>
      </c>
      <c r="AM26" s="39" t="s">
        <v>485</v>
      </c>
      <c r="AP26" s="81" t="s">
        <v>2420</v>
      </c>
      <c r="AQ26" s="5" t="s">
        <v>1658</v>
      </c>
      <c r="AR26" s="6" t="s">
        <v>1659</v>
      </c>
      <c r="AS26" t="s">
        <v>2147</v>
      </c>
    </row>
    <row r="27" spans="1:45" ht="20.100000000000001" customHeight="1" x14ac:dyDescent="0.25">
      <c r="A27" s="4">
        <v>18</v>
      </c>
      <c r="B27" s="4" t="s">
        <v>2442</v>
      </c>
      <c r="C27" s="5" t="s">
        <v>1663</v>
      </c>
      <c r="D27" s="6" t="s">
        <v>1664</v>
      </c>
      <c r="E27" s="7" t="s">
        <v>7</v>
      </c>
      <c r="F27" s="8"/>
      <c r="G27" s="8"/>
      <c r="H27" s="8"/>
      <c r="I27" s="8"/>
      <c r="J27" s="8"/>
      <c r="K27" s="8"/>
      <c r="L27" s="8"/>
      <c r="M27" s="8"/>
      <c r="N27" s="8"/>
      <c r="O27" s="8"/>
      <c r="P27" s="8"/>
      <c r="Q27" s="8"/>
      <c r="R27" s="8"/>
      <c r="S27" s="8"/>
      <c r="T27" s="8"/>
      <c r="U27" s="8"/>
      <c r="V27" s="8"/>
      <c r="W27" s="8"/>
      <c r="X27" s="8"/>
      <c r="Y27" s="8"/>
      <c r="Z27" s="8"/>
      <c r="AA27" s="8"/>
      <c r="AB27" s="8"/>
      <c r="AC27" s="8"/>
      <c r="AE27" s="38" t="s">
        <v>1667</v>
      </c>
      <c r="AF27" s="39" t="s">
        <v>1668</v>
      </c>
      <c r="AG27" s="38" t="s">
        <v>7</v>
      </c>
      <c r="AH27" s="39" t="s">
        <v>902</v>
      </c>
      <c r="AI27" s="40" t="s">
        <v>1010</v>
      </c>
      <c r="AJ27" s="40" t="s">
        <v>677</v>
      </c>
      <c r="AK27" s="40" t="s">
        <v>1669</v>
      </c>
      <c r="AL27" s="40" t="s">
        <v>464</v>
      </c>
      <c r="AM27" s="39" t="s">
        <v>589</v>
      </c>
      <c r="AP27" s="81" t="s">
        <v>2442</v>
      </c>
      <c r="AQ27" s="5" t="s">
        <v>1663</v>
      </c>
      <c r="AR27" s="6" t="s">
        <v>1664</v>
      </c>
      <c r="AS27" t="s">
        <v>2148</v>
      </c>
    </row>
    <row r="28" spans="1:45" ht="20.100000000000001" customHeight="1" x14ac:dyDescent="0.25">
      <c r="A28" s="4">
        <v>19</v>
      </c>
      <c r="B28" s="4" t="s">
        <v>2454</v>
      </c>
      <c r="C28" s="5" t="s">
        <v>1667</v>
      </c>
      <c r="D28" s="6" t="s">
        <v>1668</v>
      </c>
      <c r="E28" s="7" t="s">
        <v>7</v>
      </c>
      <c r="F28" s="8"/>
      <c r="G28" s="8"/>
      <c r="H28" s="8"/>
      <c r="I28" s="8"/>
      <c r="J28" s="8"/>
      <c r="K28" s="8"/>
      <c r="L28" s="8"/>
      <c r="M28" s="8"/>
      <c r="N28" s="8"/>
      <c r="O28" s="8"/>
      <c r="P28" s="8"/>
      <c r="Q28" s="8"/>
      <c r="R28" s="8"/>
      <c r="S28" s="8"/>
      <c r="T28" s="8"/>
      <c r="U28" s="8"/>
      <c r="V28" s="8"/>
      <c r="W28" s="8"/>
      <c r="X28" s="8"/>
      <c r="Y28" s="8"/>
      <c r="Z28" s="8"/>
      <c r="AA28" s="8"/>
      <c r="AB28" s="8"/>
      <c r="AC28" s="8"/>
      <c r="AE28" s="38" t="s">
        <v>1670</v>
      </c>
      <c r="AF28" s="39" t="s">
        <v>1671</v>
      </c>
      <c r="AG28" s="38" t="s">
        <v>7</v>
      </c>
      <c r="AH28" s="39" t="s">
        <v>1672</v>
      </c>
      <c r="AI28" s="40">
        <v>83.54</v>
      </c>
      <c r="AJ28" s="40">
        <v>53.34</v>
      </c>
      <c r="AK28" s="40">
        <v>71.459999999999994</v>
      </c>
      <c r="AL28" s="40" t="s">
        <v>464</v>
      </c>
      <c r="AM28" s="39" t="s">
        <v>589</v>
      </c>
      <c r="AP28" s="81" t="s">
        <v>2454</v>
      </c>
      <c r="AQ28" s="5" t="s">
        <v>1667</v>
      </c>
      <c r="AR28" s="6" t="s">
        <v>1668</v>
      </c>
      <c r="AS28" t="s">
        <v>2149</v>
      </c>
    </row>
    <row r="29" spans="1:45" ht="20.100000000000001" customHeight="1" x14ac:dyDescent="0.25">
      <c r="A29" s="4">
        <v>20</v>
      </c>
      <c r="B29" s="4" t="s">
        <v>2466</v>
      </c>
      <c r="C29" s="5" t="s">
        <v>1670</v>
      </c>
      <c r="D29" s="5" t="s">
        <v>1671</v>
      </c>
      <c r="E29" s="7" t="s">
        <v>7</v>
      </c>
      <c r="F29" s="8"/>
      <c r="G29" s="8"/>
      <c r="H29" s="8"/>
      <c r="I29" s="8"/>
      <c r="J29" s="8"/>
      <c r="K29" s="8"/>
      <c r="L29" s="8"/>
      <c r="M29" s="8"/>
      <c r="N29" s="8"/>
      <c r="O29" s="8"/>
      <c r="P29" s="8"/>
      <c r="Q29" s="8"/>
      <c r="R29" s="8"/>
      <c r="S29" s="8"/>
      <c r="T29" s="8"/>
      <c r="U29" s="8"/>
      <c r="V29" s="8"/>
      <c r="W29" s="8"/>
      <c r="X29" s="8"/>
      <c r="Y29" s="8"/>
      <c r="Z29" s="8"/>
      <c r="AA29" s="8"/>
      <c r="AB29" s="8"/>
      <c r="AC29" s="8"/>
      <c r="AE29" s="38" t="s">
        <v>1673</v>
      </c>
      <c r="AF29" s="39" t="s">
        <v>1674</v>
      </c>
      <c r="AG29" s="38" t="s">
        <v>6</v>
      </c>
      <c r="AH29" s="39" t="s">
        <v>507</v>
      </c>
      <c r="AI29" s="40">
        <v>89.91</v>
      </c>
      <c r="AJ29" s="40">
        <v>68.33</v>
      </c>
      <c r="AK29" s="40">
        <v>81.28</v>
      </c>
      <c r="AL29" s="40" t="s">
        <v>464</v>
      </c>
      <c r="AM29" s="39" t="s">
        <v>1675</v>
      </c>
      <c r="AP29" s="81" t="s">
        <v>2466</v>
      </c>
      <c r="AQ29" s="5" t="s">
        <v>1670</v>
      </c>
      <c r="AR29" s="5" t="s">
        <v>1671</v>
      </c>
      <c r="AS29" t="s">
        <v>2150</v>
      </c>
    </row>
    <row r="30" spans="1:45" ht="20.100000000000001" customHeight="1" x14ac:dyDescent="0.25">
      <c r="A30" s="4">
        <v>21</v>
      </c>
      <c r="B30" s="4" t="s">
        <v>2482</v>
      </c>
      <c r="C30" s="5" t="s">
        <v>1676</v>
      </c>
      <c r="D30" s="6" t="s">
        <v>1677</v>
      </c>
      <c r="E30" s="7" t="s">
        <v>6</v>
      </c>
      <c r="F30" s="8"/>
      <c r="G30" s="8"/>
      <c r="H30" s="8"/>
      <c r="I30" s="8"/>
      <c r="J30" s="8"/>
      <c r="K30" s="8"/>
      <c r="L30" s="8"/>
      <c r="M30" s="8"/>
      <c r="N30" s="8"/>
      <c r="O30" s="8"/>
      <c r="P30" s="8"/>
      <c r="Q30" s="8"/>
      <c r="R30" s="8"/>
      <c r="S30" s="8"/>
      <c r="T30" s="8"/>
      <c r="U30" s="8"/>
      <c r="V30" s="8"/>
      <c r="W30" s="8"/>
      <c r="X30" s="8"/>
      <c r="Y30" s="8"/>
      <c r="Z30" s="8"/>
      <c r="AA30" s="8"/>
      <c r="AB30" s="8"/>
      <c r="AC30" s="8"/>
      <c r="AE30" s="38" t="s">
        <v>1676</v>
      </c>
      <c r="AF30" s="39" t="s">
        <v>1677</v>
      </c>
      <c r="AG30" s="38" t="s">
        <v>6</v>
      </c>
      <c r="AH30" s="39" t="s">
        <v>1223</v>
      </c>
      <c r="AI30" s="40">
        <v>90.53</v>
      </c>
      <c r="AJ30" s="40">
        <v>35</v>
      </c>
      <c r="AK30" s="40">
        <v>68.349999999999994</v>
      </c>
      <c r="AL30" s="40" t="s">
        <v>464</v>
      </c>
      <c r="AM30" s="39" t="s">
        <v>1678</v>
      </c>
      <c r="AP30" s="81" t="s">
        <v>2482</v>
      </c>
      <c r="AQ30" s="5" t="s">
        <v>1676</v>
      </c>
      <c r="AR30" s="6" t="s">
        <v>1677</v>
      </c>
      <c r="AS30" t="s">
        <v>2151</v>
      </c>
    </row>
    <row r="31" spans="1:45" ht="20.100000000000001" customHeight="1" x14ac:dyDescent="0.25">
      <c r="A31" s="4">
        <v>22</v>
      </c>
      <c r="B31" s="4" t="s">
        <v>2495</v>
      </c>
      <c r="C31" s="5" t="s">
        <v>1679</v>
      </c>
      <c r="D31" s="6" t="s">
        <v>1680</v>
      </c>
      <c r="E31" s="7" t="s">
        <v>7</v>
      </c>
      <c r="F31" s="8"/>
      <c r="G31" s="8"/>
      <c r="H31" s="8"/>
      <c r="I31" s="8"/>
      <c r="J31" s="8"/>
      <c r="K31" s="8"/>
      <c r="L31" s="8"/>
      <c r="M31" s="8"/>
      <c r="N31" s="8"/>
      <c r="O31" s="8"/>
      <c r="P31" s="8"/>
      <c r="Q31" s="8"/>
      <c r="R31" s="8"/>
      <c r="S31" s="8"/>
      <c r="T31" s="8"/>
      <c r="U31" s="8"/>
      <c r="V31" s="8"/>
      <c r="W31" s="8"/>
      <c r="X31" s="8"/>
      <c r="Y31" s="8"/>
      <c r="Z31" s="8"/>
      <c r="AA31" s="8"/>
      <c r="AB31" s="8"/>
      <c r="AC31" s="8"/>
      <c r="AE31" s="38" t="s">
        <v>1679</v>
      </c>
      <c r="AF31" s="39" t="s">
        <v>1680</v>
      </c>
      <c r="AG31" s="38" t="s">
        <v>7</v>
      </c>
      <c r="AH31" s="39" t="s">
        <v>494</v>
      </c>
      <c r="AI31" s="40">
        <v>88.23</v>
      </c>
      <c r="AJ31" s="40">
        <v>85</v>
      </c>
      <c r="AK31" s="40">
        <v>86.94</v>
      </c>
      <c r="AL31" s="40" t="s">
        <v>464</v>
      </c>
      <c r="AM31" s="39" t="s">
        <v>475</v>
      </c>
      <c r="AP31" s="81" t="s">
        <v>2495</v>
      </c>
      <c r="AQ31" s="5" t="s">
        <v>1679</v>
      </c>
      <c r="AR31" s="6" t="s">
        <v>1680</v>
      </c>
      <c r="AS31" t="s">
        <v>2152</v>
      </c>
    </row>
    <row r="32" spans="1:45" ht="20.100000000000001" customHeight="1" x14ac:dyDescent="0.25">
      <c r="A32" s="4">
        <v>23</v>
      </c>
      <c r="B32" s="4" t="s">
        <v>2496</v>
      </c>
      <c r="C32" s="5" t="s">
        <v>1681</v>
      </c>
      <c r="D32" s="6" t="s">
        <v>1682</v>
      </c>
      <c r="E32" s="7" t="s">
        <v>6</v>
      </c>
      <c r="F32" s="8"/>
      <c r="G32" s="8"/>
      <c r="H32" s="8"/>
      <c r="I32" s="8"/>
      <c r="J32" s="8"/>
      <c r="K32" s="8"/>
      <c r="L32" s="8"/>
      <c r="M32" s="8"/>
      <c r="N32" s="8"/>
      <c r="O32" s="8"/>
      <c r="P32" s="8"/>
      <c r="Q32" s="8"/>
      <c r="R32" s="8"/>
      <c r="S32" s="8"/>
      <c r="T32" s="8"/>
      <c r="U32" s="8"/>
      <c r="V32" s="8"/>
      <c r="W32" s="8"/>
      <c r="X32" s="8"/>
      <c r="Y32" s="8"/>
      <c r="Z32" s="8"/>
      <c r="AA32" s="8"/>
      <c r="AB32" s="8"/>
      <c r="AC32" s="8"/>
      <c r="AE32" s="38" t="s">
        <v>1681</v>
      </c>
      <c r="AF32" s="39" t="s">
        <v>1682</v>
      </c>
      <c r="AG32" s="38" t="s">
        <v>6</v>
      </c>
      <c r="AH32" s="39" t="s">
        <v>1683</v>
      </c>
      <c r="AI32" s="40" t="s">
        <v>1684</v>
      </c>
      <c r="AJ32" s="40" t="s">
        <v>561</v>
      </c>
      <c r="AK32" s="40" t="s">
        <v>1685</v>
      </c>
      <c r="AL32" s="40" t="s">
        <v>464</v>
      </c>
      <c r="AM32" s="39" t="s">
        <v>475</v>
      </c>
      <c r="AP32" s="81" t="s">
        <v>2496</v>
      </c>
      <c r="AQ32" s="5" t="s">
        <v>1681</v>
      </c>
      <c r="AR32" s="6" t="s">
        <v>1682</v>
      </c>
      <c r="AS32" t="s">
        <v>2153</v>
      </c>
    </row>
    <row r="33" spans="1:45" ht="20.100000000000001" customHeight="1" x14ac:dyDescent="0.25">
      <c r="A33" s="4">
        <v>24</v>
      </c>
      <c r="B33" s="4" t="s">
        <v>2497</v>
      </c>
      <c r="C33" s="5" t="s">
        <v>1686</v>
      </c>
      <c r="D33" s="6" t="s">
        <v>1687</v>
      </c>
      <c r="E33" s="7" t="s">
        <v>7</v>
      </c>
      <c r="F33" s="8"/>
      <c r="G33" s="8"/>
      <c r="H33" s="8"/>
      <c r="I33" s="8"/>
      <c r="J33" s="8"/>
      <c r="K33" s="8"/>
      <c r="L33" s="8"/>
      <c r="M33" s="8"/>
      <c r="N33" s="8"/>
      <c r="O33" s="8"/>
      <c r="P33" s="8"/>
      <c r="Q33" s="8"/>
      <c r="R33" s="8"/>
      <c r="S33" s="8"/>
      <c r="T33" s="8"/>
      <c r="U33" s="8"/>
      <c r="V33" s="8"/>
      <c r="W33" s="8"/>
      <c r="X33" s="8"/>
      <c r="Y33" s="8"/>
      <c r="Z33" s="8"/>
      <c r="AA33" s="8"/>
      <c r="AB33" s="8"/>
      <c r="AC33" s="8"/>
      <c r="AE33" s="38" t="s">
        <v>1686</v>
      </c>
      <c r="AF33" s="39" t="s">
        <v>1687</v>
      </c>
      <c r="AG33" s="38" t="s">
        <v>7</v>
      </c>
      <c r="AH33" s="39" t="s">
        <v>1688</v>
      </c>
      <c r="AI33" s="40" t="s">
        <v>1689</v>
      </c>
      <c r="AJ33" s="40" t="s">
        <v>561</v>
      </c>
      <c r="AK33" s="40" t="s">
        <v>1690</v>
      </c>
      <c r="AL33" s="40" t="s">
        <v>464</v>
      </c>
      <c r="AM33" s="39" t="s">
        <v>1581</v>
      </c>
      <c r="AP33" s="81" t="s">
        <v>2497</v>
      </c>
      <c r="AQ33" s="5" t="s">
        <v>1686</v>
      </c>
      <c r="AR33" s="6" t="s">
        <v>1687</v>
      </c>
      <c r="AS33" t="s">
        <v>2154</v>
      </c>
    </row>
    <row r="34" spans="1:45" ht="20.100000000000001" customHeight="1" x14ac:dyDescent="0.25">
      <c r="A34" s="4">
        <v>25</v>
      </c>
      <c r="B34" s="4" t="s">
        <v>2500</v>
      </c>
      <c r="C34" s="5" t="s">
        <v>1691</v>
      </c>
      <c r="D34" s="5" t="s">
        <v>1692</v>
      </c>
      <c r="E34" s="7" t="s">
        <v>6</v>
      </c>
      <c r="F34" s="8"/>
      <c r="G34" s="8"/>
      <c r="H34" s="8"/>
      <c r="I34" s="8"/>
      <c r="J34" s="8"/>
      <c r="K34" s="8"/>
      <c r="L34" s="8"/>
      <c r="M34" s="8"/>
      <c r="N34" s="8"/>
      <c r="O34" s="8"/>
      <c r="P34" s="8"/>
      <c r="Q34" s="8"/>
      <c r="R34" s="8"/>
      <c r="S34" s="8"/>
      <c r="T34" s="8"/>
      <c r="U34" s="8"/>
      <c r="V34" s="8"/>
      <c r="W34" s="8"/>
      <c r="X34" s="8"/>
      <c r="Y34" s="8"/>
      <c r="Z34" s="8"/>
      <c r="AA34" s="8"/>
      <c r="AB34" s="8"/>
      <c r="AC34" s="8"/>
      <c r="AE34" s="38" t="s">
        <v>1691</v>
      </c>
      <c r="AF34" s="39" t="s">
        <v>1692</v>
      </c>
      <c r="AG34" s="38" t="s">
        <v>6</v>
      </c>
      <c r="AH34" s="39" t="s">
        <v>478</v>
      </c>
      <c r="AI34" s="40">
        <v>91.57</v>
      </c>
      <c r="AJ34" s="40">
        <v>73.33</v>
      </c>
      <c r="AK34" s="40">
        <v>84.27</v>
      </c>
      <c r="AL34" s="40" t="s">
        <v>464</v>
      </c>
      <c r="AM34" s="39" t="s">
        <v>485</v>
      </c>
      <c r="AP34" s="81" t="s">
        <v>2500</v>
      </c>
      <c r="AQ34" s="5" t="s">
        <v>1691</v>
      </c>
      <c r="AR34" s="5" t="s">
        <v>1692</v>
      </c>
      <c r="AS34" t="s">
        <v>2155</v>
      </c>
    </row>
    <row r="35" spans="1:45" ht="20.100000000000001" customHeight="1" x14ac:dyDescent="0.25">
      <c r="A35" s="4">
        <v>26</v>
      </c>
      <c r="B35" s="4" t="s">
        <v>2501</v>
      </c>
      <c r="C35" s="5" t="s">
        <v>1693</v>
      </c>
      <c r="D35" s="6" t="s">
        <v>1694</v>
      </c>
      <c r="E35" s="7" t="s">
        <v>6</v>
      </c>
      <c r="F35" s="8"/>
      <c r="G35" s="8"/>
      <c r="H35" s="8"/>
      <c r="I35" s="8"/>
      <c r="J35" s="8"/>
      <c r="K35" s="8"/>
      <c r="L35" s="8"/>
      <c r="M35" s="8"/>
      <c r="N35" s="8"/>
      <c r="O35" s="8"/>
      <c r="P35" s="8"/>
      <c r="Q35" s="8"/>
      <c r="R35" s="8"/>
      <c r="S35" s="8"/>
      <c r="T35" s="8"/>
      <c r="U35" s="8"/>
      <c r="V35" s="8"/>
      <c r="W35" s="8"/>
      <c r="X35" s="8"/>
      <c r="Y35" s="8"/>
      <c r="Z35" s="8"/>
      <c r="AA35" s="8"/>
      <c r="AB35" s="8"/>
      <c r="AC35" s="8"/>
      <c r="AE35" s="38" t="s">
        <v>1693</v>
      </c>
      <c r="AF35" s="39" t="s">
        <v>1694</v>
      </c>
      <c r="AG35" s="38" t="s">
        <v>6</v>
      </c>
      <c r="AH35" s="39" t="s">
        <v>1695</v>
      </c>
      <c r="AI35" s="40" t="s">
        <v>1696</v>
      </c>
      <c r="AJ35" s="40" t="s">
        <v>741</v>
      </c>
      <c r="AK35" s="40" t="s">
        <v>1697</v>
      </c>
      <c r="AL35" s="40" t="s">
        <v>464</v>
      </c>
      <c r="AM35" s="39" t="s">
        <v>485</v>
      </c>
      <c r="AP35" s="81" t="s">
        <v>2501</v>
      </c>
      <c r="AQ35" s="5" t="s">
        <v>1693</v>
      </c>
      <c r="AR35" s="6" t="s">
        <v>1694</v>
      </c>
      <c r="AS35" t="s">
        <v>2156</v>
      </c>
    </row>
    <row r="36" spans="1:45" ht="20.100000000000001" customHeight="1" x14ac:dyDescent="0.25">
      <c r="A36" s="4">
        <v>27</v>
      </c>
      <c r="B36" s="4" t="s">
        <v>2502</v>
      </c>
      <c r="C36" s="5" t="s">
        <v>1698</v>
      </c>
      <c r="D36" s="5" t="s">
        <v>1699</v>
      </c>
      <c r="E36" s="7" t="s">
        <v>7</v>
      </c>
      <c r="F36" s="8"/>
      <c r="G36" s="8"/>
      <c r="H36" s="8"/>
      <c r="I36" s="8"/>
      <c r="J36" s="8"/>
      <c r="K36" s="8"/>
      <c r="L36" s="8"/>
      <c r="M36" s="8"/>
      <c r="N36" s="8"/>
      <c r="O36" s="8"/>
      <c r="P36" s="8"/>
      <c r="Q36" s="8"/>
      <c r="R36" s="8"/>
      <c r="S36" s="8"/>
      <c r="T36" s="8"/>
      <c r="U36" s="8"/>
      <c r="V36" s="8"/>
      <c r="W36" s="8"/>
      <c r="X36" s="8"/>
      <c r="Y36" s="8"/>
      <c r="Z36" s="8"/>
      <c r="AA36" s="8"/>
      <c r="AB36" s="8"/>
      <c r="AC36" s="8"/>
      <c r="AE36" s="38" t="s">
        <v>1698</v>
      </c>
      <c r="AF36" s="39" t="s">
        <v>1699</v>
      </c>
      <c r="AG36" s="38" t="s">
        <v>7</v>
      </c>
      <c r="AH36" s="39" t="s">
        <v>552</v>
      </c>
      <c r="AI36" s="40" t="s">
        <v>1700</v>
      </c>
      <c r="AJ36" s="40" t="s">
        <v>523</v>
      </c>
      <c r="AK36" s="40" t="s">
        <v>1701</v>
      </c>
      <c r="AL36" s="40" t="s">
        <v>464</v>
      </c>
      <c r="AM36" s="39" t="s">
        <v>525</v>
      </c>
      <c r="AP36" s="81" t="s">
        <v>2502</v>
      </c>
      <c r="AQ36" s="5" t="s">
        <v>1698</v>
      </c>
      <c r="AR36" s="5" t="s">
        <v>1699</v>
      </c>
      <c r="AS36" t="s">
        <v>2157</v>
      </c>
    </row>
    <row r="37" spans="1:45" ht="20.100000000000001" customHeight="1" x14ac:dyDescent="0.25">
      <c r="A37" s="4">
        <v>28</v>
      </c>
      <c r="B37" s="4" t="s">
        <v>2506</v>
      </c>
      <c r="C37" s="5" t="s">
        <v>1702</v>
      </c>
      <c r="D37" s="6" t="s">
        <v>1703</v>
      </c>
      <c r="E37" s="7" t="s">
        <v>6</v>
      </c>
      <c r="F37" s="8"/>
      <c r="G37" s="8"/>
      <c r="H37" s="8"/>
      <c r="I37" s="8"/>
      <c r="J37" s="8"/>
      <c r="K37" s="8"/>
      <c r="L37" s="8"/>
      <c r="M37" s="8"/>
      <c r="N37" s="8"/>
      <c r="O37" s="8"/>
      <c r="P37" s="8"/>
      <c r="Q37" s="8"/>
      <c r="R37" s="8"/>
      <c r="S37" s="8"/>
      <c r="T37" s="8"/>
      <c r="U37" s="8"/>
      <c r="V37" s="8"/>
      <c r="W37" s="8"/>
      <c r="X37" s="8"/>
      <c r="Y37" s="8"/>
      <c r="Z37" s="8"/>
      <c r="AA37" s="8"/>
      <c r="AB37" s="8"/>
      <c r="AC37" s="8"/>
      <c r="AE37" s="42" t="s">
        <v>1702</v>
      </c>
      <c r="AF37" s="39" t="s">
        <v>1703</v>
      </c>
      <c r="AG37" s="38" t="s">
        <v>6</v>
      </c>
      <c r="AH37" s="39" t="s">
        <v>546</v>
      </c>
      <c r="AI37" s="40">
        <v>86.29</v>
      </c>
      <c r="AJ37" s="40">
        <v>50</v>
      </c>
      <c r="AK37" s="40" t="s">
        <v>1704</v>
      </c>
      <c r="AL37" s="40" t="s">
        <v>464</v>
      </c>
      <c r="AM37" s="39" t="s">
        <v>525</v>
      </c>
      <c r="AP37" s="81" t="s">
        <v>2506</v>
      </c>
      <c r="AQ37" s="5" t="s">
        <v>1702</v>
      </c>
      <c r="AR37" s="6" t="s">
        <v>1703</v>
      </c>
      <c r="AS37" t="s">
        <v>2158</v>
      </c>
    </row>
    <row r="38" spans="1:45" ht="20.100000000000001" customHeight="1" x14ac:dyDescent="0.25">
      <c r="A38" s="4">
        <v>29</v>
      </c>
      <c r="B38" s="4" t="s">
        <v>2516</v>
      </c>
      <c r="C38" s="5" t="s">
        <v>1705</v>
      </c>
      <c r="D38" s="6" t="s">
        <v>1706</v>
      </c>
      <c r="E38" s="7" t="s">
        <v>7</v>
      </c>
      <c r="F38" s="8"/>
      <c r="G38" s="8"/>
      <c r="H38" s="8"/>
      <c r="I38" s="8"/>
      <c r="J38" s="8"/>
      <c r="K38" s="8"/>
      <c r="L38" s="8"/>
      <c r="M38" s="8"/>
      <c r="N38" s="8"/>
      <c r="O38" s="8"/>
      <c r="P38" s="8"/>
      <c r="Q38" s="8"/>
      <c r="R38" s="8"/>
      <c r="S38" s="8"/>
      <c r="T38" s="8"/>
      <c r="U38" s="8"/>
      <c r="V38" s="8"/>
      <c r="W38" s="8"/>
      <c r="X38" s="8"/>
      <c r="Y38" s="8"/>
      <c r="Z38" s="8"/>
      <c r="AA38" s="8"/>
      <c r="AB38" s="8"/>
      <c r="AC38" s="8"/>
      <c r="AE38" s="42" t="s">
        <v>1705</v>
      </c>
      <c r="AF38" s="39" t="s">
        <v>1706</v>
      </c>
      <c r="AG38" s="38" t="s">
        <v>7</v>
      </c>
      <c r="AH38" s="39" t="s">
        <v>494</v>
      </c>
      <c r="AI38" s="40">
        <v>86.74</v>
      </c>
      <c r="AJ38" s="40">
        <v>58.34</v>
      </c>
      <c r="AK38" s="40">
        <v>75.38</v>
      </c>
      <c r="AL38" s="40" t="s">
        <v>464</v>
      </c>
      <c r="AM38" s="39" t="s">
        <v>475</v>
      </c>
      <c r="AP38" s="81" t="s">
        <v>2516</v>
      </c>
      <c r="AQ38" s="5" t="s">
        <v>1705</v>
      </c>
      <c r="AR38" s="6" t="s">
        <v>1706</v>
      </c>
      <c r="AS38" t="s">
        <v>2159</v>
      </c>
    </row>
    <row r="39" spans="1:45" ht="20.100000000000001" customHeight="1" x14ac:dyDescent="0.25">
      <c r="A39" s="4">
        <v>30</v>
      </c>
      <c r="B39" s="4" t="s">
        <v>2524</v>
      </c>
      <c r="C39" s="5" t="s">
        <v>1707</v>
      </c>
      <c r="D39" s="6" t="s">
        <v>1708</v>
      </c>
      <c r="E39" s="7" t="s">
        <v>6</v>
      </c>
      <c r="F39" s="8"/>
      <c r="G39" s="8"/>
      <c r="H39" s="8"/>
      <c r="I39" s="8"/>
      <c r="J39" s="8"/>
      <c r="K39" s="8"/>
      <c r="L39" s="8"/>
      <c r="M39" s="8"/>
      <c r="N39" s="8"/>
      <c r="O39" s="8"/>
      <c r="P39" s="8"/>
      <c r="Q39" s="8"/>
      <c r="R39" s="8"/>
      <c r="S39" s="8"/>
      <c r="T39" s="8"/>
      <c r="U39" s="8"/>
      <c r="V39" s="8"/>
      <c r="W39" s="8"/>
      <c r="X39" s="8"/>
      <c r="Y39" s="8"/>
      <c r="Z39" s="8"/>
      <c r="AA39" s="8"/>
      <c r="AB39" s="8"/>
      <c r="AC39" s="8"/>
      <c r="AE39" s="38" t="s">
        <v>1707</v>
      </c>
      <c r="AF39" s="39" t="s">
        <v>1708</v>
      </c>
      <c r="AG39" s="38" t="s">
        <v>6</v>
      </c>
      <c r="AH39" s="39" t="s">
        <v>507</v>
      </c>
      <c r="AI39" s="40">
        <v>87.49</v>
      </c>
      <c r="AJ39" s="40">
        <v>68.34</v>
      </c>
      <c r="AK39" s="40">
        <v>79.83</v>
      </c>
      <c r="AL39" s="40" t="s">
        <v>464</v>
      </c>
      <c r="AM39" s="39" t="s">
        <v>475</v>
      </c>
      <c r="AP39" s="81" t="s">
        <v>2524</v>
      </c>
      <c r="AQ39" s="5" t="s">
        <v>1707</v>
      </c>
      <c r="AR39" s="6" t="s">
        <v>1708</v>
      </c>
      <c r="AS39" t="s">
        <v>2160</v>
      </c>
    </row>
    <row r="40" spans="1:45" ht="20.100000000000001" customHeight="1" x14ac:dyDescent="0.25">
      <c r="A40" s="4">
        <v>31</v>
      </c>
      <c r="B40" s="4" t="s">
        <v>2536</v>
      </c>
      <c r="C40" s="5" t="s">
        <v>1709</v>
      </c>
      <c r="D40" s="5" t="s">
        <v>1710</v>
      </c>
      <c r="E40" s="7" t="s">
        <v>6</v>
      </c>
      <c r="F40" s="8"/>
      <c r="G40" s="8"/>
      <c r="H40" s="8"/>
      <c r="I40" s="8"/>
      <c r="J40" s="8"/>
      <c r="K40" s="8"/>
      <c r="L40" s="8"/>
      <c r="M40" s="8"/>
      <c r="N40" s="8"/>
      <c r="O40" s="8"/>
      <c r="P40" s="8"/>
      <c r="Q40" s="8"/>
      <c r="R40" s="8"/>
      <c r="S40" s="8"/>
      <c r="T40" s="8"/>
      <c r="U40" s="8"/>
      <c r="V40" s="8"/>
      <c r="W40" s="8"/>
      <c r="X40" s="8"/>
      <c r="Y40" s="8"/>
      <c r="Z40" s="8"/>
      <c r="AA40" s="8"/>
      <c r="AB40" s="8"/>
      <c r="AC40" s="8"/>
      <c r="AE40" s="38" t="s">
        <v>1709</v>
      </c>
      <c r="AF40" s="39" t="s">
        <v>1710</v>
      </c>
      <c r="AG40" s="38" t="s">
        <v>6</v>
      </c>
      <c r="AH40" s="39" t="s">
        <v>692</v>
      </c>
      <c r="AI40" s="40">
        <v>90.75</v>
      </c>
      <c r="AJ40" s="40" t="s">
        <v>1711</v>
      </c>
      <c r="AK40" s="40">
        <v>77.72</v>
      </c>
      <c r="AL40" s="40" t="s">
        <v>464</v>
      </c>
      <c r="AM40" s="39" t="s">
        <v>1712</v>
      </c>
      <c r="AP40" s="81" t="s">
        <v>2536</v>
      </c>
      <c r="AQ40" s="5" t="s">
        <v>1709</v>
      </c>
      <c r="AR40" s="5" t="s">
        <v>1710</v>
      </c>
      <c r="AS40" t="s">
        <v>2161</v>
      </c>
    </row>
    <row r="41" spans="1:45" ht="20.100000000000001" customHeight="1" x14ac:dyDescent="0.25">
      <c r="A41" s="4">
        <v>32</v>
      </c>
      <c r="B41" s="4" t="s">
        <v>2538</v>
      </c>
      <c r="C41" s="5" t="s">
        <v>1713</v>
      </c>
      <c r="D41" s="5" t="s">
        <v>1714</v>
      </c>
      <c r="E41" s="7" t="s">
        <v>7</v>
      </c>
      <c r="F41" s="8"/>
      <c r="G41" s="8"/>
      <c r="H41" s="8"/>
      <c r="I41" s="8"/>
      <c r="J41" s="8"/>
      <c r="K41" s="8"/>
      <c r="L41" s="8"/>
      <c r="M41" s="8"/>
      <c r="N41" s="8"/>
      <c r="O41" s="8"/>
      <c r="P41" s="8"/>
      <c r="Q41" s="8"/>
      <c r="R41" s="8"/>
      <c r="S41" s="8"/>
      <c r="T41" s="8"/>
      <c r="U41" s="8"/>
      <c r="V41" s="8"/>
      <c r="W41" s="8"/>
      <c r="X41" s="8"/>
      <c r="Y41" s="8"/>
      <c r="Z41" s="8"/>
      <c r="AA41" s="8"/>
      <c r="AB41" s="8"/>
      <c r="AC41" s="8"/>
      <c r="AE41" s="38" t="s">
        <v>1713</v>
      </c>
      <c r="AF41" s="39" t="s">
        <v>1714</v>
      </c>
      <c r="AG41" s="38" t="s">
        <v>7</v>
      </c>
      <c r="AH41" s="39" t="s">
        <v>651</v>
      </c>
      <c r="AI41" s="40">
        <v>88.89</v>
      </c>
      <c r="AJ41" s="40">
        <v>61.67</v>
      </c>
      <c r="AK41" s="40">
        <v>78</v>
      </c>
      <c r="AL41" s="40" t="s">
        <v>464</v>
      </c>
      <c r="AM41" s="39" t="s">
        <v>1715</v>
      </c>
      <c r="AP41" s="81" t="s">
        <v>2538</v>
      </c>
      <c r="AQ41" s="5" t="s">
        <v>1713</v>
      </c>
      <c r="AR41" s="5" t="s">
        <v>1714</v>
      </c>
      <c r="AS41" t="s">
        <v>2162</v>
      </c>
    </row>
    <row r="42" spans="1:45" ht="20.100000000000001" customHeight="1" x14ac:dyDescent="0.25">
      <c r="A42" s="4">
        <v>33</v>
      </c>
      <c r="B42" s="4" t="s">
        <v>2544</v>
      </c>
      <c r="C42" s="5" t="s">
        <v>1716</v>
      </c>
      <c r="D42" s="6" t="s">
        <v>1717</v>
      </c>
      <c r="E42" s="7" t="s">
        <v>6</v>
      </c>
      <c r="F42" s="8"/>
      <c r="G42" s="8"/>
      <c r="H42" s="8"/>
      <c r="I42" s="8"/>
      <c r="J42" s="8"/>
      <c r="K42" s="8"/>
      <c r="L42" s="8"/>
      <c r="M42" s="8"/>
      <c r="N42" s="8"/>
      <c r="O42" s="8"/>
      <c r="P42" s="8"/>
      <c r="Q42" s="8"/>
      <c r="R42" s="8"/>
      <c r="S42" s="8"/>
      <c r="T42" s="8"/>
      <c r="U42" s="8"/>
      <c r="V42" s="8"/>
      <c r="W42" s="8"/>
      <c r="X42" s="8"/>
      <c r="Y42" s="8"/>
      <c r="Z42" s="8"/>
      <c r="AA42" s="8"/>
      <c r="AB42" s="8"/>
      <c r="AC42" s="8"/>
      <c r="AE42" s="38" t="s">
        <v>1716</v>
      </c>
      <c r="AF42" s="39" t="s">
        <v>1717</v>
      </c>
      <c r="AG42" s="38" t="s">
        <v>6</v>
      </c>
      <c r="AH42" s="39" t="s">
        <v>1718</v>
      </c>
      <c r="AI42" s="40" t="s">
        <v>1719</v>
      </c>
      <c r="AJ42" s="40" t="s">
        <v>561</v>
      </c>
      <c r="AK42" s="40" t="s">
        <v>1720</v>
      </c>
      <c r="AL42" s="40" t="s">
        <v>464</v>
      </c>
      <c r="AM42" s="39" t="s">
        <v>485</v>
      </c>
      <c r="AP42" s="81" t="s">
        <v>2544</v>
      </c>
      <c r="AQ42" s="5" t="s">
        <v>1716</v>
      </c>
      <c r="AR42" s="6" t="s">
        <v>1717</v>
      </c>
      <c r="AS42" t="s">
        <v>2163</v>
      </c>
    </row>
    <row r="43" spans="1:45" ht="20.100000000000001" customHeight="1" x14ac:dyDescent="0.25">
      <c r="A43" s="4">
        <v>34</v>
      </c>
      <c r="B43" s="4" t="s">
        <v>2578</v>
      </c>
      <c r="C43" s="5" t="s">
        <v>1721</v>
      </c>
      <c r="D43" s="6" t="s">
        <v>1722</v>
      </c>
      <c r="E43" s="7" t="s">
        <v>7</v>
      </c>
      <c r="F43" s="8"/>
      <c r="G43" s="8"/>
      <c r="H43" s="8"/>
      <c r="I43" s="8"/>
      <c r="J43" s="8"/>
      <c r="K43" s="8"/>
      <c r="L43" s="8"/>
      <c r="M43" s="8"/>
      <c r="N43" s="8"/>
      <c r="O43" s="8"/>
      <c r="P43" s="8"/>
      <c r="Q43" s="8"/>
      <c r="R43" s="8"/>
      <c r="S43" s="8"/>
      <c r="T43" s="8"/>
      <c r="U43" s="8"/>
      <c r="V43" s="8"/>
      <c r="W43" s="8"/>
      <c r="X43" s="8"/>
      <c r="Y43" s="8"/>
      <c r="Z43" s="8"/>
      <c r="AA43" s="8"/>
      <c r="AB43" s="8"/>
      <c r="AC43" s="8"/>
      <c r="AE43" s="38" t="s">
        <v>1721</v>
      </c>
      <c r="AF43" s="39" t="s">
        <v>1722</v>
      </c>
      <c r="AG43" s="38" t="s">
        <v>7</v>
      </c>
      <c r="AH43" s="39" t="s">
        <v>603</v>
      </c>
      <c r="AI43" s="40" t="s">
        <v>1723</v>
      </c>
      <c r="AJ43" s="40" t="s">
        <v>593</v>
      </c>
      <c r="AK43" s="40" t="s">
        <v>1724</v>
      </c>
      <c r="AL43" s="40" t="s">
        <v>464</v>
      </c>
      <c r="AM43" s="39" t="s">
        <v>475</v>
      </c>
      <c r="AP43" s="81" t="s">
        <v>2578</v>
      </c>
      <c r="AQ43" s="5" t="s">
        <v>1721</v>
      </c>
      <c r="AR43" s="6" t="s">
        <v>1722</v>
      </c>
      <c r="AS43" t="s">
        <v>2164</v>
      </c>
    </row>
    <row r="44" spans="1:45" ht="20.100000000000001" customHeight="1" x14ac:dyDescent="0.25">
      <c r="A44" s="4">
        <v>35</v>
      </c>
      <c r="B44" s="4" t="s">
        <v>2582</v>
      </c>
      <c r="C44" s="5" t="s">
        <v>1725</v>
      </c>
      <c r="D44" s="23" t="s">
        <v>1726</v>
      </c>
      <c r="E44" s="7" t="s">
        <v>6</v>
      </c>
      <c r="F44" s="8"/>
      <c r="G44" s="8"/>
      <c r="H44" s="8"/>
      <c r="I44" s="8"/>
      <c r="J44" s="8"/>
      <c r="K44" s="8"/>
      <c r="L44" s="8"/>
      <c r="M44" s="8"/>
      <c r="N44" s="8"/>
      <c r="O44" s="8"/>
      <c r="P44" s="8"/>
      <c r="Q44" s="8"/>
      <c r="R44" s="8"/>
      <c r="S44" s="8"/>
      <c r="T44" s="8"/>
      <c r="U44" s="8"/>
      <c r="V44" s="8"/>
      <c r="W44" s="8"/>
      <c r="X44" s="8"/>
      <c r="Y44" s="8"/>
      <c r="Z44" s="8"/>
      <c r="AA44" s="8"/>
      <c r="AB44" s="8"/>
      <c r="AC44" s="8"/>
      <c r="AE44" s="38" t="s">
        <v>1725</v>
      </c>
      <c r="AF44" s="39" t="s">
        <v>1726</v>
      </c>
      <c r="AG44" s="38" t="s">
        <v>6</v>
      </c>
      <c r="AH44" s="39" t="s">
        <v>603</v>
      </c>
      <c r="AI44" s="40">
        <v>85.94</v>
      </c>
      <c r="AJ44" s="40">
        <v>61.67</v>
      </c>
      <c r="AK44" s="40">
        <v>76.23</v>
      </c>
      <c r="AL44" s="40" t="s">
        <v>464</v>
      </c>
      <c r="AM44" s="39" t="s">
        <v>475</v>
      </c>
      <c r="AP44" s="81" t="s">
        <v>2582</v>
      </c>
      <c r="AQ44" s="5" t="s">
        <v>1725</v>
      </c>
      <c r="AR44" s="23" t="s">
        <v>1726</v>
      </c>
      <c r="AS44" t="s">
        <v>2165</v>
      </c>
    </row>
    <row r="45" spans="1:45" ht="20.100000000000001" customHeight="1" x14ac:dyDescent="0.25">
      <c r="A45" s="4">
        <v>36</v>
      </c>
      <c r="B45" s="4" t="s">
        <v>2588</v>
      </c>
      <c r="C45" s="5" t="s">
        <v>1727</v>
      </c>
      <c r="D45" s="6" t="s">
        <v>1728</v>
      </c>
      <c r="E45" s="7" t="s">
        <v>6</v>
      </c>
      <c r="F45" s="8"/>
      <c r="G45" s="8"/>
      <c r="H45" s="8"/>
      <c r="I45" s="8"/>
      <c r="J45" s="8"/>
      <c r="K45" s="8"/>
      <c r="L45" s="8"/>
      <c r="M45" s="8"/>
      <c r="N45" s="8"/>
      <c r="O45" s="8"/>
      <c r="P45" s="8"/>
      <c r="Q45" s="8"/>
      <c r="R45" s="8"/>
      <c r="S45" s="8"/>
      <c r="T45" s="8"/>
      <c r="U45" s="8"/>
      <c r="V45" s="8"/>
      <c r="W45" s="8"/>
      <c r="X45" s="8"/>
      <c r="Y45" s="8"/>
      <c r="Z45" s="8"/>
      <c r="AA45" s="8"/>
      <c r="AB45" s="8"/>
      <c r="AC45" s="8"/>
      <c r="AE45" s="38" t="s">
        <v>1727</v>
      </c>
      <c r="AF45" s="39" t="s">
        <v>1728</v>
      </c>
      <c r="AG45" s="38" t="s">
        <v>6</v>
      </c>
      <c r="AH45" s="39" t="s">
        <v>494</v>
      </c>
      <c r="AI45" s="40">
        <v>87.97</v>
      </c>
      <c r="AJ45" s="40">
        <v>73.34</v>
      </c>
      <c r="AK45" s="40">
        <v>82.12</v>
      </c>
      <c r="AL45" s="40" t="s">
        <v>464</v>
      </c>
      <c r="AM45" s="39" t="s">
        <v>475</v>
      </c>
      <c r="AP45" s="81" t="s">
        <v>2588</v>
      </c>
      <c r="AQ45" s="5" t="s">
        <v>1727</v>
      </c>
      <c r="AR45" s="6" t="s">
        <v>1728</v>
      </c>
      <c r="AS45" t="s">
        <v>2166</v>
      </c>
    </row>
    <row r="46" spans="1:45" x14ac:dyDescent="0.25">
      <c r="A46" s="58" t="s">
        <v>8</v>
      </c>
      <c r="B46" s="58"/>
      <c r="C46" s="58"/>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45" x14ac:dyDescent="0.25">
      <c r="A47" s="58" t="s">
        <v>10</v>
      </c>
      <c r="B47" s="58"/>
      <c r="C47" s="58"/>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45"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D10:D15 D35:D37 D23:D33 D39:D42 D17:D20">
    <cfRule type="colorScale" priority="49">
      <colorScale>
        <cfvo type="min"/>
        <cfvo type="max"/>
        <color rgb="FFFCFCFF"/>
        <color rgb="FF63BE7B"/>
      </colorScale>
    </cfRule>
    <cfRule type="duplicateValues" dxfId="57" priority="50"/>
  </conditionalFormatting>
  <conditionalFormatting sqref="D16">
    <cfRule type="colorScale" priority="33">
      <colorScale>
        <cfvo type="min"/>
        <cfvo type="max"/>
        <color rgb="FFFCFCFF"/>
        <color rgb="FF63BE7B"/>
      </colorScale>
    </cfRule>
    <cfRule type="duplicateValues" dxfId="56" priority="34"/>
  </conditionalFormatting>
  <conditionalFormatting sqref="D21">
    <cfRule type="colorScale" priority="31">
      <colorScale>
        <cfvo type="min"/>
        <cfvo type="max"/>
        <color rgb="FFFCFCFF"/>
        <color rgb="FF63BE7B"/>
      </colorScale>
    </cfRule>
    <cfRule type="duplicateValues" dxfId="55" priority="32"/>
  </conditionalFormatting>
  <conditionalFormatting sqref="D34">
    <cfRule type="colorScale" priority="39">
      <colorScale>
        <cfvo type="min"/>
        <cfvo type="max"/>
        <color rgb="FFFCFCFF"/>
        <color rgb="FF63BE7B"/>
      </colorScale>
    </cfRule>
    <cfRule type="duplicateValues" dxfId="54" priority="40"/>
  </conditionalFormatting>
  <conditionalFormatting sqref="D38">
    <cfRule type="colorScale" priority="35">
      <colorScale>
        <cfvo type="min"/>
        <cfvo type="max"/>
        <color rgb="FFFCFCFF"/>
        <color rgb="FF63BE7B"/>
      </colorScale>
    </cfRule>
    <cfRule type="duplicateValues" dxfId="53" priority="36"/>
  </conditionalFormatting>
  <conditionalFormatting sqref="D43">
    <cfRule type="colorScale" priority="37">
      <colorScale>
        <cfvo type="min"/>
        <cfvo type="max"/>
        <color rgb="FFFCFCFF"/>
        <color rgb="FF63BE7B"/>
      </colorScale>
    </cfRule>
    <cfRule type="duplicateValues" dxfId="52" priority="38"/>
  </conditionalFormatting>
  <conditionalFormatting sqref="D44:D45">
    <cfRule type="colorScale" priority="43">
      <colorScale>
        <cfvo type="min"/>
        <cfvo type="max"/>
        <color rgb="FFFCFCFF"/>
        <color rgb="FF63BE7B"/>
      </colorScale>
    </cfRule>
    <cfRule type="duplicateValues" dxfId="51" priority="44"/>
  </conditionalFormatting>
  <conditionalFormatting sqref="AG10:AG15 AG35:AG37 AG30:AG33 AG39:AG42 AG17:AG20 AG22:AG28">
    <cfRule type="colorScale" priority="23">
      <colorScale>
        <cfvo type="min"/>
        <cfvo type="max"/>
        <color rgb="FFFCFCFF"/>
        <color rgb="FF63BE7B"/>
      </colorScale>
    </cfRule>
    <cfRule type="duplicateValues" dxfId="50" priority="24"/>
  </conditionalFormatting>
  <conditionalFormatting sqref="AG16">
    <cfRule type="colorScale" priority="17">
      <colorScale>
        <cfvo type="min"/>
        <cfvo type="max"/>
        <color rgb="FFFCFCFF"/>
        <color rgb="FF63BE7B"/>
      </colorScale>
    </cfRule>
    <cfRule type="duplicateValues" dxfId="49" priority="18"/>
  </conditionalFormatting>
  <conditionalFormatting sqref="AG21">
    <cfRule type="colorScale" priority="15">
      <colorScale>
        <cfvo type="min"/>
        <cfvo type="max"/>
        <color rgb="FFFCFCFF"/>
        <color rgb="FF63BE7B"/>
      </colorScale>
    </cfRule>
    <cfRule type="duplicateValues" dxfId="48" priority="16"/>
  </conditionalFormatting>
  <conditionalFormatting sqref="AG29">
    <cfRule type="colorScale" priority="29">
      <colorScale>
        <cfvo type="min"/>
        <cfvo type="max"/>
        <color rgb="FFFCFCFF"/>
        <color rgb="FF63BE7B"/>
      </colorScale>
    </cfRule>
    <cfRule type="duplicateValues" dxfId="47" priority="30"/>
  </conditionalFormatting>
  <conditionalFormatting sqref="AG34">
    <cfRule type="colorScale" priority="25">
      <colorScale>
        <cfvo type="min"/>
        <cfvo type="max"/>
        <color rgb="FFFCFCFF"/>
        <color rgb="FF63BE7B"/>
      </colorScale>
    </cfRule>
    <cfRule type="duplicateValues" dxfId="46" priority="26"/>
  </conditionalFormatting>
  <conditionalFormatting sqref="AG38">
    <cfRule type="colorScale" priority="19">
      <colorScale>
        <cfvo type="min"/>
        <cfvo type="max"/>
        <color rgb="FFFCFCFF"/>
        <color rgb="FF63BE7B"/>
      </colorScale>
    </cfRule>
    <cfRule type="duplicateValues" dxfId="45" priority="20"/>
  </conditionalFormatting>
  <conditionalFormatting sqref="AG43">
    <cfRule type="colorScale" priority="21">
      <colorScale>
        <cfvo type="min"/>
        <cfvo type="max"/>
        <color rgb="FFFCFCFF"/>
        <color rgb="FF63BE7B"/>
      </colorScale>
    </cfRule>
    <cfRule type="duplicateValues" dxfId="44" priority="22"/>
  </conditionalFormatting>
  <conditionalFormatting sqref="AG44:AG45">
    <cfRule type="colorScale" priority="27">
      <colorScale>
        <cfvo type="min"/>
        <cfvo type="max"/>
        <color rgb="FFFCFCFF"/>
        <color rgb="FF63BE7B"/>
      </colorScale>
    </cfRule>
    <cfRule type="duplicateValues" dxfId="43" priority="28"/>
  </conditionalFormatting>
  <conditionalFormatting sqref="AR10:AR15 AR35:AR37 AR23:AR33 AR39:AR42 AR17:AR20">
    <cfRule type="colorScale" priority="13">
      <colorScale>
        <cfvo type="min"/>
        <cfvo type="max"/>
        <color rgb="FFFCFCFF"/>
        <color rgb="FF63BE7B"/>
      </colorScale>
    </cfRule>
    <cfRule type="duplicateValues" dxfId="11" priority="14"/>
  </conditionalFormatting>
  <conditionalFormatting sqref="AR16">
    <cfRule type="colorScale" priority="3">
      <colorScale>
        <cfvo type="min"/>
        <cfvo type="max"/>
        <color rgb="FFFCFCFF"/>
        <color rgb="FF63BE7B"/>
      </colorScale>
    </cfRule>
    <cfRule type="duplicateValues" dxfId="10" priority="4"/>
  </conditionalFormatting>
  <conditionalFormatting sqref="AR21">
    <cfRule type="colorScale" priority="1">
      <colorScale>
        <cfvo type="min"/>
        <cfvo type="max"/>
        <color rgb="FFFCFCFF"/>
        <color rgb="FF63BE7B"/>
      </colorScale>
    </cfRule>
    <cfRule type="duplicateValues" dxfId="9" priority="2"/>
  </conditionalFormatting>
  <conditionalFormatting sqref="AR34">
    <cfRule type="colorScale" priority="9">
      <colorScale>
        <cfvo type="min"/>
        <cfvo type="max"/>
        <color rgb="FFFCFCFF"/>
        <color rgb="FF63BE7B"/>
      </colorScale>
    </cfRule>
    <cfRule type="duplicateValues" dxfId="8" priority="10"/>
  </conditionalFormatting>
  <conditionalFormatting sqref="AR38">
    <cfRule type="colorScale" priority="5">
      <colorScale>
        <cfvo type="min"/>
        <cfvo type="max"/>
        <color rgb="FFFCFCFF"/>
        <color rgb="FF63BE7B"/>
      </colorScale>
    </cfRule>
    <cfRule type="duplicateValues" dxfId="7" priority="6"/>
  </conditionalFormatting>
  <conditionalFormatting sqref="AR43">
    <cfRule type="colorScale" priority="7">
      <colorScale>
        <cfvo type="min"/>
        <cfvo type="max"/>
        <color rgb="FFFCFCFF"/>
        <color rgb="FF63BE7B"/>
      </colorScale>
    </cfRule>
    <cfRule type="duplicateValues" dxfId="6" priority="8"/>
  </conditionalFormatting>
  <conditionalFormatting sqref="AR44:AR45">
    <cfRule type="colorScale" priority="11">
      <colorScale>
        <cfvo type="min"/>
        <cfvo type="max"/>
        <color rgb="FFFCFCFF"/>
        <color rgb="FF63BE7B"/>
      </colorScale>
    </cfRule>
    <cfRule type="duplicateValues" dxfId="5" priority="12"/>
  </conditionalFormatting>
  <pageMargins left="0.62992125984251968" right="0" top="0.35433070866141736" bottom="0.74803149606299213" header="0.31496062992125984" footer="0.31496062992125984"/>
  <pageSetup paperSize="5" scale="80"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S48"/>
  <sheetViews>
    <sheetView workbookViewId="0">
      <selection activeCell="B10" sqref="B10:B45"/>
    </sheetView>
  </sheetViews>
  <sheetFormatPr defaultColWidth="3.28515625" defaultRowHeight="15" x14ac:dyDescent="0.25"/>
  <cols>
    <col min="1" max="1" width="4.5703125" bestFit="1" customWidth="1"/>
    <col min="2" max="2" width="6.28515625" customWidth="1"/>
    <col min="3" max="3" width="11" bestFit="1" customWidth="1"/>
    <col min="4" max="4" width="30.85546875" customWidth="1"/>
    <col min="5" max="5" width="3.7109375" bestFit="1" customWidth="1"/>
    <col min="6" max="29" width="2.7109375" customWidth="1"/>
    <col min="32" max="32" width="8.140625" customWidth="1"/>
    <col min="33" max="33" width="12.5703125" customWidth="1"/>
    <col min="34" max="34" width="29.42578125" customWidth="1"/>
    <col min="42" max="42" width="9.28515625" customWidth="1"/>
    <col min="43" max="43" width="12.140625" customWidth="1"/>
    <col min="44" max="44" width="11.85546875" customWidth="1"/>
  </cols>
  <sheetData>
    <row r="1" spans="1:45" x14ac:dyDescent="0.25">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row>
    <row r="2" spans="1:45" ht="21.75" customHeigh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row>
    <row r="3" spans="1:45" ht="20.25" customHeight="1" x14ac:dyDescent="0.25">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row>
    <row r="4" spans="1:45" ht="2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row>
    <row r="5" spans="1:45" x14ac:dyDescent="0.25">
      <c r="A5" s="1"/>
      <c r="B5" s="1"/>
      <c r="C5" s="2"/>
      <c r="P5" s="11"/>
    </row>
    <row r="6" spans="1:45" ht="3.75" customHeight="1" x14ac:dyDescent="0.25">
      <c r="A6" s="1"/>
      <c r="B6" s="1"/>
      <c r="C6" s="2"/>
    </row>
    <row r="7" spans="1:45" x14ac:dyDescent="0.25">
      <c r="A7" s="52" t="s">
        <v>0</v>
      </c>
      <c r="B7" s="53" t="s">
        <v>467</v>
      </c>
      <c r="C7" s="53" t="s">
        <v>1</v>
      </c>
      <c r="D7" s="52" t="s">
        <v>2</v>
      </c>
      <c r="E7" s="54" t="s">
        <v>3</v>
      </c>
      <c r="F7" s="55" t="s">
        <v>4</v>
      </c>
      <c r="G7" s="56"/>
      <c r="H7" s="57"/>
      <c r="I7" s="59" t="s">
        <v>1868</v>
      </c>
      <c r="J7" s="60"/>
      <c r="K7" s="60"/>
      <c r="L7" s="60"/>
      <c r="M7" s="60"/>
      <c r="N7" s="60"/>
      <c r="O7" s="60"/>
      <c r="P7" s="60"/>
      <c r="Q7" s="60"/>
      <c r="R7" s="60"/>
      <c r="S7" s="61"/>
      <c r="T7" s="58" t="s">
        <v>5</v>
      </c>
      <c r="U7" s="58"/>
      <c r="V7" s="67" t="s">
        <v>1869</v>
      </c>
      <c r="W7" s="68"/>
      <c r="X7" s="68"/>
      <c r="Y7" s="68"/>
      <c r="Z7" s="68"/>
      <c r="AA7" s="68"/>
      <c r="AB7" s="68"/>
      <c r="AC7" s="68"/>
    </row>
    <row r="8" spans="1:45" x14ac:dyDescent="0.25">
      <c r="A8" s="52"/>
      <c r="B8" s="53"/>
      <c r="C8" s="53"/>
      <c r="D8" s="52"/>
      <c r="E8" s="54"/>
      <c r="F8" s="64" t="s">
        <v>1872</v>
      </c>
      <c r="G8" s="65"/>
      <c r="H8" s="65"/>
      <c r="I8" s="65"/>
      <c r="J8" s="65"/>
      <c r="K8" s="65"/>
      <c r="L8" s="65"/>
      <c r="M8" s="65"/>
      <c r="N8" s="65"/>
      <c r="O8" s="65"/>
      <c r="P8" s="65"/>
      <c r="Q8" s="65"/>
      <c r="R8" s="65"/>
      <c r="S8" s="65"/>
      <c r="T8" s="65"/>
      <c r="U8" s="65"/>
      <c r="V8" s="65"/>
      <c r="W8" s="65"/>
      <c r="X8" s="65"/>
      <c r="Y8" s="65"/>
      <c r="Z8" s="65"/>
      <c r="AA8" s="65"/>
      <c r="AB8" s="65"/>
      <c r="AC8" s="66"/>
    </row>
    <row r="9" spans="1:45" x14ac:dyDescent="0.25">
      <c r="A9" s="52"/>
      <c r="B9" s="53"/>
      <c r="C9" s="53"/>
      <c r="D9" s="52"/>
      <c r="E9" s="54"/>
      <c r="F9" s="3"/>
      <c r="G9" s="3"/>
      <c r="H9" s="3"/>
      <c r="I9" s="3"/>
      <c r="J9" s="3"/>
      <c r="K9" s="3"/>
      <c r="L9" s="3"/>
      <c r="M9" s="3"/>
      <c r="N9" s="3"/>
      <c r="O9" s="3"/>
      <c r="P9" s="3"/>
      <c r="Q9" s="3"/>
      <c r="R9" s="3"/>
      <c r="S9" s="3"/>
      <c r="T9" s="3"/>
      <c r="U9" s="3"/>
      <c r="V9" s="3"/>
      <c r="W9" s="3"/>
      <c r="X9" s="3"/>
      <c r="Y9" s="3"/>
      <c r="Z9" s="3"/>
      <c r="AA9" s="3"/>
      <c r="AB9" s="3"/>
      <c r="AC9" s="3"/>
    </row>
    <row r="10" spans="1:45" ht="20.100000000000001" customHeight="1" x14ac:dyDescent="0.25">
      <c r="A10" s="4">
        <v>1</v>
      </c>
      <c r="B10" s="4" t="s">
        <v>2238</v>
      </c>
      <c r="C10" s="5" t="s">
        <v>1729</v>
      </c>
      <c r="D10" s="6" t="s">
        <v>1730</v>
      </c>
      <c r="E10" s="7" t="s">
        <v>7</v>
      </c>
      <c r="F10" s="8"/>
      <c r="G10" s="8"/>
      <c r="H10" s="8"/>
      <c r="I10" s="8"/>
      <c r="J10" s="8"/>
      <c r="K10" s="8"/>
      <c r="L10" s="8"/>
      <c r="M10" s="8"/>
      <c r="N10" s="8"/>
      <c r="O10" s="8"/>
      <c r="P10" s="8"/>
      <c r="Q10" s="8"/>
      <c r="R10" s="8"/>
      <c r="S10" s="8"/>
      <c r="T10" s="8"/>
      <c r="U10" s="8"/>
      <c r="V10" s="8"/>
      <c r="W10" s="8"/>
      <c r="X10" s="8"/>
      <c r="Y10" s="8"/>
      <c r="Z10" s="8"/>
      <c r="AA10" s="8"/>
      <c r="AB10" s="8"/>
      <c r="AC10" s="8"/>
      <c r="AF10" s="38" t="s">
        <v>1729</v>
      </c>
      <c r="AG10" s="39" t="s">
        <v>1730</v>
      </c>
      <c r="AH10" s="38" t="s">
        <v>7</v>
      </c>
      <c r="AI10" s="39" t="s">
        <v>902</v>
      </c>
      <c r="AJ10" s="40">
        <v>87.91</v>
      </c>
      <c r="AK10" s="40">
        <v>66.67</v>
      </c>
      <c r="AL10" s="40">
        <v>79.41</v>
      </c>
      <c r="AM10" s="40" t="s">
        <v>465</v>
      </c>
      <c r="AN10" s="39" t="s">
        <v>485</v>
      </c>
      <c r="AP10" s="81" t="s">
        <v>2238</v>
      </c>
      <c r="AQ10" s="5" t="s">
        <v>1729</v>
      </c>
      <c r="AR10" s="6" t="s">
        <v>1730</v>
      </c>
      <c r="AS10" t="s">
        <v>1987</v>
      </c>
    </row>
    <row r="11" spans="1:45" ht="20.100000000000001" customHeight="1" x14ac:dyDescent="0.25">
      <c r="A11" s="4">
        <v>2</v>
      </c>
      <c r="B11" s="4" t="s">
        <v>2256</v>
      </c>
      <c r="C11" s="5" t="s">
        <v>1731</v>
      </c>
      <c r="D11" s="6" t="s">
        <v>1732</v>
      </c>
      <c r="E11" s="7" t="s">
        <v>6</v>
      </c>
      <c r="F11" s="8"/>
      <c r="G11" s="8"/>
      <c r="H11" s="8"/>
      <c r="I11" s="8"/>
      <c r="J11" s="8"/>
      <c r="K11" s="8"/>
      <c r="L11" s="8"/>
      <c r="M11" s="8"/>
      <c r="N11" s="8"/>
      <c r="O11" s="8"/>
      <c r="P11" s="8"/>
      <c r="Q11" s="8"/>
      <c r="R11" s="8"/>
      <c r="S11" s="8"/>
      <c r="T11" s="8"/>
      <c r="U11" s="8"/>
      <c r="V11" s="8"/>
      <c r="W11" s="8"/>
      <c r="X11" s="8"/>
      <c r="Y11" s="8"/>
      <c r="Z11" s="8"/>
      <c r="AA11" s="8"/>
      <c r="AB11" s="8"/>
      <c r="AC11" s="8"/>
      <c r="AF11" s="38" t="s">
        <v>1731</v>
      </c>
      <c r="AG11" s="39" t="s">
        <v>1732</v>
      </c>
      <c r="AH11" s="38" t="s">
        <v>6</v>
      </c>
      <c r="AI11" s="39" t="s">
        <v>807</v>
      </c>
      <c r="AJ11" s="40" t="s">
        <v>1733</v>
      </c>
      <c r="AK11" s="40" t="s">
        <v>960</v>
      </c>
      <c r="AL11" s="40" t="s">
        <v>1734</v>
      </c>
      <c r="AM11" s="40" t="s">
        <v>465</v>
      </c>
      <c r="AN11" s="39" t="s">
        <v>1735</v>
      </c>
      <c r="AP11" s="81" t="s">
        <v>2256</v>
      </c>
      <c r="AQ11" s="5" t="s">
        <v>1731</v>
      </c>
      <c r="AR11" s="6" t="s">
        <v>1732</v>
      </c>
      <c r="AS11" t="s">
        <v>2167</v>
      </c>
    </row>
    <row r="12" spans="1:45" ht="20.100000000000001" customHeight="1" x14ac:dyDescent="0.25">
      <c r="A12" s="4">
        <v>3</v>
      </c>
      <c r="B12" s="4" t="s">
        <v>2257</v>
      </c>
      <c r="C12" s="9" t="s">
        <v>1736</v>
      </c>
      <c r="D12" s="6" t="s">
        <v>1737</v>
      </c>
      <c r="E12" s="7" t="s">
        <v>6</v>
      </c>
      <c r="F12" s="8"/>
      <c r="G12" s="8"/>
      <c r="H12" s="8"/>
      <c r="I12" s="8"/>
      <c r="J12" s="8"/>
      <c r="K12" s="8"/>
      <c r="L12" s="8"/>
      <c r="M12" s="8"/>
      <c r="N12" s="8"/>
      <c r="O12" s="8"/>
      <c r="P12" s="8"/>
      <c r="Q12" s="8"/>
      <c r="R12" s="8"/>
      <c r="S12" s="8"/>
      <c r="T12" s="8"/>
      <c r="U12" s="8"/>
      <c r="V12" s="8"/>
      <c r="W12" s="8"/>
      <c r="X12" s="8"/>
      <c r="Y12" s="8"/>
      <c r="Z12" s="8"/>
      <c r="AA12" s="8"/>
      <c r="AB12" s="8"/>
      <c r="AC12" s="8"/>
      <c r="AF12" s="38" t="s">
        <v>1736</v>
      </c>
      <c r="AG12" s="39" t="s">
        <v>1737</v>
      </c>
      <c r="AH12" s="38" t="s">
        <v>6</v>
      </c>
      <c r="AI12" s="39" t="s">
        <v>494</v>
      </c>
      <c r="AJ12" s="40" t="s">
        <v>1388</v>
      </c>
      <c r="AK12" s="40" t="s">
        <v>677</v>
      </c>
      <c r="AL12" s="40" t="s">
        <v>1738</v>
      </c>
      <c r="AM12" s="40" t="s">
        <v>465</v>
      </c>
      <c r="AN12" s="39" t="s">
        <v>475</v>
      </c>
      <c r="AP12" s="81" t="s">
        <v>2257</v>
      </c>
      <c r="AQ12" s="9" t="s">
        <v>1736</v>
      </c>
      <c r="AR12" s="6" t="s">
        <v>1737</v>
      </c>
      <c r="AS12" t="s">
        <v>2172</v>
      </c>
    </row>
    <row r="13" spans="1:45" ht="20.100000000000001" customHeight="1" x14ac:dyDescent="0.25">
      <c r="A13" s="4">
        <v>4</v>
      </c>
      <c r="B13" s="4" t="s">
        <v>2260</v>
      </c>
      <c r="C13" s="5" t="s">
        <v>1739</v>
      </c>
      <c r="D13" s="6" t="s">
        <v>1740</v>
      </c>
      <c r="E13" s="7" t="s">
        <v>6</v>
      </c>
      <c r="F13" s="8"/>
      <c r="G13" s="8"/>
      <c r="H13" s="8"/>
      <c r="I13" s="8"/>
      <c r="J13" s="8"/>
      <c r="K13" s="8"/>
      <c r="L13" s="8"/>
      <c r="M13" s="8"/>
      <c r="N13" s="8"/>
      <c r="O13" s="8"/>
      <c r="P13" s="8"/>
      <c r="Q13" s="8"/>
      <c r="R13" s="8"/>
      <c r="S13" s="8"/>
      <c r="T13" s="8"/>
      <c r="U13" s="8"/>
      <c r="V13" s="8"/>
      <c r="W13" s="8"/>
      <c r="X13" s="8"/>
      <c r="Y13" s="8"/>
      <c r="Z13" s="8"/>
      <c r="AA13" s="8"/>
      <c r="AB13" s="8"/>
      <c r="AC13" s="8"/>
      <c r="AF13" s="38" t="s">
        <v>1739</v>
      </c>
      <c r="AG13" s="39" t="s">
        <v>1740</v>
      </c>
      <c r="AH13" s="38" t="s">
        <v>6</v>
      </c>
      <c r="AI13" s="39" t="s">
        <v>542</v>
      </c>
      <c r="AJ13" s="40" t="s">
        <v>1596</v>
      </c>
      <c r="AK13" s="40" t="s">
        <v>502</v>
      </c>
      <c r="AL13" s="40" t="s">
        <v>1741</v>
      </c>
      <c r="AM13" s="40" t="s">
        <v>465</v>
      </c>
      <c r="AN13" s="39" t="s">
        <v>475</v>
      </c>
      <c r="AP13" s="81" t="s">
        <v>2260</v>
      </c>
      <c r="AQ13" s="5" t="s">
        <v>1739</v>
      </c>
      <c r="AR13" s="6" t="s">
        <v>1740</v>
      </c>
      <c r="AS13" t="s">
        <v>2168</v>
      </c>
    </row>
    <row r="14" spans="1:45" ht="20.100000000000001" customHeight="1" x14ac:dyDescent="0.25">
      <c r="A14" s="4">
        <v>5</v>
      </c>
      <c r="B14" s="4" t="s">
        <v>2278</v>
      </c>
      <c r="C14" s="5" t="s">
        <v>1742</v>
      </c>
      <c r="D14" s="6" t="s">
        <v>1743</v>
      </c>
      <c r="E14" s="7" t="s">
        <v>6</v>
      </c>
      <c r="F14" s="8"/>
      <c r="G14" s="8"/>
      <c r="H14" s="8"/>
      <c r="I14" s="8"/>
      <c r="J14" s="8"/>
      <c r="K14" s="8"/>
      <c r="L14" s="8"/>
      <c r="M14" s="8"/>
      <c r="N14" s="8"/>
      <c r="O14" s="8"/>
      <c r="P14" s="8"/>
      <c r="Q14" s="8"/>
      <c r="R14" s="8"/>
      <c r="S14" s="8"/>
      <c r="T14" s="8"/>
      <c r="U14" s="8"/>
      <c r="V14" s="8"/>
      <c r="W14" s="8"/>
      <c r="X14" s="8"/>
      <c r="Y14" s="8"/>
      <c r="Z14" s="8"/>
      <c r="AA14" s="8"/>
      <c r="AB14" s="8"/>
      <c r="AC14" s="8"/>
      <c r="AF14" s="38" t="s">
        <v>1742</v>
      </c>
      <c r="AG14" s="39" t="s">
        <v>1743</v>
      </c>
      <c r="AH14" s="38" t="s">
        <v>6</v>
      </c>
      <c r="AI14" s="39" t="s">
        <v>494</v>
      </c>
      <c r="AJ14" s="40" t="s">
        <v>1744</v>
      </c>
      <c r="AK14" s="40" t="s">
        <v>599</v>
      </c>
      <c r="AL14" s="40" t="s">
        <v>1745</v>
      </c>
      <c r="AM14" s="40" t="s">
        <v>465</v>
      </c>
      <c r="AN14" s="39" t="s">
        <v>475</v>
      </c>
      <c r="AP14" s="81" t="s">
        <v>2278</v>
      </c>
      <c r="AQ14" s="5" t="s">
        <v>1742</v>
      </c>
      <c r="AR14" s="6" t="s">
        <v>1743</v>
      </c>
      <c r="AS14" t="s">
        <v>2169</v>
      </c>
    </row>
    <row r="15" spans="1:45" ht="20.100000000000001" customHeight="1" x14ac:dyDescent="0.25">
      <c r="A15" s="4">
        <v>6</v>
      </c>
      <c r="B15" s="4" t="s">
        <v>2279</v>
      </c>
      <c r="C15" s="5" t="s">
        <v>1746</v>
      </c>
      <c r="D15" s="6" t="s">
        <v>1747</v>
      </c>
      <c r="E15" s="7" t="s">
        <v>6</v>
      </c>
      <c r="F15" s="8"/>
      <c r="G15" s="8"/>
      <c r="H15" s="8"/>
      <c r="I15" s="8"/>
      <c r="J15" s="8"/>
      <c r="K15" s="8"/>
      <c r="L15" s="8"/>
      <c r="M15" s="8"/>
      <c r="N15" s="8"/>
      <c r="O15" s="8"/>
      <c r="P15" s="8"/>
      <c r="Q15" s="8"/>
      <c r="R15" s="8"/>
      <c r="S15" s="8"/>
      <c r="T15" s="8"/>
      <c r="U15" s="8"/>
      <c r="V15" s="8"/>
      <c r="W15" s="8"/>
      <c r="X15" s="8"/>
      <c r="Y15" s="8"/>
      <c r="Z15" s="8"/>
      <c r="AA15" s="8"/>
      <c r="AB15" s="8"/>
      <c r="AC15" s="8"/>
      <c r="AF15" s="38" t="s">
        <v>1746</v>
      </c>
      <c r="AG15" s="39" t="s">
        <v>1747</v>
      </c>
      <c r="AH15" s="38" t="s">
        <v>6</v>
      </c>
      <c r="AI15" s="39" t="s">
        <v>1748</v>
      </c>
      <c r="AJ15" s="40">
        <v>87.57</v>
      </c>
      <c r="AK15" s="40">
        <v>78.33</v>
      </c>
      <c r="AL15" s="40">
        <v>83.87</v>
      </c>
      <c r="AM15" s="40" t="s">
        <v>465</v>
      </c>
      <c r="AN15" s="39" t="s">
        <v>475</v>
      </c>
      <c r="AP15" s="81" t="s">
        <v>2279</v>
      </c>
      <c r="AQ15" s="5" t="s">
        <v>1746</v>
      </c>
      <c r="AR15" s="6" t="s">
        <v>1747</v>
      </c>
      <c r="AS15" t="s">
        <v>2173</v>
      </c>
    </row>
    <row r="16" spans="1:45" ht="20.100000000000001" customHeight="1" x14ac:dyDescent="0.25">
      <c r="A16" s="4">
        <v>7</v>
      </c>
      <c r="B16" s="4" t="s">
        <v>2284</v>
      </c>
      <c r="C16" s="38" t="s">
        <v>1213</v>
      </c>
      <c r="D16" s="39" t="s">
        <v>1214</v>
      </c>
      <c r="E16" s="7" t="s">
        <v>7</v>
      </c>
      <c r="F16" s="8"/>
      <c r="G16" s="8"/>
      <c r="H16" s="8"/>
      <c r="I16" s="8"/>
      <c r="J16" s="8"/>
      <c r="K16" s="8"/>
      <c r="L16" s="8"/>
      <c r="M16" s="8"/>
      <c r="N16" s="8"/>
      <c r="O16" s="8"/>
      <c r="P16" s="8"/>
      <c r="Q16" s="8"/>
      <c r="R16" s="8"/>
      <c r="S16" s="8"/>
      <c r="T16" s="8"/>
      <c r="U16" s="8"/>
      <c r="V16" s="8"/>
      <c r="W16" s="8"/>
      <c r="X16" s="8"/>
      <c r="Y16" s="8"/>
      <c r="Z16" s="8"/>
      <c r="AA16" s="8"/>
      <c r="AB16" s="8"/>
      <c r="AC16" s="8"/>
      <c r="AF16" s="38" t="s">
        <v>1749</v>
      </c>
      <c r="AG16" s="39" t="s">
        <v>1750</v>
      </c>
      <c r="AH16" s="38" t="s">
        <v>7</v>
      </c>
      <c r="AI16" s="39" t="s">
        <v>1049</v>
      </c>
      <c r="AJ16" s="40" t="s">
        <v>1751</v>
      </c>
      <c r="AK16" s="40" t="s">
        <v>720</v>
      </c>
      <c r="AL16" s="40" t="s">
        <v>1752</v>
      </c>
      <c r="AM16" s="40" t="s">
        <v>465</v>
      </c>
      <c r="AN16" s="39" t="s">
        <v>475</v>
      </c>
      <c r="AP16" s="81" t="s">
        <v>2284</v>
      </c>
      <c r="AQ16" s="38" t="s">
        <v>1213</v>
      </c>
      <c r="AR16" s="39" t="s">
        <v>1214</v>
      </c>
      <c r="AS16" t="s">
        <v>2171</v>
      </c>
    </row>
    <row r="17" spans="1:45" ht="20.100000000000001" customHeight="1" x14ac:dyDescent="0.25">
      <c r="A17" s="4">
        <v>8</v>
      </c>
      <c r="B17" s="4" t="s">
        <v>2287</v>
      </c>
      <c r="C17" s="5" t="s">
        <v>1749</v>
      </c>
      <c r="D17" s="6" t="s">
        <v>1750</v>
      </c>
      <c r="E17" s="7" t="s">
        <v>7</v>
      </c>
      <c r="F17" s="8"/>
      <c r="G17" s="8"/>
      <c r="H17" s="8"/>
      <c r="I17" s="8"/>
      <c r="J17" s="8"/>
      <c r="K17" s="8"/>
      <c r="L17" s="8"/>
      <c r="M17" s="8"/>
      <c r="N17" s="8"/>
      <c r="O17" s="8"/>
      <c r="P17" s="8"/>
      <c r="Q17" s="8"/>
      <c r="R17" s="8"/>
      <c r="S17" s="8"/>
      <c r="T17" s="8"/>
      <c r="U17" s="8"/>
      <c r="V17" s="8"/>
      <c r="W17" s="8"/>
      <c r="X17" s="8"/>
      <c r="Y17" s="8"/>
      <c r="Z17" s="8"/>
      <c r="AA17" s="8"/>
      <c r="AB17" s="8"/>
      <c r="AC17" s="8"/>
      <c r="AF17" s="38" t="s">
        <v>1753</v>
      </c>
      <c r="AG17" s="39" t="s">
        <v>1754</v>
      </c>
      <c r="AH17" s="38" t="s">
        <v>6</v>
      </c>
      <c r="AI17" s="39" t="s">
        <v>494</v>
      </c>
      <c r="AJ17" s="40" t="s">
        <v>1755</v>
      </c>
      <c r="AK17" s="40" t="s">
        <v>741</v>
      </c>
      <c r="AL17" s="40" t="s">
        <v>1756</v>
      </c>
      <c r="AM17" s="40" t="s">
        <v>457</v>
      </c>
      <c r="AN17" s="39" t="s">
        <v>475</v>
      </c>
      <c r="AP17" s="81" t="s">
        <v>2287</v>
      </c>
      <c r="AQ17" s="5" t="s">
        <v>1749</v>
      </c>
      <c r="AR17" s="6" t="s">
        <v>1750</v>
      </c>
      <c r="AS17" t="s">
        <v>2174</v>
      </c>
    </row>
    <row r="18" spans="1:45" ht="20.100000000000001" customHeight="1" x14ac:dyDescent="0.25">
      <c r="A18" s="4">
        <v>9</v>
      </c>
      <c r="B18" s="4" t="s">
        <v>2290</v>
      </c>
      <c r="C18" s="5" t="s">
        <v>1753</v>
      </c>
      <c r="D18" s="6" t="s">
        <v>1754</v>
      </c>
      <c r="E18" s="7" t="s">
        <v>6</v>
      </c>
      <c r="F18" s="8"/>
      <c r="G18" s="8"/>
      <c r="H18" s="8"/>
      <c r="I18" s="8"/>
      <c r="J18" s="8"/>
      <c r="K18" s="8"/>
      <c r="L18" s="8"/>
      <c r="M18" s="8"/>
      <c r="N18" s="8"/>
      <c r="O18" s="8"/>
      <c r="P18" s="8"/>
      <c r="Q18" s="8"/>
      <c r="R18" s="8"/>
      <c r="S18" s="8"/>
      <c r="T18" s="8"/>
      <c r="U18" s="8"/>
      <c r="V18" s="8"/>
      <c r="W18" s="8"/>
      <c r="X18" s="8"/>
      <c r="Y18" s="8"/>
      <c r="Z18" s="8"/>
      <c r="AA18" s="8"/>
      <c r="AB18" s="8"/>
      <c r="AC18" s="8"/>
      <c r="AF18" s="38" t="s">
        <v>1757</v>
      </c>
      <c r="AG18" s="39" t="s">
        <v>1758</v>
      </c>
      <c r="AH18" s="38" t="s">
        <v>7</v>
      </c>
      <c r="AI18" s="39" t="s">
        <v>507</v>
      </c>
      <c r="AJ18" s="40" t="s">
        <v>1759</v>
      </c>
      <c r="AK18" s="40" t="s">
        <v>1760</v>
      </c>
      <c r="AL18" s="40" t="s">
        <v>1761</v>
      </c>
      <c r="AM18" s="40" t="s">
        <v>465</v>
      </c>
      <c r="AN18" s="39"/>
      <c r="AP18" s="81" t="s">
        <v>2290</v>
      </c>
      <c r="AQ18" s="5" t="s">
        <v>1753</v>
      </c>
      <c r="AR18" s="6" t="s">
        <v>1754</v>
      </c>
      <c r="AS18" t="s">
        <v>2170</v>
      </c>
    </row>
    <row r="19" spans="1:45" ht="20.100000000000001" customHeight="1" x14ac:dyDescent="0.25">
      <c r="A19" s="4">
        <v>10</v>
      </c>
      <c r="B19" s="4" t="s">
        <v>2304</v>
      </c>
      <c r="C19" s="5" t="s">
        <v>1757</v>
      </c>
      <c r="D19" s="6" t="s">
        <v>1758</v>
      </c>
      <c r="E19" s="7" t="s">
        <v>7</v>
      </c>
      <c r="F19" s="8"/>
      <c r="G19" s="8"/>
      <c r="H19" s="8"/>
      <c r="I19" s="8"/>
      <c r="J19" s="8"/>
      <c r="K19" s="8"/>
      <c r="L19" s="8"/>
      <c r="M19" s="8"/>
      <c r="N19" s="8"/>
      <c r="O19" s="8"/>
      <c r="P19" s="8"/>
      <c r="Q19" s="8"/>
      <c r="R19" s="8"/>
      <c r="S19" s="8"/>
      <c r="T19" s="8"/>
      <c r="U19" s="8"/>
      <c r="V19" s="8"/>
      <c r="W19" s="8"/>
      <c r="X19" s="8"/>
      <c r="Y19" s="8"/>
      <c r="Z19" s="8"/>
      <c r="AA19" s="8"/>
      <c r="AB19" s="8"/>
      <c r="AC19" s="8"/>
      <c r="AF19" s="38" t="s">
        <v>1762</v>
      </c>
      <c r="AG19" s="39" t="s">
        <v>1763</v>
      </c>
      <c r="AH19" s="38" t="s">
        <v>6</v>
      </c>
      <c r="AI19" s="39" t="s">
        <v>1223</v>
      </c>
      <c r="AJ19" s="40">
        <v>89.82</v>
      </c>
      <c r="AK19" s="40">
        <v>55</v>
      </c>
      <c r="AL19" s="40">
        <v>75.89</v>
      </c>
      <c r="AM19" s="40" t="s">
        <v>465</v>
      </c>
      <c r="AN19" s="39" t="s">
        <v>475</v>
      </c>
      <c r="AP19" s="81" t="s">
        <v>2304</v>
      </c>
      <c r="AQ19" s="5" t="s">
        <v>1757</v>
      </c>
      <c r="AR19" s="6" t="s">
        <v>1758</v>
      </c>
      <c r="AS19" t="s">
        <v>2175</v>
      </c>
    </row>
    <row r="20" spans="1:45" ht="20.100000000000001" customHeight="1" x14ac:dyDescent="0.25">
      <c r="A20" s="4">
        <v>11</v>
      </c>
      <c r="B20" s="4" t="s">
        <v>2310</v>
      </c>
      <c r="C20" s="5" t="s">
        <v>1762</v>
      </c>
      <c r="D20" s="6" t="s">
        <v>1763</v>
      </c>
      <c r="E20" s="7" t="s">
        <v>6</v>
      </c>
      <c r="F20" s="8"/>
      <c r="G20" s="8"/>
      <c r="H20" s="8"/>
      <c r="I20" s="8"/>
      <c r="J20" s="8"/>
      <c r="K20" s="8"/>
      <c r="L20" s="8"/>
      <c r="M20" s="8"/>
      <c r="N20" s="8"/>
      <c r="O20" s="8"/>
      <c r="P20" s="8"/>
      <c r="Q20" s="8"/>
      <c r="R20" s="8"/>
      <c r="S20" s="8"/>
      <c r="T20" s="8"/>
      <c r="U20" s="8"/>
      <c r="V20" s="8"/>
      <c r="W20" s="8"/>
      <c r="X20" s="8"/>
      <c r="Y20" s="8"/>
      <c r="Z20" s="8"/>
      <c r="AA20" s="8"/>
      <c r="AB20" s="8"/>
      <c r="AC20" s="8"/>
      <c r="AF20" s="38" t="s">
        <v>1764</v>
      </c>
      <c r="AG20" s="39" t="s">
        <v>1765</v>
      </c>
      <c r="AH20" s="38" t="s">
        <v>6</v>
      </c>
      <c r="AI20" s="39" t="s">
        <v>542</v>
      </c>
      <c r="AJ20" s="40">
        <v>90.6</v>
      </c>
      <c r="AK20" s="40">
        <v>63.34</v>
      </c>
      <c r="AL20" s="40">
        <v>79.7</v>
      </c>
      <c r="AM20" s="40" t="s">
        <v>465</v>
      </c>
      <c r="AN20" s="39" t="s">
        <v>475</v>
      </c>
      <c r="AP20" s="81" t="s">
        <v>2310</v>
      </c>
      <c r="AQ20" s="5" t="s">
        <v>1762</v>
      </c>
      <c r="AR20" s="6" t="s">
        <v>1763</v>
      </c>
      <c r="AS20" t="s">
        <v>2176</v>
      </c>
    </row>
    <row r="21" spans="1:45" ht="20.100000000000001" customHeight="1" x14ac:dyDescent="0.25">
      <c r="A21" s="4">
        <v>12</v>
      </c>
      <c r="B21" s="4" t="s">
        <v>2312</v>
      </c>
      <c r="C21" s="5" t="s">
        <v>1764</v>
      </c>
      <c r="D21" s="5" t="s">
        <v>1765</v>
      </c>
      <c r="E21" s="7" t="s">
        <v>6</v>
      </c>
      <c r="F21" s="8"/>
      <c r="G21" s="8"/>
      <c r="H21" s="8"/>
      <c r="I21" s="8"/>
      <c r="J21" s="8"/>
      <c r="K21" s="8"/>
      <c r="L21" s="8"/>
      <c r="M21" s="8"/>
      <c r="N21" s="8"/>
      <c r="O21" s="8"/>
      <c r="P21" s="8"/>
      <c r="Q21" s="8"/>
      <c r="R21" s="8"/>
      <c r="S21" s="8"/>
      <c r="T21" s="8"/>
      <c r="U21" s="8"/>
      <c r="V21" s="8"/>
      <c r="W21" s="8"/>
      <c r="X21" s="8"/>
      <c r="Y21" s="8"/>
      <c r="Z21" s="8"/>
      <c r="AA21" s="8"/>
      <c r="AB21" s="8"/>
      <c r="AC21" s="8"/>
      <c r="AF21" s="38" t="s">
        <v>1766</v>
      </c>
      <c r="AG21" s="39" t="s">
        <v>1767</v>
      </c>
      <c r="AH21" s="38" t="s">
        <v>7</v>
      </c>
      <c r="AI21" s="39" t="s">
        <v>1768</v>
      </c>
      <c r="AJ21" s="40" t="s">
        <v>1769</v>
      </c>
      <c r="AK21" s="40" t="s">
        <v>741</v>
      </c>
      <c r="AL21" s="40" t="s">
        <v>1770</v>
      </c>
      <c r="AM21" s="40" t="s">
        <v>465</v>
      </c>
      <c r="AN21" s="39" t="s">
        <v>1771</v>
      </c>
      <c r="AP21" s="81" t="s">
        <v>2312</v>
      </c>
      <c r="AQ21" s="5" t="s">
        <v>1764</v>
      </c>
      <c r="AR21" s="5" t="s">
        <v>1765</v>
      </c>
      <c r="AS21" t="s">
        <v>2177</v>
      </c>
    </row>
    <row r="22" spans="1:45" ht="20.100000000000001" customHeight="1" x14ac:dyDescent="0.25">
      <c r="A22" s="4">
        <v>13</v>
      </c>
      <c r="B22" s="4" t="s">
        <v>2317</v>
      </c>
      <c r="C22" s="5" t="s">
        <v>1766</v>
      </c>
      <c r="D22" s="5" t="s">
        <v>1767</v>
      </c>
      <c r="E22" s="7" t="s">
        <v>7</v>
      </c>
      <c r="F22" s="8"/>
      <c r="G22" s="8"/>
      <c r="H22" s="8"/>
      <c r="I22" s="8"/>
      <c r="J22" s="8"/>
      <c r="K22" s="8"/>
      <c r="L22" s="8"/>
      <c r="M22" s="8"/>
      <c r="N22" s="8"/>
      <c r="O22" s="8"/>
      <c r="P22" s="8"/>
      <c r="Q22" s="8"/>
      <c r="R22" s="8"/>
      <c r="S22" s="8"/>
      <c r="T22" s="8"/>
      <c r="U22" s="8"/>
      <c r="V22" s="8"/>
      <c r="W22" s="8"/>
      <c r="X22" s="8"/>
      <c r="Y22" s="8"/>
      <c r="Z22" s="8"/>
      <c r="AA22" s="8"/>
      <c r="AB22" s="8"/>
      <c r="AC22" s="8"/>
      <c r="AF22" s="38" t="s">
        <v>1772</v>
      </c>
      <c r="AG22" s="39" t="s">
        <v>1773</v>
      </c>
      <c r="AH22" s="38" t="s">
        <v>6</v>
      </c>
      <c r="AI22" s="39" t="s">
        <v>887</v>
      </c>
      <c r="AJ22" s="40" t="s">
        <v>802</v>
      </c>
      <c r="AK22" s="40" t="s">
        <v>677</v>
      </c>
      <c r="AL22" s="40" t="s">
        <v>1640</v>
      </c>
      <c r="AM22" s="40" t="s">
        <v>465</v>
      </c>
      <c r="AN22" s="39" t="s">
        <v>475</v>
      </c>
      <c r="AP22" s="81" t="s">
        <v>2317</v>
      </c>
      <c r="AQ22" s="5" t="s">
        <v>1766</v>
      </c>
      <c r="AR22" s="5" t="s">
        <v>1767</v>
      </c>
      <c r="AS22" t="s">
        <v>2178</v>
      </c>
    </row>
    <row r="23" spans="1:45" ht="20.100000000000001" customHeight="1" x14ac:dyDescent="0.25">
      <c r="A23" s="4">
        <v>14</v>
      </c>
      <c r="B23" s="4" t="s">
        <v>2330</v>
      </c>
      <c r="C23" s="5" t="s">
        <v>1772</v>
      </c>
      <c r="D23" s="6" t="s">
        <v>1773</v>
      </c>
      <c r="E23" s="7" t="s">
        <v>6</v>
      </c>
      <c r="F23" s="8"/>
      <c r="G23" s="8"/>
      <c r="H23" s="8"/>
      <c r="I23" s="8"/>
      <c r="J23" s="8"/>
      <c r="K23" s="8"/>
      <c r="L23" s="8"/>
      <c r="M23" s="8"/>
      <c r="N23" s="8"/>
      <c r="O23" s="8"/>
      <c r="P23" s="8"/>
      <c r="Q23" s="8"/>
      <c r="R23" s="8"/>
      <c r="S23" s="8"/>
      <c r="T23" s="8"/>
      <c r="U23" s="8"/>
      <c r="V23" s="8"/>
      <c r="W23" s="8"/>
      <c r="X23" s="8"/>
      <c r="Y23" s="8"/>
      <c r="Z23" s="8"/>
      <c r="AA23" s="8"/>
      <c r="AB23" s="8"/>
      <c r="AC23" s="8"/>
      <c r="AF23" s="38" t="s">
        <v>1774</v>
      </c>
      <c r="AG23" s="39" t="s">
        <v>1775</v>
      </c>
      <c r="AH23" s="38" t="s">
        <v>6</v>
      </c>
      <c r="AI23" s="39" t="s">
        <v>1776</v>
      </c>
      <c r="AJ23" s="40" t="s">
        <v>1777</v>
      </c>
      <c r="AK23" s="40" t="s">
        <v>502</v>
      </c>
      <c r="AL23" s="40" t="s">
        <v>1778</v>
      </c>
      <c r="AM23" s="40" t="s">
        <v>465</v>
      </c>
      <c r="AN23" s="39" t="s">
        <v>475</v>
      </c>
      <c r="AP23" s="81" t="s">
        <v>2330</v>
      </c>
      <c r="AQ23" s="5" t="s">
        <v>1772</v>
      </c>
      <c r="AR23" s="6" t="s">
        <v>1773</v>
      </c>
      <c r="AS23" t="s">
        <v>2179</v>
      </c>
    </row>
    <row r="24" spans="1:45" ht="20.100000000000001" customHeight="1" x14ac:dyDescent="0.25">
      <c r="A24" s="4">
        <v>15</v>
      </c>
      <c r="B24" s="4" t="s">
        <v>2353</v>
      </c>
      <c r="C24" s="5" t="s">
        <v>1774</v>
      </c>
      <c r="D24" s="6" t="s">
        <v>1775</v>
      </c>
      <c r="E24" s="7" t="s">
        <v>6</v>
      </c>
      <c r="F24" s="8"/>
      <c r="G24" s="8"/>
      <c r="H24" s="8"/>
      <c r="I24" s="8"/>
      <c r="J24" s="8"/>
      <c r="K24" s="8"/>
      <c r="L24" s="8"/>
      <c r="M24" s="8"/>
      <c r="N24" s="8"/>
      <c r="O24" s="8"/>
      <c r="P24" s="8"/>
      <c r="Q24" s="8"/>
      <c r="R24" s="8"/>
      <c r="S24" s="8"/>
      <c r="T24" s="8"/>
      <c r="U24" s="8"/>
      <c r="V24" s="8"/>
      <c r="W24" s="8"/>
      <c r="X24" s="8"/>
      <c r="Y24" s="8"/>
      <c r="Z24" s="8"/>
      <c r="AA24" s="8"/>
      <c r="AB24" s="8"/>
      <c r="AC24" s="8"/>
      <c r="AF24" s="38" t="s">
        <v>1779</v>
      </c>
      <c r="AG24" s="39" t="s">
        <v>1780</v>
      </c>
      <c r="AH24" s="38" t="s">
        <v>6</v>
      </c>
      <c r="AI24" s="39" t="s">
        <v>603</v>
      </c>
      <c r="AJ24" s="40" t="s">
        <v>740</v>
      </c>
      <c r="AK24" s="40" t="s">
        <v>502</v>
      </c>
      <c r="AL24" s="40" t="s">
        <v>1781</v>
      </c>
      <c r="AM24" s="40" t="s">
        <v>465</v>
      </c>
      <c r="AN24" s="39" t="s">
        <v>475</v>
      </c>
      <c r="AP24" s="81" t="s">
        <v>2353</v>
      </c>
      <c r="AQ24" s="5" t="s">
        <v>1774</v>
      </c>
      <c r="AR24" s="6" t="s">
        <v>1775</v>
      </c>
      <c r="AS24" t="s">
        <v>2180</v>
      </c>
    </row>
    <row r="25" spans="1:45" ht="20.100000000000001" customHeight="1" x14ac:dyDescent="0.25">
      <c r="A25" s="4">
        <v>16</v>
      </c>
      <c r="B25" s="4" t="s">
        <v>2354</v>
      </c>
      <c r="C25" s="5" t="s">
        <v>1779</v>
      </c>
      <c r="D25" s="6" t="s">
        <v>1780</v>
      </c>
      <c r="E25" s="7" t="s">
        <v>6</v>
      </c>
      <c r="F25" s="8"/>
      <c r="G25" s="8"/>
      <c r="H25" s="8"/>
      <c r="I25" s="8"/>
      <c r="J25" s="8"/>
      <c r="K25" s="8"/>
      <c r="L25" s="8"/>
      <c r="M25" s="8"/>
      <c r="N25" s="8"/>
      <c r="O25" s="8"/>
      <c r="P25" s="8"/>
      <c r="Q25" s="8"/>
      <c r="R25" s="8"/>
      <c r="S25" s="8"/>
      <c r="T25" s="8"/>
      <c r="U25" s="8"/>
      <c r="V25" s="8"/>
      <c r="W25" s="8"/>
      <c r="X25" s="8"/>
      <c r="Y25" s="8"/>
      <c r="Z25" s="8"/>
      <c r="AA25" s="8"/>
      <c r="AB25" s="8"/>
      <c r="AC25" s="8"/>
      <c r="AF25" s="38" t="s">
        <v>1782</v>
      </c>
      <c r="AG25" s="39" t="s">
        <v>1783</v>
      </c>
      <c r="AH25" s="38" t="s">
        <v>7</v>
      </c>
      <c r="AI25" s="39" t="s">
        <v>478</v>
      </c>
      <c r="AJ25" s="40" t="s">
        <v>1784</v>
      </c>
      <c r="AK25" s="40">
        <v>73.3</v>
      </c>
      <c r="AL25" s="40">
        <v>81.58</v>
      </c>
      <c r="AM25" s="40" t="s">
        <v>465</v>
      </c>
      <c r="AN25" s="39" t="s">
        <v>475</v>
      </c>
      <c r="AP25" s="81" t="s">
        <v>2354</v>
      </c>
      <c r="AQ25" s="5" t="s">
        <v>1779</v>
      </c>
      <c r="AR25" s="6" t="s">
        <v>1780</v>
      </c>
      <c r="AS25" t="s">
        <v>2181</v>
      </c>
    </row>
    <row r="26" spans="1:45" ht="20.100000000000001" customHeight="1" x14ac:dyDescent="0.25">
      <c r="A26" s="4">
        <v>17</v>
      </c>
      <c r="B26" s="4" t="s">
        <v>2364</v>
      </c>
      <c r="C26" s="5" t="s">
        <v>1782</v>
      </c>
      <c r="D26" s="6" t="s">
        <v>1783</v>
      </c>
      <c r="E26" s="7" t="s">
        <v>7</v>
      </c>
      <c r="F26" s="8"/>
      <c r="G26" s="8"/>
      <c r="H26" s="8"/>
      <c r="I26" s="8"/>
      <c r="J26" s="8"/>
      <c r="K26" s="8"/>
      <c r="L26" s="8"/>
      <c r="M26" s="8"/>
      <c r="N26" s="8"/>
      <c r="O26" s="8"/>
      <c r="P26" s="8"/>
      <c r="Q26" s="8"/>
      <c r="R26" s="8"/>
      <c r="S26" s="8"/>
      <c r="T26" s="8"/>
      <c r="U26" s="8"/>
      <c r="V26" s="8"/>
      <c r="W26" s="8"/>
      <c r="X26" s="8"/>
      <c r="Y26" s="8"/>
      <c r="Z26" s="8"/>
      <c r="AA26" s="8"/>
      <c r="AB26" s="8"/>
      <c r="AC26" s="8"/>
      <c r="AF26" s="38" t="s">
        <v>1785</v>
      </c>
      <c r="AG26" s="39" t="s">
        <v>1786</v>
      </c>
      <c r="AH26" s="38" t="s">
        <v>6</v>
      </c>
      <c r="AI26" s="39" t="s">
        <v>546</v>
      </c>
      <c r="AJ26" s="40">
        <v>91.37</v>
      </c>
      <c r="AK26" s="40">
        <v>83.33</v>
      </c>
      <c r="AL26" s="40">
        <v>88.15</v>
      </c>
      <c r="AM26" s="40" t="s">
        <v>465</v>
      </c>
      <c r="AN26" s="39" t="s">
        <v>1787</v>
      </c>
      <c r="AP26" s="81" t="s">
        <v>2364</v>
      </c>
      <c r="AQ26" s="5" t="s">
        <v>1782</v>
      </c>
      <c r="AR26" s="6" t="s">
        <v>1783</v>
      </c>
      <c r="AS26" t="s">
        <v>2182</v>
      </c>
    </row>
    <row r="27" spans="1:45" ht="20.100000000000001" customHeight="1" x14ac:dyDescent="0.25">
      <c r="A27" s="4">
        <v>18</v>
      </c>
      <c r="B27" s="4" t="s">
        <v>2368</v>
      </c>
      <c r="C27" s="5" t="s">
        <v>1785</v>
      </c>
      <c r="D27" s="6" t="s">
        <v>1786</v>
      </c>
      <c r="E27" s="7" t="s">
        <v>6</v>
      </c>
      <c r="F27" s="8"/>
      <c r="G27" s="8"/>
      <c r="H27" s="8"/>
      <c r="I27" s="8"/>
      <c r="J27" s="8"/>
      <c r="K27" s="8"/>
      <c r="L27" s="8"/>
      <c r="M27" s="8"/>
      <c r="N27" s="8"/>
      <c r="O27" s="8"/>
      <c r="P27" s="8"/>
      <c r="Q27" s="8"/>
      <c r="R27" s="8"/>
      <c r="S27" s="8"/>
      <c r="T27" s="8"/>
      <c r="U27" s="8"/>
      <c r="V27" s="8"/>
      <c r="W27" s="8"/>
      <c r="X27" s="8"/>
      <c r="Y27" s="8"/>
      <c r="Z27" s="8"/>
      <c r="AA27" s="8"/>
      <c r="AB27" s="8"/>
      <c r="AC27" s="8"/>
      <c r="AF27" s="38" t="s">
        <v>1788</v>
      </c>
      <c r="AG27" s="39" t="s">
        <v>1789</v>
      </c>
      <c r="AH27" s="38" t="s">
        <v>6</v>
      </c>
      <c r="AI27" s="39" t="s">
        <v>494</v>
      </c>
      <c r="AJ27" s="40" t="s">
        <v>1425</v>
      </c>
      <c r="AK27" s="40" t="s">
        <v>480</v>
      </c>
      <c r="AL27" s="40" t="s">
        <v>1611</v>
      </c>
      <c r="AM27" s="40" t="s">
        <v>465</v>
      </c>
      <c r="AN27" s="39" t="s">
        <v>475</v>
      </c>
      <c r="AP27" s="81" t="s">
        <v>2368</v>
      </c>
      <c r="AQ27" s="5" t="s">
        <v>1785</v>
      </c>
      <c r="AR27" s="6" t="s">
        <v>1786</v>
      </c>
      <c r="AS27" t="s">
        <v>2183</v>
      </c>
    </row>
    <row r="28" spans="1:45" ht="20.100000000000001" customHeight="1" x14ac:dyDescent="0.25">
      <c r="A28" s="4">
        <v>19</v>
      </c>
      <c r="B28" s="4" t="s">
        <v>2371</v>
      </c>
      <c r="C28" s="5" t="s">
        <v>1788</v>
      </c>
      <c r="D28" s="6" t="s">
        <v>1789</v>
      </c>
      <c r="E28" s="7" t="s">
        <v>6</v>
      </c>
      <c r="F28" s="8"/>
      <c r="G28" s="8"/>
      <c r="H28" s="8"/>
      <c r="I28" s="8"/>
      <c r="J28" s="8"/>
      <c r="K28" s="8"/>
      <c r="L28" s="8"/>
      <c r="M28" s="8"/>
      <c r="N28" s="8"/>
      <c r="O28" s="8"/>
      <c r="P28" s="8"/>
      <c r="Q28" s="8"/>
      <c r="R28" s="8"/>
      <c r="S28" s="8"/>
      <c r="T28" s="8"/>
      <c r="U28" s="8"/>
      <c r="V28" s="8"/>
      <c r="W28" s="8"/>
      <c r="X28" s="8"/>
      <c r="Y28" s="8"/>
      <c r="Z28" s="8"/>
      <c r="AA28" s="8"/>
      <c r="AB28" s="8"/>
      <c r="AC28" s="8"/>
      <c r="AF28" s="38" t="s">
        <v>1790</v>
      </c>
      <c r="AG28" s="39" t="s">
        <v>1791</v>
      </c>
      <c r="AH28" s="38" t="s">
        <v>7</v>
      </c>
      <c r="AI28" s="39" t="s">
        <v>484</v>
      </c>
      <c r="AJ28" s="40" t="s">
        <v>1792</v>
      </c>
      <c r="AK28" s="40" t="s">
        <v>579</v>
      </c>
      <c r="AL28" s="40" t="s">
        <v>1793</v>
      </c>
      <c r="AM28" s="40" t="s">
        <v>465</v>
      </c>
      <c r="AN28" s="39" t="s">
        <v>475</v>
      </c>
      <c r="AP28" s="81" t="s">
        <v>2371</v>
      </c>
      <c r="AQ28" s="5" t="s">
        <v>1788</v>
      </c>
      <c r="AR28" s="6" t="s">
        <v>1789</v>
      </c>
      <c r="AS28" t="s">
        <v>2184</v>
      </c>
    </row>
    <row r="29" spans="1:45" ht="20.100000000000001" customHeight="1" x14ac:dyDescent="0.25">
      <c r="A29" s="4">
        <v>20</v>
      </c>
      <c r="B29" s="4" t="s">
        <v>2375</v>
      </c>
      <c r="C29" s="5" t="s">
        <v>1790</v>
      </c>
      <c r="D29" s="6" t="s">
        <v>1791</v>
      </c>
      <c r="E29" s="7" t="s">
        <v>7</v>
      </c>
      <c r="F29" s="8"/>
      <c r="G29" s="8"/>
      <c r="H29" s="8"/>
      <c r="I29" s="8"/>
      <c r="J29" s="8"/>
      <c r="K29" s="8"/>
      <c r="L29" s="8"/>
      <c r="M29" s="8"/>
      <c r="N29" s="8"/>
      <c r="O29" s="8"/>
      <c r="P29" s="8"/>
      <c r="Q29" s="8"/>
      <c r="R29" s="8"/>
      <c r="S29" s="8"/>
      <c r="T29" s="8"/>
      <c r="U29" s="8"/>
      <c r="V29" s="8"/>
      <c r="W29" s="8"/>
      <c r="X29" s="8"/>
      <c r="Y29" s="8"/>
      <c r="Z29" s="8"/>
      <c r="AA29" s="8"/>
      <c r="AB29" s="8"/>
      <c r="AC29" s="8"/>
      <c r="AF29" s="38" t="s">
        <v>1794</v>
      </c>
      <c r="AG29" s="39" t="s">
        <v>1795</v>
      </c>
      <c r="AH29" s="38" t="s">
        <v>6</v>
      </c>
      <c r="AI29" s="39" t="s">
        <v>484</v>
      </c>
      <c r="AJ29" s="40" t="s">
        <v>1796</v>
      </c>
      <c r="AK29" s="40" t="s">
        <v>697</v>
      </c>
      <c r="AL29" s="40" t="s">
        <v>1622</v>
      </c>
      <c r="AM29" s="40" t="s">
        <v>465</v>
      </c>
      <c r="AN29" s="39" t="s">
        <v>1797</v>
      </c>
      <c r="AP29" s="81" t="s">
        <v>2375</v>
      </c>
      <c r="AQ29" s="5" t="s">
        <v>1790</v>
      </c>
      <c r="AR29" s="6" t="s">
        <v>1791</v>
      </c>
      <c r="AS29" t="s">
        <v>2185</v>
      </c>
    </row>
    <row r="30" spans="1:45" ht="20.100000000000001" customHeight="1" x14ac:dyDescent="0.25">
      <c r="A30" s="4">
        <v>21</v>
      </c>
      <c r="B30" s="4" t="s">
        <v>2389</v>
      </c>
      <c r="C30" s="5" t="s">
        <v>1794</v>
      </c>
      <c r="D30" s="6" t="s">
        <v>1795</v>
      </c>
      <c r="E30" s="7" t="s">
        <v>6</v>
      </c>
      <c r="F30" s="8"/>
      <c r="G30" s="8"/>
      <c r="H30" s="8"/>
      <c r="I30" s="8"/>
      <c r="J30" s="8"/>
      <c r="K30" s="8"/>
      <c r="L30" s="8"/>
      <c r="M30" s="8"/>
      <c r="N30" s="8"/>
      <c r="O30" s="8"/>
      <c r="P30" s="8"/>
      <c r="Q30" s="8"/>
      <c r="R30" s="8"/>
      <c r="S30" s="8"/>
      <c r="T30" s="8"/>
      <c r="U30" s="8"/>
      <c r="V30" s="8"/>
      <c r="W30" s="8"/>
      <c r="X30" s="8"/>
      <c r="Y30" s="8"/>
      <c r="Z30" s="8"/>
      <c r="AA30" s="8"/>
      <c r="AB30" s="8"/>
      <c r="AC30" s="8"/>
      <c r="AF30" s="38" t="s">
        <v>1798</v>
      </c>
      <c r="AG30" s="39" t="s">
        <v>1799</v>
      </c>
      <c r="AH30" s="38" t="s">
        <v>7</v>
      </c>
      <c r="AI30" s="39" t="s">
        <v>1315</v>
      </c>
      <c r="AJ30" s="40" t="s">
        <v>1800</v>
      </c>
      <c r="AK30" s="40" t="s">
        <v>1801</v>
      </c>
      <c r="AL30" s="40" t="s">
        <v>1802</v>
      </c>
      <c r="AM30" s="40" t="s">
        <v>465</v>
      </c>
      <c r="AN30" s="39" t="s">
        <v>1118</v>
      </c>
      <c r="AP30" s="81" t="s">
        <v>2389</v>
      </c>
      <c r="AQ30" s="5" t="s">
        <v>1794</v>
      </c>
      <c r="AR30" s="6" t="s">
        <v>1795</v>
      </c>
      <c r="AS30" t="s">
        <v>2186</v>
      </c>
    </row>
    <row r="31" spans="1:45" ht="20.100000000000001" customHeight="1" x14ac:dyDescent="0.25">
      <c r="A31" s="4">
        <v>22</v>
      </c>
      <c r="B31" s="4" t="s">
        <v>2409</v>
      </c>
      <c r="C31" s="5" t="s">
        <v>1798</v>
      </c>
      <c r="D31" s="5" t="s">
        <v>1799</v>
      </c>
      <c r="E31" s="7" t="s">
        <v>7</v>
      </c>
      <c r="F31" s="8"/>
      <c r="G31" s="8"/>
      <c r="H31" s="8"/>
      <c r="I31" s="8"/>
      <c r="J31" s="8"/>
      <c r="K31" s="8"/>
      <c r="L31" s="8"/>
      <c r="M31" s="8"/>
      <c r="N31" s="8"/>
      <c r="O31" s="8"/>
      <c r="P31" s="8"/>
      <c r="Q31" s="8"/>
      <c r="R31" s="8"/>
      <c r="S31" s="8"/>
      <c r="T31" s="8"/>
      <c r="U31" s="8"/>
      <c r="V31" s="8"/>
      <c r="W31" s="8"/>
      <c r="X31" s="8"/>
      <c r="Y31" s="8"/>
      <c r="Z31" s="8"/>
      <c r="AA31" s="8"/>
      <c r="AB31" s="8"/>
      <c r="AC31" s="8"/>
      <c r="AF31" s="38" t="s">
        <v>1803</v>
      </c>
      <c r="AG31" s="39" t="s">
        <v>1804</v>
      </c>
      <c r="AH31" s="38" t="s">
        <v>7</v>
      </c>
      <c r="AI31" s="39" t="s">
        <v>552</v>
      </c>
      <c r="AJ31" s="40">
        <v>90.46</v>
      </c>
      <c r="AK31" s="40">
        <v>73.33</v>
      </c>
      <c r="AL31" s="40">
        <v>83.61</v>
      </c>
      <c r="AM31" s="40" t="s">
        <v>464</v>
      </c>
      <c r="AN31" s="41" t="s">
        <v>1805</v>
      </c>
      <c r="AP31" s="81" t="s">
        <v>2409</v>
      </c>
      <c r="AQ31" s="5" t="s">
        <v>1798</v>
      </c>
      <c r="AR31" s="5" t="s">
        <v>1799</v>
      </c>
      <c r="AS31" t="s">
        <v>2187</v>
      </c>
    </row>
    <row r="32" spans="1:45" ht="20.100000000000001" customHeight="1" x14ac:dyDescent="0.25">
      <c r="A32" s="4">
        <v>23</v>
      </c>
      <c r="B32" s="4" t="s">
        <v>2410</v>
      </c>
      <c r="C32" s="5" t="s">
        <v>1803</v>
      </c>
      <c r="D32" s="5" t="s">
        <v>1804</v>
      </c>
      <c r="E32" s="7" t="s">
        <v>7</v>
      </c>
      <c r="F32" s="8"/>
      <c r="G32" s="8"/>
      <c r="H32" s="8"/>
      <c r="I32" s="8"/>
      <c r="J32" s="8"/>
      <c r="K32" s="8"/>
      <c r="L32" s="8"/>
      <c r="M32" s="8"/>
      <c r="N32" s="8"/>
      <c r="O32" s="8"/>
      <c r="P32" s="8"/>
      <c r="Q32" s="8"/>
      <c r="R32" s="8"/>
      <c r="S32" s="8"/>
      <c r="T32" s="8"/>
      <c r="U32" s="8"/>
      <c r="V32" s="8"/>
      <c r="W32" s="8"/>
      <c r="X32" s="8"/>
      <c r="Y32" s="8"/>
      <c r="Z32" s="8"/>
      <c r="AA32" s="8"/>
      <c r="AB32" s="8"/>
      <c r="AC32" s="8"/>
      <c r="AF32" s="38" t="s">
        <v>1806</v>
      </c>
      <c r="AG32" s="39" t="s">
        <v>1807</v>
      </c>
      <c r="AH32" s="38" t="s">
        <v>7</v>
      </c>
      <c r="AI32" s="39" t="s">
        <v>1808</v>
      </c>
      <c r="AJ32" s="40">
        <v>81.599999999999994</v>
      </c>
      <c r="AK32" s="40">
        <v>50</v>
      </c>
      <c r="AL32" s="40">
        <v>68.959999999999994</v>
      </c>
      <c r="AM32" s="40" t="s">
        <v>465</v>
      </c>
      <c r="AN32" s="39"/>
      <c r="AP32" s="81" t="s">
        <v>2410</v>
      </c>
      <c r="AQ32" s="5" t="s">
        <v>1803</v>
      </c>
      <c r="AR32" s="5" t="s">
        <v>1804</v>
      </c>
      <c r="AS32" t="s">
        <v>2188</v>
      </c>
    </row>
    <row r="33" spans="1:45" ht="20.100000000000001" customHeight="1" x14ac:dyDescent="0.25">
      <c r="A33" s="4">
        <v>24</v>
      </c>
      <c r="B33" s="4" t="s">
        <v>2415</v>
      </c>
      <c r="C33" s="5" t="s">
        <v>1806</v>
      </c>
      <c r="D33" s="6" t="s">
        <v>1807</v>
      </c>
      <c r="E33" s="7" t="s">
        <v>7</v>
      </c>
      <c r="F33" s="8"/>
      <c r="G33" s="8"/>
      <c r="H33" s="8"/>
      <c r="I33" s="8"/>
      <c r="J33" s="8"/>
      <c r="K33" s="8"/>
      <c r="L33" s="8"/>
      <c r="M33" s="8"/>
      <c r="N33" s="8"/>
      <c r="O33" s="8"/>
      <c r="P33" s="8"/>
      <c r="Q33" s="8"/>
      <c r="R33" s="8"/>
      <c r="S33" s="8"/>
      <c r="T33" s="8"/>
      <c r="U33" s="8"/>
      <c r="V33" s="8"/>
      <c r="W33" s="8"/>
      <c r="X33" s="8"/>
      <c r="Y33" s="8"/>
      <c r="Z33" s="8"/>
      <c r="AA33" s="8"/>
      <c r="AB33" s="8"/>
      <c r="AC33" s="8"/>
      <c r="AF33" s="38" t="s">
        <v>1809</v>
      </c>
      <c r="AG33" s="39" t="s">
        <v>1810</v>
      </c>
      <c r="AH33" s="38" t="s">
        <v>6</v>
      </c>
      <c r="AI33" s="39" t="s">
        <v>953</v>
      </c>
      <c r="AJ33" s="40">
        <v>91.86</v>
      </c>
      <c r="AK33" s="40">
        <v>80</v>
      </c>
      <c r="AL33" s="40">
        <v>87.12</v>
      </c>
      <c r="AM33" s="40" t="s">
        <v>465</v>
      </c>
      <c r="AN33" s="39" t="s">
        <v>475</v>
      </c>
      <c r="AP33" s="81" t="s">
        <v>2415</v>
      </c>
      <c r="AQ33" s="5" t="s">
        <v>1806</v>
      </c>
      <c r="AR33" s="6" t="s">
        <v>1807</v>
      </c>
      <c r="AS33" t="s">
        <v>2189</v>
      </c>
    </row>
    <row r="34" spans="1:45" ht="20.100000000000001" customHeight="1" x14ac:dyDescent="0.25">
      <c r="A34" s="4">
        <v>25</v>
      </c>
      <c r="B34" s="4" t="s">
        <v>2426</v>
      </c>
      <c r="C34" s="5" t="s">
        <v>1809</v>
      </c>
      <c r="D34" s="6" t="s">
        <v>1810</v>
      </c>
      <c r="E34" s="7" t="s">
        <v>6</v>
      </c>
      <c r="F34" s="8"/>
      <c r="G34" s="8"/>
      <c r="H34" s="8"/>
      <c r="I34" s="8"/>
      <c r="J34" s="8"/>
      <c r="K34" s="8"/>
      <c r="L34" s="8"/>
      <c r="M34" s="8"/>
      <c r="N34" s="8"/>
      <c r="O34" s="8"/>
      <c r="P34" s="8"/>
      <c r="Q34" s="8"/>
      <c r="R34" s="8"/>
      <c r="S34" s="8"/>
      <c r="T34" s="8"/>
      <c r="U34" s="8"/>
      <c r="V34" s="8"/>
      <c r="W34" s="8"/>
      <c r="X34" s="8"/>
      <c r="Y34" s="8"/>
      <c r="Z34" s="8"/>
      <c r="AA34" s="8"/>
      <c r="AB34" s="8"/>
      <c r="AC34" s="8"/>
      <c r="AF34" s="38" t="s">
        <v>1811</v>
      </c>
      <c r="AG34" s="39" t="s">
        <v>1812</v>
      </c>
      <c r="AH34" s="38" t="s">
        <v>7</v>
      </c>
      <c r="AI34" s="39" t="s">
        <v>603</v>
      </c>
      <c r="AJ34" s="40">
        <v>85.8</v>
      </c>
      <c r="AK34" s="40">
        <v>61.67</v>
      </c>
      <c r="AL34" s="40">
        <v>76.150000000000006</v>
      </c>
      <c r="AM34" s="40" t="s">
        <v>465</v>
      </c>
      <c r="AN34" s="39" t="s">
        <v>485</v>
      </c>
      <c r="AP34" s="81" t="s">
        <v>2426</v>
      </c>
      <c r="AQ34" s="5" t="s">
        <v>1809</v>
      </c>
      <c r="AR34" s="6" t="s">
        <v>1810</v>
      </c>
      <c r="AS34" t="s">
        <v>2190</v>
      </c>
    </row>
    <row r="35" spans="1:45" ht="20.100000000000001" customHeight="1" x14ac:dyDescent="0.25">
      <c r="A35" s="4">
        <v>26</v>
      </c>
      <c r="B35" s="4" t="s">
        <v>2439</v>
      </c>
      <c r="C35" s="5" t="s">
        <v>1811</v>
      </c>
      <c r="D35" s="5" t="s">
        <v>1812</v>
      </c>
      <c r="E35" s="7" t="s">
        <v>7</v>
      </c>
      <c r="F35" s="8"/>
      <c r="G35" s="8"/>
      <c r="H35" s="8"/>
      <c r="I35" s="8"/>
      <c r="J35" s="8"/>
      <c r="K35" s="8"/>
      <c r="L35" s="8"/>
      <c r="M35" s="8"/>
      <c r="N35" s="8"/>
      <c r="O35" s="8"/>
      <c r="P35" s="8"/>
      <c r="Q35" s="8"/>
      <c r="R35" s="8"/>
      <c r="S35" s="8"/>
      <c r="T35" s="8"/>
      <c r="U35" s="8"/>
      <c r="V35" s="8"/>
      <c r="W35" s="8"/>
      <c r="X35" s="8"/>
      <c r="Y35" s="8"/>
      <c r="Z35" s="8"/>
      <c r="AA35" s="8"/>
      <c r="AB35" s="8"/>
      <c r="AC35" s="8"/>
      <c r="AF35" s="38" t="s">
        <v>1813</v>
      </c>
      <c r="AG35" s="39" t="s">
        <v>1814</v>
      </c>
      <c r="AH35" s="38" t="s">
        <v>7</v>
      </c>
      <c r="AI35" s="39" t="s">
        <v>1718</v>
      </c>
      <c r="AJ35" s="40">
        <v>91.22</v>
      </c>
      <c r="AK35" s="40">
        <v>61.67</v>
      </c>
      <c r="AL35" s="40">
        <v>79.290000000000006</v>
      </c>
      <c r="AM35" s="40" t="s">
        <v>464</v>
      </c>
      <c r="AN35" s="41" t="s">
        <v>1815</v>
      </c>
      <c r="AP35" s="81" t="s">
        <v>2439</v>
      </c>
      <c r="AQ35" s="5" t="s">
        <v>1811</v>
      </c>
      <c r="AR35" s="5" t="s">
        <v>1812</v>
      </c>
      <c r="AS35" t="s">
        <v>2191</v>
      </c>
    </row>
    <row r="36" spans="1:45" ht="20.100000000000001" customHeight="1" x14ac:dyDescent="0.25">
      <c r="A36" s="4">
        <v>27</v>
      </c>
      <c r="B36" s="4" t="s">
        <v>2451</v>
      </c>
      <c r="C36" s="5" t="s">
        <v>1813</v>
      </c>
      <c r="D36" s="5" t="s">
        <v>1814</v>
      </c>
      <c r="E36" s="7" t="s">
        <v>7</v>
      </c>
      <c r="F36" s="8"/>
      <c r="G36" s="8"/>
      <c r="H36" s="8"/>
      <c r="I36" s="8"/>
      <c r="J36" s="8"/>
      <c r="K36" s="8"/>
      <c r="L36" s="8"/>
      <c r="M36" s="8"/>
      <c r="N36" s="8"/>
      <c r="O36" s="8"/>
      <c r="P36" s="8"/>
      <c r="Q36" s="8"/>
      <c r="R36" s="8"/>
      <c r="S36" s="8"/>
      <c r="T36" s="8"/>
      <c r="U36" s="8"/>
      <c r="V36" s="8"/>
      <c r="W36" s="8"/>
      <c r="X36" s="8"/>
      <c r="Y36" s="8"/>
      <c r="Z36" s="8"/>
      <c r="AA36" s="8"/>
      <c r="AB36" s="8"/>
      <c r="AC36" s="8"/>
      <c r="AF36" s="38" t="s">
        <v>1816</v>
      </c>
      <c r="AG36" s="39" t="s">
        <v>1817</v>
      </c>
      <c r="AH36" s="38" t="s">
        <v>7</v>
      </c>
      <c r="AI36" s="39" t="s">
        <v>1818</v>
      </c>
      <c r="AJ36" s="40" t="s">
        <v>1819</v>
      </c>
      <c r="AK36" s="40">
        <v>50</v>
      </c>
      <c r="AL36" s="40" t="s">
        <v>1820</v>
      </c>
      <c r="AM36" s="40" t="s">
        <v>465</v>
      </c>
      <c r="AN36" s="39" t="s">
        <v>1821</v>
      </c>
      <c r="AP36" s="81" t="s">
        <v>2451</v>
      </c>
      <c r="AQ36" s="5" t="s">
        <v>1813</v>
      </c>
      <c r="AR36" s="5" t="s">
        <v>1814</v>
      </c>
      <c r="AS36" t="s">
        <v>2192</v>
      </c>
    </row>
    <row r="37" spans="1:45" ht="20.100000000000001" customHeight="1" x14ac:dyDescent="0.25">
      <c r="A37" s="4">
        <v>28</v>
      </c>
      <c r="B37" s="4" t="s">
        <v>2455</v>
      </c>
      <c r="C37" s="5" t="s">
        <v>1816</v>
      </c>
      <c r="D37" s="6" t="s">
        <v>1817</v>
      </c>
      <c r="E37" s="7" t="s">
        <v>7</v>
      </c>
      <c r="F37" s="8"/>
      <c r="G37" s="8"/>
      <c r="H37" s="8"/>
      <c r="I37" s="8"/>
      <c r="J37" s="8"/>
      <c r="K37" s="8"/>
      <c r="L37" s="8"/>
      <c r="M37" s="8"/>
      <c r="N37" s="8"/>
      <c r="O37" s="8"/>
      <c r="P37" s="8"/>
      <c r="Q37" s="8"/>
      <c r="R37" s="8"/>
      <c r="S37" s="8"/>
      <c r="T37" s="8"/>
      <c r="U37" s="8"/>
      <c r="V37" s="8"/>
      <c r="W37" s="8"/>
      <c r="X37" s="8"/>
      <c r="Y37" s="8"/>
      <c r="Z37" s="8"/>
      <c r="AA37" s="8"/>
      <c r="AB37" s="8"/>
      <c r="AC37" s="8"/>
      <c r="AF37" s="38" t="s">
        <v>1822</v>
      </c>
      <c r="AG37" s="39" t="s">
        <v>1823</v>
      </c>
      <c r="AH37" s="38" t="s">
        <v>7</v>
      </c>
      <c r="AI37" s="39" t="s">
        <v>603</v>
      </c>
      <c r="AJ37" s="40">
        <v>90.91</v>
      </c>
      <c r="AK37" s="40" t="s">
        <v>516</v>
      </c>
      <c r="AL37" s="40" t="s">
        <v>1824</v>
      </c>
      <c r="AM37" s="40" t="s">
        <v>465</v>
      </c>
      <c r="AN37" s="39" t="s">
        <v>475</v>
      </c>
      <c r="AP37" s="81" t="s">
        <v>2455</v>
      </c>
      <c r="AQ37" s="5" t="s">
        <v>1816</v>
      </c>
      <c r="AR37" s="6" t="s">
        <v>1817</v>
      </c>
      <c r="AS37" t="s">
        <v>2193</v>
      </c>
    </row>
    <row r="38" spans="1:45" ht="20.100000000000001" customHeight="1" x14ac:dyDescent="0.25">
      <c r="A38" s="4">
        <v>29</v>
      </c>
      <c r="B38" s="4" t="s">
        <v>2484</v>
      </c>
      <c r="C38" s="5" t="s">
        <v>1825</v>
      </c>
      <c r="D38" s="6" t="s">
        <v>1826</v>
      </c>
      <c r="E38" s="7" t="s">
        <v>6</v>
      </c>
      <c r="F38" s="8"/>
      <c r="G38" s="8"/>
      <c r="H38" s="8"/>
      <c r="I38" s="8"/>
      <c r="J38" s="8"/>
      <c r="K38" s="8"/>
      <c r="L38" s="8"/>
      <c r="M38" s="8"/>
      <c r="N38" s="8"/>
      <c r="O38" s="8"/>
      <c r="P38" s="8"/>
      <c r="Q38" s="8"/>
      <c r="R38" s="8"/>
      <c r="S38" s="8"/>
      <c r="T38" s="8"/>
      <c r="U38" s="8"/>
      <c r="V38" s="8"/>
      <c r="W38" s="8"/>
      <c r="X38" s="8"/>
      <c r="Y38" s="8"/>
      <c r="Z38" s="8"/>
      <c r="AA38" s="8"/>
      <c r="AB38" s="8"/>
      <c r="AC38" s="8"/>
      <c r="AF38" s="38" t="s">
        <v>1825</v>
      </c>
      <c r="AG38" s="39" t="s">
        <v>1826</v>
      </c>
      <c r="AH38" s="38" t="s">
        <v>6</v>
      </c>
      <c r="AI38" s="39" t="s">
        <v>528</v>
      </c>
      <c r="AJ38" s="40">
        <v>89.97</v>
      </c>
      <c r="AK38" s="40" t="s">
        <v>1449</v>
      </c>
      <c r="AL38" s="40" t="s">
        <v>1827</v>
      </c>
      <c r="AM38" s="40" t="s">
        <v>465</v>
      </c>
      <c r="AN38" s="39" t="s">
        <v>1828</v>
      </c>
      <c r="AP38" s="81" t="s">
        <v>2484</v>
      </c>
      <c r="AQ38" s="5" t="s">
        <v>1825</v>
      </c>
      <c r="AR38" s="6" t="s">
        <v>1826</v>
      </c>
      <c r="AS38" t="s">
        <v>2194</v>
      </c>
    </row>
    <row r="39" spans="1:45" ht="20.100000000000001" customHeight="1" x14ac:dyDescent="0.25">
      <c r="A39" s="4">
        <v>30</v>
      </c>
      <c r="B39" s="4" t="s">
        <v>2507</v>
      </c>
      <c r="C39" s="5" t="s">
        <v>1829</v>
      </c>
      <c r="D39" s="6" t="s">
        <v>1830</v>
      </c>
      <c r="E39" s="7" t="s">
        <v>6</v>
      </c>
      <c r="F39" s="8"/>
      <c r="G39" s="8"/>
      <c r="H39" s="8"/>
      <c r="I39" s="8"/>
      <c r="J39" s="8"/>
      <c r="K39" s="8"/>
      <c r="L39" s="8"/>
      <c r="M39" s="8"/>
      <c r="N39" s="8"/>
      <c r="O39" s="8"/>
      <c r="P39" s="8"/>
      <c r="Q39" s="8"/>
      <c r="R39" s="8"/>
      <c r="S39" s="8"/>
      <c r="T39" s="8"/>
      <c r="U39" s="8"/>
      <c r="V39" s="8"/>
      <c r="W39" s="8"/>
      <c r="X39" s="8"/>
      <c r="Y39" s="8"/>
      <c r="Z39" s="8"/>
      <c r="AA39" s="8"/>
      <c r="AB39" s="8"/>
      <c r="AC39" s="8"/>
      <c r="AF39" s="38" t="s">
        <v>1829</v>
      </c>
      <c r="AG39" s="39" t="s">
        <v>1830</v>
      </c>
      <c r="AH39" s="38" t="s">
        <v>6</v>
      </c>
      <c r="AI39" s="39" t="s">
        <v>591</v>
      </c>
      <c r="AJ39" s="40">
        <v>87.94</v>
      </c>
      <c r="AK39" s="40">
        <v>73.33</v>
      </c>
      <c r="AL39" s="40">
        <v>82.1</v>
      </c>
      <c r="AM39" s="40" t="s">
        <v>465</v>
      </c>
      <c r="AN39" s="39" t="s">
        <v>475</v>
      </c>
      <c r="AP39" s="81" t="s">
        <v>2507</v>
      </c>
      <c r="AQ39" s="5" t="s">
        <v>1829</v>
      </c>
      <c r="AR39" s="6" t="s">
        <v>1830</v>
      </c>
      <c r="AS39" t="s">
        <v>2195</v>
      </c>
    </row>
    <row r="40" spans="1:45" ht="20.100000000000001" customHeight="1" x14ac:dyDescent="0.25">
      <c r="A40" s="4">
        <v>31</v>
      </c>
      <c r="B40" s="4" t="s">
        <v>2530</v>
      </c>
      <c r="C40" s="5" t="s">
        <v>1831</v>
      </c>
      <c r="D40" s="6" t="s">
        <v>1832</v>
      </c>
      <c r="E40" s="7" t="s">
        <v>6</v>
      </c>
      <c r="F40" s="8"/>
      <c r="G40" s="8"/>
      <c r="H40" s="8"/>
      <c r="I40" s="8"/>
      <c r="J40" s="8"/>
      <c r="K40" s="8"/>
      <c r="L40" s="8"/>
      <c r="M40" s="8"/>
      <c r="N40" s="8"/>
      <c r="O40" s="8"/>
      <c r="P40" s="8"/>
      <c r="Q40" s="8"/>
      <c r="R40" s="8"/>
      <c r="S40" s="8"/>
      <c r="T40" s="8"/>
      <c r="U40" s="8"/>
      <c r="V40" s="8"/>
      <c r="W40" s="8"/>
      <c r="X40" s="8"/>
      <c r="Y40" s="8"/>
      <c r="Z40" s="8"/>
      <c r="AA40" s="8"/>
      <c r="AB40" s="8"/>
      <c r="AC40" s="8"/>
      <c r="AF40" s="38" t="s">
        <v>1831</v>
      </c>
      <c r="AG40" s="39" t="s">
        <v>1832</v>
      </c>
      <c r="AH40" s="38" t="s">
        <v>6</v>
      </c>
      <c r="AI40" s="39" t="s">
        <v>494</v>
      </c>
      <c r="AJ40" s="40" t="s">
        <v>1751</v>
      </c>
      <c r="AK40" s="40" t="s">
        <v>537</v>
      </c>
      <c r="AL40" s="40" t="s">
        <v>1833</v>
      </c>
      <c r="AM40" s="40" t="s">
        <v>466</v>
      </c>
      <c r="AN40" s="39" t="s">
        <v>475</v>
      </c>
      <c r="AP40" s="81" t="s">
        <v>2530</v>
      </c>
      <c r="AQ40" s="5" t="s">
        <v>1831</v>
      </c>
      <c r="AR40" s="6" t="s">
        <v>1832</v>
      </c>
      <c r="AS40" t="s">
        <v>2196</v>
      </c>
    </row>
    <row r="41" spans="1:45" ht="20.100000000000001" customHeight="1" x14ac:dyDescent="0.25">
      <c r="A41" s="4">
        <v>32</v>
      </c>
      <c r="B41" s="4" t="s">
        <v>2533</v>
      </c>
      <c r="C41" s="5" t="s">
        <v>1834</v>
      </c>
      <c r="D41" s="6" t="s">
        <v>1835</v>
      </c>
      <c r="E41" s="7" t="s">
        <v>7</v>
      </c>
      <c r="F41" s="8"/>
      <c r="G41" s="8"/>
      <c r="H41" s="8"/>
      <c r="I41" s="8"/>
      <c r="J41" s="8"/>
      <c r="K41" s="8"/>
      <c r="L41" s="8"/>
      <c r="M41" s="8"/>
      <c r="N41" s="8"/>
      <c r="O41" s="8"/>
      <c r="P41" s="8"/>
      <c r="Q41" s="8"/>
      <c r="R41" s="8"/>
      <c r="S41" s="8"/>
      <c r="T41" s="8"/>
      <c r="U41" s="8"/>
      <c r="V41" s="8"/>
      <c r="W41" s="8"/>
      <c r="X41" s="8"/>
      <c r="Y41" s="8"/>
      <c r="Z41" s="8"/>
      <c r="AA41" s="8"/>
      <c r="AB41" s="8"/>
      <c r="AC41" s="8"/>
      <c r="AF41" s="38" t="s">
        <v>1834</v>
      </c>
      <c r="AG41" s="39" t="s">
        <v>1835</v>
      </c>
      <c r="AH41" s="38" t="s">
        <v>7</v>
      </c>
      <c r="AI41" s="39" t="s">
        <v>542</v>
      </c>
      <c r="AJ41" s="40" t="s">
        <v>676</v>
      </c>
      <c r="AK41" s="40" t="s">
        <v>502</v>
      </c>
      <c r="AL41" s="40" t="s">
        <v>1720</v>
      </c>
      <c r="AM41" s="40" t="s">
        <v>465</v>
      </c>
      <c r="AN41" s="39" t="s">
        <v>475</v>
      </c>
      <c r="AP41" s="81" t="s">
        <v>2533</v>
      </c>
      <c r="AQ41" s="5" t="s">
        <v>1834</v>
      </c>
      <c r="AR41" s="6" t="s">
        <v>1835</v>
      </c>
      <c r="AS41" t="s">
        <v>2197</v>
      </c>
    </row>
    <row r="42" spans="1:45" ht="20.100000000000001" customHeight="1" x14ac:dyDescent="0.25">
      <c r="A42" s="4">
        <v>33</v>
      </c>
      <c r="B42" s="4" t="s">
        <v>2564</v>
      </c>
      <c r="C42" s="5" t="s">
        <v>1836</v>
      </c>
      <c r="D42" s="6" t="s">
        <v>1837</v>
      </c>
      <c r="E42" s="7" t="s">
        <v>6</v>
      </c>
      <c r="F42" s="8"/>
      <c r="G42" s="8"/>
      <c r="H42" s="8"/>
      <c r="I42" s="8"/>
      <c r="J42" s="8"/>
      <c r="K42" s="8"/>
      <c r="L42" s="8"/>
      <c r="M42" s="8"/>
      <c r="N42" s="8"/>
      <c r="O42" s="8"/>
      <c r="P42" s="8"/>
      <c r="Q42" s="8"/>
      <c r="R42" s="8"/>
      <c r="S42" s="8"/>
      <c r="T42" s="8"/>
      <c r="U42" s="8"/>
      <c r="V42" s="8"/>
      <c r="W42" s="8"/>
      <c r="X42" s="8"/>
      <c r="Y42" s="8"/>
      <c r="Z42" s="8"/>
      <c r="AA42" s="8"/>
      <c r="AB42" s="8"/>
      <c r="AC42" s="8"/>
      <c r="AF42" s="38" t="s">
        <v>1836</v>
      </c>
      <c r="AG42" s="39" t="s">
        <v>1837</v>
      </c>
      <c r="AH42" s="38" t="s">
        <v>6</v>
      </c>
      <c r="AI42" s="39" t="s">
        <v>1838</v>
      </c>
      <c r="AJ42" s="40">
        <v>85.71</v>
      </c>
      <c r="AK42" s="40">
        <v>48.34</v>
      </c>
      <c r="AL42" s="40">
        <v>70.760000000000005</v>
      </c>
      <c r="AM42" s="40" t="s">
        <v>465</v>
      </c>
      <c r="AN42" s="39"/>
      <c r="AP42" s="81" t="s">
        <v>2564</v>
      </c>
      <c r="AQ42" s="5" t="s">
        <v>1836</v>
      </c>
      <c r="AR42" s="6" t="s">
        <v>1837</v>
      </c>
      <c r="AS42" t="s">
        <v>2198</v>
      </c>
    </row>
    <row r="43" spans="1:45" ht="20.100000000000001" customHeight="1" x14ac:dyDescent="0.25">
      <c r="A43" s="4">
        <v>34</v>
      </c>
      <c r="B43" s="4" t="s">
        <v>2571</v>
      </c>
      <c r="C43" s="5" t="s">
        <v>1839</v>
      </c>
      <c r="D43" s="6" t="s">
        <v>1840</v>
      </c>
      <c r="E43" s="7" t="s">
        <v>6</v>
      </c>
      <c r="F43" s="8"/>
      <c r="G43" s="8"/>
      <c r="H43" s="8"/>
      <c r="I43" s="8"/>
      <c r="J43" s="8"/>
      <c r="K43" s="8"/>
      <c r="L43" s="8"/>
      <c r="M43" s="8"/>
      <c r="N43" s="8"/>
      <c r="O43" s="8"/>
      <c r="P43" s="8"/>
      <c r="Q43" s="8"/>
      <c r="R43" s="8"/>
      <c r="S43" s="8"/>
      <c r="T43" s="8"/>
      <c r="U43" s="8"/>
      <c r="V43" s="8"/>
      <c r="W43" s="8"/>
      <c r="X43" s="8"/>
      <c r="Y43" s="8"/>
      <c r="Z43" s="8"/>
      <c r="AA43" s="8"/>
      <c r="AB43" s="8"/>
      <c r="AC43" s="8"/>
      <c r="AF43" s="38" t="s">
        <v>1839</v>
      </c>
      <c r="AG43" s="39" t="s">
        <v>1840</v>
      </c>
      <c r="AH43" s="38" t="s">
        <v>6</v>
      </c>
      <c r="AI43" s="39" t="s">
        <v>494</v>
      </c>
      <c r="AJ43" s="40">
        <v>87.69</v>
      </c>
      <c r="AK43" s="40">
        <v>63.34</v>
      </c>
      <c r="AL43" s="40">
        <v>77.95</v>
      </c>
      <c r="AM43" s="40" t="s">
        <v>465</v>
      </c>
      <c r="AN43" s="39" t="s">
        <v>475</v>
      </c>
      <c r="AP43" s="81" t="s">
        <v>2571</v>
      </c>
      <c r="AQ43" s="5" t="s">
        <v>1839</v>
      </c>
      <c r="AR43" s="6" t="s">
        <v>1840</v>
      </c>
      <c r="AS43" t="s">
        <v>2199</v>
      </c>
    </row>
    <row r="44" spans="1:45" ht="20.100000000000001" customHeight="1" x14ac:dyDescent="0.25">
      <c r="A44" s="4">
        <v>35</v>
      </c>
      <c r="B44" s="4" t="s">
        <v>2574</v>
      </c>
      <c r="C44" s="5" t="s">
        <v>1841</v>
      </c>
      <c r="D44" s="6" t="s">
        <v>1842</v>
      </c>
      <c r="E44" s="7" t="s">
        <v>6</v>
      </c>
      <c r="F44" s="8"/>
      <c r="G44" s="8"/>
      <c r="H44" s="8"/>
      <c r="I44" s="8"/>
      <c r="J44" s="8"/>
      <c r="K44" s="8"/>
      <c r="L44" s="8"/>
      <c r="M44" s="8"/>
      <c r="N44" s="8"/>
      <c r="O44" s="8"/>
      <c r="P44" s="8"/>
      <c r="Q44" s="8"/>
      <c r="R44" s="8"/>
      <c r="S44" s="8"/>
      <c r="T44" s="8"/>
      <c r="U44" s="8"/>
      <c r="V44" s="8"/>
      <c r="W44" s="8"/>
      <c r="X44" s="8"/>
      <c r="Y44" s="8"/>
      <c r="Z44" s="8"/>
      <c r="AA44" s="8"/>
      <c r="AB44" s="8"/>
      <c r="AC44" s="8"/>
      <c r="AF44" s="38" t="s">
        <v>1841</v>
      </c>
      <c r="AG44" s="39" t="s">
        <v>1842</v>
      </c>
      <c r="AH44" s="38" t="s">
        <v>6</v>
      </c>
      <c r="AI44" s="39" t="s">
        <v>484</v>
      </c>
      <c r="AJ44" s="40" t="s">
        <v>724</v>
      </c>
      <c r="AK44" s="40" t="s">
        <v>502</v>
      </c>
      <c r="AL44" s="40" t="s">
        <v>1843</v>
      </c>
      <c r="AM44" s="40" t="s">
        <v>465</v>
      </c>
      <c r="AN44" s="39"/>
      <c r="AP44" s="81" t="s">
        <v>2574</v>
      </c>
      <c r="AQ44" s="5" t="s">
        <v>1841</v>
      </c>
      <c r="AR44" s="6" t="s">
        <v>1842</v>
      </c>
      <c r="AS44" t="s">
        <v>2200</v>
      </c>
    </row>
    <row r="45" spans="1:45" ht="20.100000000000001" customHeight="1" x14ac:dyDescent="0.25">
      <c r="A45" s="4">
        <v>36</v>
      </c>
      <c r="B45" s="4" t="s">
        <v>2581</v>
      </c>
      <c r="C45" s="5" t="s">
        <v>1844</v>
      </c>
      <c r="D45" s="6" t="s">
        <v>1845</v>
      </c>
      <c r="E45" s="7" t="s">
        <v>6</v>
      </c>
      <c r="F45" s="8"/>
      <c r="G45" s="8"/>
      <c r="H45" s="8"/>
      <c r="I45" s="8"/>
      <c r="J45" s="8"/>
      <c r="K45" s="8"/>
      <c r="L45" s="8"/>
      <c r="M45" s="8"/>
      <c r="N45" s="8"/>
      <c r="O45" s="8"/>
      <c r="P45" s="8"/>
      <c r="Q45" s="8"/>
      <c r="R45" s="8"/>
      <c r="S45" s="8"/>
      <c r="T45" s="8"/>
      <c r="U45" s="8"/>
      <c r="V45" s="8"/>
      <c r="W45" s="8"/>
      <c r="X45" s="8"/>
      <c r="Y45" s="8"/>
      <c r="Z45" s="8"/>
      <c r="AA45" s="8"/>
      <c r="AB45" s="8"/>
      <c r="AC45" s="8"/>
      <c r="AF45" s="38" t="s">
        <v>1844</v>
      </c>
      <c r="AG45" s="39" t="s">
        <v>1845</v>
      </c>
      <c r="AH45" s="38" t="s">
        <v>6</v>
      </c>
      <c r="AI45" s="39" t="s">
        <v>484</v>
      </c>
      <c r="AJ45" s="40" t="s">
        <v>1846</v>
      </c>
      <c r="AK45" s="40" t="s">
        <v>605</v>
      </c>
      <c r="AL45" s="40" t="s">
        <v>1847</v>
      </c>
      <c r="AM45" s="40" t="s">
        <v>465</v>
      </c>
      <c r="AN45" s="39" t="s">
        <v>1848</v>
      </c>
      <c r="AP45" s="81" t="s">
        <v>2581</v>
      </c>
      <c r="AQ45" s="5" t="s">
        <v>1844</v>
      </c>
      <c r="AR45" s="6" t="s">
        <v>1845</v>
      </c>
      <c r="AS45" t="s">
        <v>2201</v>
      </c>
    </row>
    <row r="46" spans="1:45" x14ac:dyDescent="0.25">
      <c r="A46" s="58" t="s">
        <v>8</v>
      </c>
      <c r="B46" s="58"/>
      <c r="C46" s="58"/>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45" x14ac:dyDescent="0.25">
      <c r="A47" s="58" t="s">
        <v>10</v>
      </c>
      <c r="B47" s="58"/>
      <c r="C47" s="58"/>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45" x14ac:dyDescent="0.25">
      <c r="A48" s="1"/>
      <c r="B48" s="1"/>
      <c r="C48" s="2"/>
      <c r="E48">
        <f>E46+E47</f>
        <v>36</v>
      </c>
    </row>
  </sheetData>
  <sortState xmlns:xlrd2="http://schemas.microsoft.com/office/spreadsheetml/2017/richdata2" ref="C10:E45">
    <sortCondition ref="D10:D45"/>
  </sortState>
  <mergeCells count="16">
    <mergeCell ref="A46:C46"/>
    <mergeCell ref="A47:C47"/>
    <mergeCell ref="I7:S7"/>
    <mergeCell ref="T7:U7"/>
    <mergeCell ref="V7:AC7"/>
    <mergeCell ref="F8:AC8"/>
    <mergeCell ref="A1:AC1"/>
    <mergeCell ref="A2:AC2"/>
    <mergeCell ref="A3:AC3"/>
    <mergeCell ref="A4:AC4"/>
    <mergeCell ref="A7:A9"/>
    <mergeCell ref="C7:C9"/>
    <mergeCell ref="D7:D9"/>
    <mergeCell ref="E7:E9"/>
    <mergeCell ref="F7:H7"/>
    <mergeCell ref="B7:B9"/>
  </mergeCells>
  <conditionalFormatting sqref="D31:D36 D10:D15 D17:D18 D20:D29 D38:D42">
    <cfRule type="colorScale" priority="29">
      <colorScale>
        <cfvo type="min"/>
        <cfvo type="max"/>
        <color rgb="FFFCFCFF"/>
        <color rgb="FF63BE7B"/>
      </colorScale>
    </cfRule>
    <cfRule type="duplicateValues" dxfId="42" priority="30"/>
  </conditionalFormatting>
  <conditionalFormatting sqref="D19">
    <cfRule type="colorScale" priority="23">
      <colorScale>
        <cfvo type="min"/>
        <cfvo type="max"/>
        <color rgb="FFFCFCFF"/>
        <color rgb="FF63BE7B"/>
      </colorScale>
    </cfRule>
    <cfRule type="duplicateValues" dxfId="41" priority="24"/>
  </conditionalFormatting>
  <conditionalFormatting sqref="D30">
    <cfRule type="colorScale" priority="25">
      <colorScale>
        <cfvo type="min"/>
        <cfvo type="max"/>
        <color rgb="FFFCFCFF"/>
        <color rgb="FF63BE7B"/>
      </colorScale>
    </cfRule>
    <cfRule type="duplicateValues" dxfId="40" priority="26"/>
  </conditionalFormatting>
  <conditionalFormatting sqref="D37">
    <cfRule type="colorScale" priority="21">
      <colorScale>
        <cfvo type="min"/>
        <cfvo type="max"/>
        <color rgb="FFFCFCFF"/>
        <color rgb="FF63BE7B"/>
      </colorScale>
    </cfRule>
    <cfRule type="duplicateValues" dxfId="39" priority="22"/>
  </conditionalFormatting>
  <conditionalFormatting sqref="D43:D45">
    <cfRule type="colorScale" priority="27">
      <colorScale>
        <cfvo type="min"/>
        <cfvo type="max"/>
        <color rgb="FFFCFCFF"/>
        <color rgb="FF63BE7B"/>
      </colorScale>
    </cfRule>
    <cfRule type="duplicateValues" dxfId="38" priority="28"/>
  </conditionalFormatting>
  <conditionalFormatting sqref="AH10:AH17 AH30:AH35 AH19:AH28 AH37:AH42">
    <cfRule type="colorScale" priority="17">
      <colorScale>
        <cfvo type="min"/>
        <cfvo type="max"/>
        <color rgb="FFFCFCFF"/>
        <color rgb="FF63BE7B"/>
      </colorScale>
    </cfRule>
    <cfRule type="duplicateValues" dxfId="37" priority="18"/>
  </conditionalFormatting>
  <conditionalFormatting sqref="AH18">
    <cfRule type="colorScale" priority="13">
      <colorScale>
        <cfvo type="min"/>
        <cfvo type="max"/>
        <color rgb="FFFCFCFF"/>
        <color rgb="FF63BE7B"/>
      </colorScale>
    </cfRule>
    <cfRule type="duplicateValues" dxfId="36" priority="14"/>
  </conditionalFormatting>
  <conditionalFormatting sqref="AH29">
    <cfRule type="colorScale" priority="19">
      <colorScale>
        <cfvo type="min"/>
        <cfvo type="max"/>
        <color rgb="FFFCFCFF"/>
        <color rgb="FF63BE7B"/>
      </colorScale>
    </cfRule>
    <cfRule type="duplicateValues" dxfId="35" priority="20"/>
  </conditionalFormatting>
  <conditionalFormatting sqref="AH36">
    <cfRule type="colorScale" priority="11">
      <colorScale>
        <cfvo type="min"/>
        <cfvo type="max"/>
        <color rgb="FFFCFCFF"/>
        <color rgb="FF63BE7B"/>
      </colorScale>
    </cfRule>
    <cfRule type="duplicateValues" dxfId="34" priority="12"/>
  </conditionalFormatting>
  <conditionalFormatting sqref="AH43:AH45">
    <cfRule type="colorScale" priority="15">
      <colorScale>
        <cfvo type="min"/>
        <cfvo type="max"/>
        <color rgb="FFFCFCFF"/>
        <color rgb="FF63BE7B"/>
      </colorScale>
    </cfRule>
    <cfRule type="duplicateValues" dxfId="33" priority="16"/>
  </conditionalFormatting>
  <conditionalFormatting sqref="AR31:AR36 AR10:AR15 AR17:AR18 AR20:AR29 AR38:AR42">
    <cfRule type="colorScale" priority="9">
      <colorScale>
        <cfvo type="min"/>
        <cfvo type="max"/>
        <color rgb="FFFCFCFF"/>
        <color rgb="FF63BE7B"/>
      </colorScale>
    </cfRule>
    <cfRule type="duplicateValues" dxfId="4" priority="10"/>
  </conditionalFormatting>
  <conditionalFormatting sqref="AR19">
    <cfRule type="colorScale" priority="3">
      <colorScale>
        <cfvo type="min"/>
        <cfvo type="max"/>
        <color rgb="FFFCFCFF"/>
        <color rgb="FF63BE7B"/>
      </colorScale>
    </cfRule>
    <cfRule type="duplicateValues" dxfId="3" priority="4"/>
  </conditionalFormatting>
  <conditionalFormatting sqref="AR30">
    <cfRule type="colorScale" priority="5">
      <colorScale>
        <cfvo type="min"/>
        <cfvo type="max"/>
        <color rgb="FFFCFCFF"/>
        <color rgb="FF63BE7B"/>
      </colorScale>
    </cfRule>
    <cfRule type="duplicateValues" dxfId="2" priority="6"/>
  </conditionalFormatting>
  <conditionalFormatting sqref="AR37">
    <cfRule type="colorScale" priority="1">
      <colorScale>
        <cfvo type="min"/>
        <cfvo type="max"/>
        <color rgb="FFFCFCFF"/>
        <color rgb="FF63BE7B"/>
      </colorScale>
    </cfRule>
    <cfRule type="duplicateValues" dxfId="1" priority="2"/>
  </conditionalFormatting>
  <conditionalFormatting sqref="AR43:AR45">
    <cfRule type="colorScale" priority="7">
      <colorScale>
        <cfvo type="min"/>
        <cfvo type="max"/>
        <color rgb="FFFCFCFF"/>
        <color rgb="FF63BE7B"/>
      </colorScale>
    </cfRule>
    <cfRule type="duplicateValues" dxfId="0" priority="8"/>
  </conditionalFormatting>
  <pageMargins left="0.62992125984251968" right="0" top="0.35433070866141736" bottom="0.74803149606299213" header="0.31496062992125984" footer="0.31496062992125984"/>
  <pageSetup paperSize="5" scale="80"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51"/>
  <sheetViews>
    <sheetView topLeftCell="A25" workbookViewId="0">
      <selection activeCell="A37" sqref="A37:XFD37"/>
    </sheetView>
  </sheetViews>
  <sheetFormatPr defaultColWidth="3.28515625" defaultRowHeight="15" x14ac:dyDescent="0.25"/>
  <cols>
    <col min="1" max="1" width="4.5703125" bestFit="1" customWidth="1"/>
    <col min="2" max="2" width="6.140625" customWidth="1"/>
    <col min="3" max="3" width="11" bestFit="1" customWidth="1"/>
    <col min="4" max="4" width="30.85546875" customWidth="1"/>
    <col min="5" max="5" width="3.7109375" bestFit="1" customWidth="1"/>
    <col min="6" max="29" width="2.7109375" customWidth="1"/>
    <col min="33" max="48" width="0" hidden="1" customWidth="1"/>
    <col min="49" max="49" width="13" customWidth="1"/>
    <col min="50" max="50" width="12" customWidth="1"/>
    <col min="51" max="51" width="30.140625" customWidth="1"/>
    <col min="60" max="60" width="8.140625" customWidth="1"/>
    <col min="61" max="61" width="12.28515625" customWidth="1"/>
    <col min="62" max="62" width="13.140625" customWidth="1"/>
  </cols>
  <sheetData>
    <row r="1" spans="1:63" x14ac:dyDescent="0.25">
      <c r="AG1" s="15" t="s">
        <v>456</v>
      </c>
      <c r="AH1" t="s">
        <v>248</v>
      </c>
      <c r="AI1">
        <v>20527197</v>
      </c>
      <c r="AJ1" t="s">
        <v>249</v>
      </c>
      <c r="AK1" t="s">
        <v>7</v>
      </c>
      <c r="AL1">
        <v>10</v>
      </c>
    </row>
    <row r="2" spans="1:63" ht="21.75" customHeight="1" x14ac:dyDescent="0.25">
      <c r="AD2" s="1"/>
      <c r="AG2" s="15" t="s">
        <v>456</v>
      </c>
      <c r="AH2" t="s">
        <v>379</v>
      </c>
      <c r="AI2">
        <v>20527197</v>
      </c>
      <c r="AJ2" t="s">
        <v>380</v>
      </c>
      <c r="AK2" t="s">
        <v>7</v>
      </c>
      <c r="AL2">
        <v>10</v>
      </c>
    </row>
    <row r="3" spans="1:63" ht="20.25" customHeight="1" x14ac:dyDescent="0.25">
      <c r="AG3" s="14" t="s">
        <v>93</v>
      </c>
      <c r="AH3" t="s">
        <v>77</v>
      </c>
      <c r="AI3">
        <v>20537422</v>
      </c>
      <c r="AJ3" t="s">
        <v>78</v>
      </c>
      <c r="AK3" t="s">
        <v>7</v>
      </c>
      <c r="AL3">
        <v>10</v>
      </c>
    </row>
    <row r="4" spans="1:63" ht="21" customHeight="1" x14ac:dyDescent="0.35">
      <c r="A4" s="51" t="s">
        <v>468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G4" s="15" t="s">
        <v>456</v>
      </c>
      <c r="AH4" t="s">
        <v>407</v>
      </c>
      <c r="AI4">
        <v>20527180</v>
      </c>
      <c r="AJ4" t="s">
        <v>408</v>
      </c>
      <c r="AK4" t="s">
        <v>7</v>
      </c>
      <c r="AL4">
        <v>10</v>
      </c>
    </row>
    <row r="5" spans="1:63" x14ac:dyDescent="0.25">
      <c r="A5" s="1"/>
      <c r="B5" s="1"/>
      <c r="C5" s="2"/>
      <c r="P5" s="11"/>
      <c r="AG5" s="18" t="s">
        <v>237</v>
      </c>
      <c r="AH5" t="s">
        <v>149</v>
      </c>
      <c r="AI5">
        <v>20527197</v>
      </c>
      <c r="AJ5" t="s">
        <v>150</v>
      </c>
      <c r="AK5" t="s">
        <v>7</v>
      </c>
      <c r="AL5">
        <v>10</v>
      </c>
    </row>
    <row r="6" spans="1:63" ht="3.75" customHeight="1" x14ac:dyDescent="0.25">
      <c r="A6" s="1"/>
      <c r="B6" s="1"/>
      <c r="C6" s="2"/>
      <c r="AG6" s="18" t="s">
        <v>237</v>
      </c>
      <c r="AH6" t="s">
        <v>129</v>
      </c>
      <c r="AI6">
        <v>20583367</v>
      </c>
      <c r="AJ6" t="s">
        <v>130</v>
      </c>
      <c r="AK6" t="s">
        <v>6</v>
      </c>
      <c r="AL6">
        <v>10</v>
      </c>
    </row>
    <row r="7" spans="1:63" ht="15" customHeight="1" x14ac:dyDescent="0.25">
      <c r="A7" s="25" t="s">
        <v>0</v>
      </c>
      <c r="B7" s="53" t="s">
        <v>467</v>
      </c>
      <c r="C7" s="53" t="s">
        <v>1</v>
      </c>
      <c r="D7" s="74" t="s">
        <v>2</v>
      </c>
      <c r="E7" s="77" t="s">
        <v>3</v>
      </c>
      <c r="F7" s="26" t="s">
        <v>4</v>
      </c>
      <c r="G7" s="27"/>
      <c r="H7" s="28"/>
      <c r="I7" s="29" t="s">
        <v>1870</v>
      </c>
      <c r="J7" s="30"/>
      <c r="K7" s="30"/>
      <c r="L7" s="30"/>
      <c r="M7" s="30"/>
      <c r="N7" s="30"/>
      <c r="O7" s="30"/>
      <c r="P7" s="30"/>
      <c r="Q7" s="30"/>
      <c r="R7" s="30"/>
      <c r="S7" s="31"/>
      <c r="T7" s="29" t="s">
        <v>5</v>
      </c>
      <c r="U7" s="31"/>
      <c r="V7" s="32" t="s">
        <v>1871</v>
      </c>
      <c r="W7" s="33"/>
      <c r="X7" s="33"/>
      <c r="Y7" s="33"/>
      <c r="Z7" s="33"/>
      <c r="AA7" s="33"/>
      <c r="AB7" s="33"/>
      <c r="AC7" s="34"/>
      <c r="AG7" s="15" t="s">
        <v>456</v>
      </c>
      <c r="AH7" t="s">
        <v>429</v>
      </c>
      <c r="AI7">
        <v>20527180</v>
      </c>
      <c r="AJ7" t="s">
        <v>430</v>
      </c>
      <c r="AK7" t="s">
        <v>6</v>
      </c>
      <c r="AL7">
        <v>10</v>
      </c>
    </row>
    <row r="8" spans="1:63" ht="15" customHeight="1" x14ac:dyDescent="0.25">
      <c r="A8" s="35"/>
      <c r="B8" s="53"/>
      <c r="C8" s="53"/>
      <c r="D8" s="75"/>
      <c r="E8" s="78"/>
      <c r="F8" s="64" t="s">
        <v>1872</v>
      </c>
      <c r="G8" s="65"/>
      <c r="H8" s="65"/>
      <c r="I8" s="65"/>
      <c r="J8" s="65"/>
      <c r="K8" s="65"/>
      <c r="L8" s="65"/>
      <c r="M8" s="65"/>
      <c r="N8" s="65"/>
      <c r="O8" s="65"/>
      <c r="P8" s="65"/>
      <c r="Q8" s="65"/>
      <c r="R8" s="65"/>
      <c r="S8" s="65"/>
      <c r="T8" s="65"/>
      <c r="U8" s="65"/>
      <c r="V8" s="65"/>
      <c r="W8" s="65"/>
      <c r="X8" s="65"/>
      <c r="Y8" s="65"/>
      <c r="Z8" s="65"/>
      <c r="AA8" s="65"/>
      <c r="AB8" s="65"/>
      <c r="AC8" s="66"/>
      <c r="AG8" s="15" t="s">
        <v>456</v>
      </c>
      <c r="AH8" t="s">
        <v>331</v>
      </c>
      <c r="AI8">
        <v>20583363</v>
      </c>
      <c r="AJ8" t="s">
        <v>332</v>
      </c>
      <c r="AK8" t="s">
        <v>6</v>
      </c>
      <c r="AL8">
        <v>10</v>
      </c>
    </row>
    <row r="9" spans="1:63" ht="15" customHeight="1" x14ac:dyDescent="0.25">
      <c r="A9" s="36"/>
      <c r="B9" s="53"/>
      <c r="C9" s="53"/>
      <c r="D9" s="76"/>
      <c r="E9" s="79"/>
      <c r="F9" s="3"/>
      <c r="G9" s="3"/>
      <c r="H9" s="3"/>
      <c r="I9" s="3"/>
      <c r="J9" s="3"/>
      <c r="K9" s="3"/>
      <c r="L9" s="3"/>
      <c r="M9" s="3"/>
      <c r="N9" s="3"/>
      <c r="O9" s="3"/>
      <c r="P9" s="3"/>
      <c r="Q9" s="3"/>
      <c r="R9" s="3"/>
      <c r="S9" s="3"/>
      <c r="T9" s="3"/>
      <c r="U9" s="3"/>
      <c r="V9" s="3"/>
      <c r="W9" s="3"/>
      <c r="X9" s="3"/>
      <c r="Y9" s="3"/>
      <c r="Z9" s="3"/>
      <c r="AA9" s="3"/>
      <c r="AB9" s="3"/>
      <c r="AC9" s="3"/>
      <c r="AG9" s="14" t="s">
        <v>93</v>
      </c>
      <c r="AH9" t="s">
        <v>73</v>
      </c>
      <c r="AI9">
        <v>20527197</v>
      </c>
      <c r="AJ9" t="s">
        <v>74</v>
      </c>
      <c r="AK9" t="s">
        <v>6</v>
      </c>
      <c r="AL9">
        <v>10</v>
      </c>
    </row>
    <row r="10" spans="1:63" ht="20.100000000000001" customHeight="1" x14ac:dyDescent="0.25">
      <c r="A10" s="4">
        <v>1</v>
      </c>
      <c r="B10" s="4" t="s">
        <v>2244</v>
      </c>
      <c r="C10" s="38" t="s">
        <v>795</v>
      </c>
      <c r="D10" s="39" t="s">
        <v>796</v>
      </c>
      <c r="E10" s="7" t="s">
        <v>7</v>
      </c>
      <c r="F10" s="8"/>
      <c r="G10" s="8"/>
      <c r="H10" s="8"/>
      <c r="I10" s="8"/>
      <c r="J10" s="8"/>
      <c r="K10" s="8"/>
      <c r="L10" s="8"/>
      <c r="M10" s="8"/>
      <c r="N10" s="8"/>
      <c r="O10" s="8"/>
      <c r="P10" s="8"/>
      <c r="Q10" s="8"/>
      <c r="R10" s="8"/>
      <c r="S10" s="8"/>
      <c r="T10" s="8"/>
      <c r="U10" s="8"/>
      <c r="V10" s="8"/>
      <c r="W10" s="8"/>
      <c r="X10" s="8"/>
      <c r="Y10" s="8"/>
      <c r="Z10" s="8"/>
      <c r="AA10" s="8"/>
      <c r="AB10" s="8"/>
      <c r="AC10" s="8"/>
      <c r="AG10" s="18" t="s">
        <v>237</v>
      </c>
      <c r="AH10" t="s">
        <v>195</v>
      </c>
      <c r="AI10">
        <v>20527197</v>
      </c>
      <c r="AJ10" t="s">
        <v>196</v>
      </c>
      <c r="AK10" t="s">
        <v>6</v>
      </c>
      <c r="AL10">
        <v>10</v>
      </c>
      <c r="AO10" t="str">
        <f>UPPER(D10)</f>
        <v>AEZAR KHOIRON ABABYL</v>
      </c>
      <c r="AW10" s="38" t="s">
        <v>795</v>
      </c>
      <c r="AX10" s="39" t="s">
        <v>796</v>
      </c>
      <c r="AY10" s="38" t="s">
        <v>7</v>
      </c>
      <c r="AZ10" s="39" t="s">
        <v>797</v>
      </c>
      <c r="BA10" s="40" t="s">
        <v>798</v>
      </c>
      <c r="BB10" s="40" t="s">
        <v>720</v>
      </c>
      <c r="BC10" s="40" t="s">
        <v>799</v>
      </c>
      <c r="BD10" s="40" t="s">
        <v>466</v>
      </c>
      <c r="BE10" s="39" t="s">
        <v>589</v>
      </c>
      <c r="BH10" s="81" t="s">
        <v>2244</v>
      </c>
      <c r="BI10" s="38" t="s">
        <v>795</v>
      </c>
      <c r="BJ10" s="39" t="s">
        <v>796</v>
      </c>
      <c r="BK10" t="s">
        <v>1989</v>
      </c>
    </row>
    <row r="11" spans="1:63" ht="20.100000000000001" customHeight="1" x14ac:dyDescent="0.25">
      <c r="A11" s="4">
        <v>2</v>
      </c>
      <c r="B11" s="4" t="s">
        <v>2254</v>
      </c>
      <c r="C11" s="42" t="s">
        <v>1873</v>
      </c>
      <c r="D11" s="39" t="s">
        <v>800</v>
      </c>
      <c r="E11" s="7" t="s">
        <v>6</v>
      </c>
      <c r="F11" s="8"/>
      <c r="G11" s="8"/>
      <c r="H11" s="8"/>
      <c r="I11" s="8"/>
      <c r="J11" s="8"/>
      <c r="K11" s="8"/>
      <c r="L11" s="8"/>
      <c r="M11" s="8"/>
      <c r="N11" s="8"/>
      <c r="O11" s="8"/>
      <c r="P11" s="8"/>
      <c r="Q11" s="8"/>
      <c r="R11" s="8"/>
      <c r="S11" s="8"/>
      <c r="T11" s="8"/>
      <c r="U11" s="8"/>
      <c r="V11" s="8"/>
      <c r="W11" s="8"/>
      <c r="X11" s="8"/>
      <c r="Y11" s="8"/>
      <c r="Z11" s="8"/>
      <c r="AA11" s="8"/>
      <c r="AB11" s="8"/>
      <c r="AC11" s="8"/>
      <c r="AG11" s="18" t="s">
        <v>237</v>
      </c>
      <c r="AH11" t="s">
        <v>207</v>
      </c>
      <c r="AI11">
        <v>20527180</v>
      </c>
      <c r="AJ11" t="s">
        <v>208</v>
      </c>
      <c r="AK11" t="s">
        <v>7</v>
      </c>
      <c r="AL11">
        <v>10</v>
      </c>
      <c r="AO11" t="str">
        <f>UPPER(D11)</f>
        <v>AIRINI SETIAWATI</v>
      </c>
      <c r="AW11" s="38">
        <v>105671356</v>
      </c>
      <c r="AX11" s="39" t="s">
        <v>800</v>
      </c>
      <c r="AY11" s="38" t="s">
        <v>6</v>
      </c>
      <c r="AZ11" s="39" t="s">
        <v>801</v>
      </c>
      <c r="BA11" s="40" t="s">
        <v>802</v>
      </c>
      <c r="BB11" s="40" t="s">
        <v>480</v>
      </c>
      <c r="BC11" s="40" t="s">
        <v>803</v>
      </c>
      <c r="BD11" s="40" t="s">
        <v>466</v>
      </c>
      <c r="BE11" s="39" t="s">
        <v>804</v>
      </c>
      <c r="BH11" s="81" t="s">
        <v>2254</v>
      </c>
      <c r="BI11" s="42" t="s">
        <v>1873</v>
      </c>
      <c r="BJ11" s="39" t="s">
        <v>800</v>
      </c>
      <c r="BK11" t="s">
        <v>2203</v>
      </c>
    </row>
    <row r="12" spans="1:63" ht="20.100000000000001" customHeight="1" x14ac:dyDescent="0.25">
      <c r="A12" s="4">
        <v>3</v>
      </c>
      <c r="B12" s="4" t="s">
        <v>2268</v>
      </c>
      <c r="C12" s="38" t="s">
        <v>805</v>
      </c>
      <c r="D12" s="39" t="s">
        <v>806</v>
      </c>
      <c r="E12" s="7" t="s">
        <v>6</v>
      </c>
      <c r="F12" s="8"/>
      <c r="G12" s="8"/>
      <c r="H12" s="8"/>
      <c r="I12" s="8"/>
      <c r="J12" s="8"/>
      <c r="K12" s="8"/>
      <c r="L12" s="8"/>
      <c r="M12" s="8"/>
      <c r="N12" s="8"/>
      <c r="O12" s="8"/>
      <c r="P12" s="8"/>
      <c r="Q12" s="8"/>
      <c r="R12" s="8"/>
      <c r="S12" s="8"/>
      <c r="T12" s="8"/>
      <c r="U12" s="8"/>
      <c r="V12" s="8"/>
      <c r="W12" s="8"/>
      <c r="X12" s="8"/>
      <c r="Y12" s="8"/>
      <c r="Z12" s="8"/>
      <c r="AA12" s="8"/>
      <c r="AB12" s="8"/>
      <c r="AC12" s="8"/>
      <c r="AG12" s="15" t="s">
        <v>456</v>
      </c>
      <c r="AH12" t="s">
        <v>454</v>
      </c>
      <c r="AI12">
        <v>20527180</v>
      </c>
      <c r="AJ12" t="s">
        <v>455</v>
      </c>
      <c r="AK12" t="s">
        <v>7</v>
      </c>
      <c r="AL12">
        <v>10</v>
      </c>
      <c r="AO12" t="str">
        <f>UPPER(D12)</f>
        <v>ALVINA QIRANY</v>
      </c>
      <c r="AW12" s="38" t="s">
        <v>805</v>
      </c>
      <c r="AX12" s="39" t="s">
        <v>806</v>
      </c>
      <c r="AY12" s="38" t="s">
        <v>6</v>
      </c>
      <c r="AZ12" s="39" t="s">
        <v>807</v>
      </c>
      <c r="BA12" s="40">
        <v>89.74</v>
      </c>
      <c r="BB12" s="40">
        <v>66.67</v>
      </c>
      <c r="BC12" s="40">
        <v>80.510000000000005</v>
      </c>
      <c r="BD12" s="40" t="s">
        <v>466</v>
      </c>
      <c r="BE12" s="39" t="s">
        <v>475</v>
      </c>
      <c r="BH12" s="81" t="s">
        <v>2268</v>
      </c>
      <c r="BI12" s="38" t="s">
        <v>805</v>
      </c>
      <c r="BJ12" s="39" t="s">
        <v>806</v>
      </c>
      <c r="BK12" t="s">
        <v>2204</v>
      </c>
    </row>
    <row r="13" spans="1:63" ht="20.100000000000001" customHeight="1" x14ac:dyDescent="0.25">
      <c r="A13" s="4">
        <v>4</v>
      </c>
      <c r="B13" s="4" t="s">
        <v>2274</v>
      </c>
      <c r="C13" s="38" t="s">
        <v>808</v>
      </c>
      <c r="D13" s="39" t="s">
        <v>809</v>
      </c>
      <c r="E13" s="7" t="s">
        <v>6</v>
      </c>
      <c r="F13" s="8"/>
      <c r="G13" s="8"/>
      <c r="H13" s="8"/>
      <c r="I13" s="8"/>
      <c r="J13" s="8"/>
      <c r="K13" s="8"/>
      <c r="L13" s="8"/>
      <c r="M13" s="8"/>
      <c r="N13" s="8"/>
      <c r="O13" s="8"/>
      <c r="P13" s="8"/>
      <c r="Q13" s="8"/>
      <c r="R13" s="8"/>
      <c r="S13" s="8"/>
      <c r="T13" s="8"/>
      <c r="U13" s="8"/>
      <c r="V13" s="8"/>
      <c r="W13" s="8"/>
      <c r="X13" s="8"/>
      <c r="Y13" s="8"/>
      <c r="Z13" s="8"/>
      <c r="AA13" s="8"/>
      <c r="AB13" s="8"/>
      <c r="AC13" s="8"/>
      <c r="AG13" s="15" t="s">
        <v>456</v>
      </c>
      <c r="AH13" t="s">
        <v>238</v>
      </c>
      <c r="AI13">
        <v>20527187</v>
      </c>
      <c r="AJ13" t="s">
        <v>239</v>
      </c>
      <c r="AK13" t="s">
        <v>6</v>
      </c>
      <c r="AL13">
        <v>10</v>
      </c>
      <c r="AO13" t="str">
        <f>UPPER(D13)</f>
        <v>ANANDIA AISYAH PUTRI</v>
      </c>
      <c r="AW13" s="38" t="s">
        <v>808</v>
      </c>
      <c r="AX13" s="39" t="s">
        <v>809</v>
      </c>
      <c r="AY13" s="38" t="s">
        <v>6</v>
      </c>
      <c r="AZ13" s="39" t="s">
        <v>552</v>
      </c>
      <c r="BA13" s="40" t="s">
        <v>810</v>
      </c>
      <c r="BB13" s="40" t="s">
        <v>811</v>
      </c>
      <c r="BC13" s="40" t="s">
        <v>812</v>
      </c>
      <c r="BD13" s="40" t="s">
        <v>466</v>
      </c>
      <c r="BE13" s="39" t="s">
        <v>475</v>
      </c>
      <c r="BH13" s="81" t="s">
        <v>2274</v>
      </c>
      <c r="BI13" s="38" t="s">
        <v>808</v>
      </c>
      <c r="BJ13" s="39" t="s">
        <v>809</v>
      </c>
      <c r="BK13" t="s">
        <v>2205</v>
      </c>
    </row>
    <row r="14" spans="1:63" ht="20.100000000000001" customHeight="1" x14ac:dyDescent="0.25">
      <c r="A14" s="4">
        <v>5</v>
      </c>
      <c r="B14" s="4" t="s">
        <v>2275</v>
      </c>
      <c r="C14" s="38" t="s">
        <v>813</v>
      </c>
      <c r="D14" s="39" t="s">
        <v>814</v>
      </c>
      <c r="E14" s="7" t="s">
        <v>6</v>
      </c>
      <c r="F14" s="8"/>
      <c r="G14" s="8"/>
      <c r="H14" s="8"/>
      <c r="I14" s="8"/>
      <c r="J14" s="8"/>
      <c r="K14" s="8"/>
      <c r="L14" s="8"/>
      <c r="M14" s="8"/>
      <c r="N14" s="8"/>
      <c r="O14" s="8"/>
      <c r="P14" s="8"/>
      <c r="Q14" s="8"/>
      <c r="R14" s="8"/>
      <c r="S14" s="8"/>
      <c r="T14" s="8"/>
      <c r="U14" s="8"/>
      <c r="V14" s="8"/>
      <c r="W14" s="8"/>
      <c r="X14" s="8"/>
      <c r="Y14" s="8"/>
      <c r="Z14" s="8"/>
      <c r="AA14" s="8"/>
      <c r="AB14" s="8"/>
      <c r="AC14" s="8"/>
      <c r="AG14" s="18" t="s">
        <v>237</v>
      </c>
      <c r="AH14" t="s">
        <v>218</v>
      </c>
      <c r="AI14">
        <v>20566545</v>
      </c>
      <c r="AJ14" t="s">
        <v>219</v>
      </c>
      <c r="AK14" t="s">
        <v>6</v>
      </c>
      <c r="AL14">
        <v>10</v>
      </c>
      <c r="AO14" t="str">
        <f>UPPER('X-7'!D11)</f>
        <v>AISYAH QOTHRUN NADA</v>
      </c>
      <c r="AW14" s="38" t="s">
        <v>813</v>
      </c>
      <c r="AX14" s="39" t="s">
        <v>814</v>
      </c>
      <c r="AY14" s="38" t="s">
        <v>6</v>
      </c>
      <c r="AZ14" s="39" t="s">
        <v>494</v>
      </c>
      <c r="BA14" s="40">
        <v>89.8</v>
      </c>
      <c r="BB14" s="40">
        <v>66.67</v>
      </c>
      <c r="BC14" s="40">
        <v>80.55</v>
      </c>
      <c r="BD14" s="40" t="s">
        <v>466</v>
      </c>
      <c r="BE14" s="39" t="s">
        <v>475</v>
      </c>
      <c r="BH14" s="81" t="s">
        <v>2275</v>
      </c>
      <c r="BI14" s="38" t="s">
        <v>813</v>
      </c>
      <c r="BJ14" s="39" t="s">
        <v>814</v>
      </c>
      <c r="BK14" t="s">
        <v>2206</v>
      </c>
    </row>
    <row r="15" spans="1:63" ht="20.100000000000001" customHeight="1" x14ac:dyDescent="0.25">
      <c r="A15" s="4">
        <v>6</v>
      </c>
      <c r="B15" s="4" t="s">
        <v>2280</v>
      </c>
      <c r="C15" s="38" t="s">
        <v>815</v>
      </c>
      <c r="D15" s="39" t="s">
        <v>816</v>
      </c>
      <c r="E15" s="7" t="s">
        <v>6</v>
      </c>
      <c r="F15" s="8"/>
      <c r="G15" s="8"/>
      <c r="H15" s="8"/>
      <c r="I15" s="8"/>
      <c r="J15" s="8"/>
      <c r="K15" s="8"/>
      <c r="L15" s="8"/>
      <c r="M15" s="8"/>
      <c r="N15" s="8"/>
      <c r="O15" s="8"/>
      <c r="P15" s="8"/>
      <c r="Q15" s="8"/>
      <c r="R15" s="8"/>
      <c r="S15" s="8"/>
      <c r="T15" s="8"/>
      <c r="U15" s="8"/>
      <c r="V15" s="8"/>
      <c r="W15" s="8"/>
      <c r="X15" s="8"/>
      <c r="Y15" s="8"/>
      <c r="Z15" s="8"/>
      <c r="AA15" s="8"/>
      <c r="AB15" s="8"/>
      <c r="AC15" s="8"/>
      <c r="AG15" s="18" t="s">
        <v>237</v>
      </c>
      <c r="AH15" t="s">
        <v>176</v>
      </c>
      <c r="AI15">
        <v>20583363</v>
      </c>
      <c r="AJ15" t="s">
        <v>177</v>
      </c>
      <c r="AK15" t="s">
        <v>7</v>
      </c>
      <c r="AL15">
        <v>10</v>
      </c>
      <c r="AO15" t="str">
        <f t="shared" ref="AO15:AO37" si="0">UPPER(D15)</f>
        <v>AR RAIFA NAJWA DYMAILA P</v>
      </c>
      <c r="AW15" s="38" t="s">
        <v>815</v>
      </c>
      <c r="AX15" s="39" t="s">
        <v>816</v>
      </c>
      <c r="AY15" s="38" t="s">
        <v>6</v>
      </c>
      <c r="AZ15" s="39" t="s">
        <v>695</v>
      </c>
      <c r="BA15" s="40">
        <v>91.89</v>
      </c>
      <c r="BB15" s="40">
        <v>78.33</v>
      </c>
      <c r="BC15" s="40">
        <v>86.47</v>
      </c>
      <c r="BD15" s="40" t="s">
        <v>466</v>
      </c>
      <c r="BE15" s="39" t="s">
        <v>817</v>
      </c>
      <c r="BH15" s="81" t="s">
        <v>2280</v>
      </c>
      <c r="BI15" s="38" t="s">
        <v>815</v>
      </c>
      <c r="BJ15" s="39" t="s">
        <v>816</v>
      </c>
      <c r="BK15" t="s">
        <v>2207</v>
      </c>
    </row>
    <row r="16" spans="1:63" ht="20.100000000000001" customHeight="1" x14ac:dyDescent="0.25">
      <c r="A16" s="4">
        <v>7</v>
      </c>
      <c r="B16" s="4" t="s">
        <v>2282</v>
      </c>
      <c r="C16" s="42" t="s">
        <v>1874</v>
      </c>
      <c r="D16" s="39" t="s">
        <v>818</v>
      </c>
      <c r="E16" s="7" t="s">
        <v>6</v>
      </c>
      <c r="F16" s="8"/>
      <c r="G16" s="8"/>
      <c r="H16" s="8"/>
      <c r="I16" s="8"/>
      <c r="J16" s="8"/>
      <c r="K16" s="8"/>
      <c r="L16" s="8"/>
      <c r="M16" s="8"/>
      <c r="N16" s="8"/>
      <c r="O16" s="8"/>
      <c r="P16" s="8"/>
      <c r="Q16" s="8"/>
      <c r="R16" s="8"/>
      <c r="S16" s="8"/>
      <c r="T16" s="8"/>
      <c r="U16" s="8"/>
      <c r="V16" s="8"/>
      <c r="W16" s="8"/>
      <c r="X16" s="8"/>
      <c r="Y16" s="8"/>
      <c r="Z16" s="8"/>
      <c r="AA16" s="8"/>
      <c r="AB16" s="8"/>
      <c r="AC16" s="8"/>
      <c r="AG16" s="15" t="s">
        <v>456</v>
      </c>
      <c r="AH16" t="s">
        <v>268</v>
      </c>
      <c r="AI16">
        <v>20527197</v>
      </c>
      <c r="AJ16" t="s">
        <v>269</v>
      </c>
      <c r="AK16" t="s">
        <v>6</v>
      </c>
      <c r="AL16">
        <v>10</v>
      </c>
      <c r="AO16" t="str">
        <f t="shared" si="0"/>
        <v>ARINI HERISYA PUTRI</v>
      </c>
      <c r="AW16" s="38">
        <v>3118250022</v>
      </c>
      <c r="AX16" s="39" t="s">
        <v>818</v>
      </c>
      <c r="AY16" s="38" t="s">
        <v>6</v>
      </c>
      <c r="AZ16" s="39" t="s">
        <v>819</v>
      </c>
      <c r="BA16" s="40">
        <v>89.49</v>
      </c>
      <c r="BB16" s="40">
        <v>73.33</v>
      </c>
      <c r="BC16" s="40">
        <v>83.03</v>
      </c>
      <c r="BD16" s="40" t="s">
        <v>466</v>
      </c>
      <c r="BE16" s="39" t="s">
        <v>820</v>
      </c>
      <c r="BH16" s="81" t="s">
        <v>2282</v>
      </c>
      <c r="BI16" s="42" t="s">
        <v>1874</v>
      </c>
      <c r="BJ16" s="39" t="s">
        <v>818</v>
      </c>
      <c r="BK16" t="s">
        <v>2208</v>
      </c>
    </row>
    <row r="17" spans="1:63" ht="20.100000000000001" customHeight="1" x14ac:dyDescent="0.25">
      <c r="A17" s="4">
        <v>8</v>
      </c>
      <c r="B17" s="4" t="s">
        <v>2286</v>
      </c>
      <c r="C17" s="38" t="s">
        <v>821</v>
      </c>
      <c r="D17" s="39" t="s">
        <v>822</v>
      </c>
      <c r="E17" s="7" t="s">
        <v>6</v>
      </c>
      <c r="F17" s="8"/>
      <c r="G17" s="8"/>
      <c r="H17" s="8"/>
      <c r="I17" s="8"/>
      <c r="J17" s="8"/>
      <c r="K17" s="8"/>
      <c r="L17" s="8"/>
      <c r="M17" s="8"/>
      <c r="N17" s="8"/>
      <c r="O17" s="8"/>
      <c r="P17" s="8"/>
      <c r="Q17" s="8"/>
      <c r="R17" s="8"/>
      <c r="S17" s="8"/>
      <c r="T17" s="8"/>
      <c r="U17" s="8"/>
      <c r="V17" s="8"/>
      <c r="W17" s="8"/>
      <c r="X17" s="8"/>
      <c r="Y17" s="8"/>
      <c r="Z17" s="8"/>
      <c r="AA17" s="8"/>
      <c r="AB17" s="8"/>
      <c r="AC17" s="8"/>
      <c r="AG17" s="13" t="s">
        <v>40</v>
      </c>
      <c r="AH17" t="s">
        <v>14</v>
      </c>
      <c r="AI17">
        <v>20527169</v>
      </c>
      <c r="AJ17" t="s">
        <v>15</v>
      </c>
      <c r="AK17" t="s">
        <v>6</v>
      </c>
      <c r="AL17">
        <v>10</v>
      </c>
      <c r="AO17" t="str">
        <f t="shared" si="0"/>
        <v>ASSHIFA RAMADHANI PERMATA D</v>
      </c>
      <c r="AW17" s="38" t="s">
        <v>821</v>
      </c>
      <c r="AX17" s="39" t="s">
        <v>822</v>
      </c>
      <c r="AY17" s="38" t="s">
        <v>6</v>
      </c>
      <c r="AZ17" s="39" t="s">
        <v>603</v>
      </c>
      <c r="BA17" s="40">
        <v>87.23</v>
      </c>
      <c r="BB17" s="40">
        <v>53.33</v>
      </c>
      <c r="BC17" s="40">
        <v>73.67</v>
      </c>
      <c r="BD17" s="40" t="s">
        <v>466</v>
      </c>
      <c r="BE17" s="39" t="s">
        <v>525</v>
      </c>
      <c r="BH17" s="81" t="s">
        <v>2286</v>
      </c>
      <c r="BI17" s="38" t="s">
        <v>821</v>
      </c>
      <c r="BJ17" s="39" t="s">
        <v>822</v>
      </c>
      <c r="BK17" t="s">
        <v>2209</v>
      </c>
    </row>
    <row r="18" spans="1:63" ht="20.100000000000001" customHeight="1" x14ac:dyDescent="0.25">
      <c r="A18" s="4">
        <v>9</v>
      </c>
      <c r="B18" s="4" t="s">
        <v>2298</v>
      </c>
      <c r="C18" s="38" t="s">
        <v>823</v>
      </c>
      <c r="D18" s="39" t="s">
        <v>824</v>
      </c>
      <c r="E18" s="7" t="s">
        <v>6</v>
      </c>
      <c r="F18" s="8"/>
      <c r="G18" s="8"/>
      <c r="H18" s="8"/>
      <c r="I18" s="8"/>
      <c r="J18" s="8"/>
      <c r="K18" s="8"/>
      <c r="L18" s="8"/>
      <c r="M18" s="8"/>
      <c r="N18" s="8"/>
      <c r="O18" s="8"/>
      <c r="P18" s="8"/>
      <c r="Q18" s="8"/>
      <c r="R18" s="8"/>
      <c r="S18" s="8"/>
      <c r="T18" s="8"/>
      <c r="U18" s="8"/>
      <c r="V18" s="8"/>
      <c r="W18" s="8"/>
      <c r="X18" s="8"/>
      <c r="Y18" s="8"/>
      <c r="Z18" s="8"/>
      <c r="AA18" s="8"/>
      <c r="AB18" s="8"/>
      <c r="AC18" s="8"/>
      <c r="AG18" s="15" t="s">
        <v>456</v>
      </c>
      <c r="AH18" t="s">
        <v>439</v>
      </c>
      <c r="AI18">
        <v>20566545</v>
      </c>
      <c r="AJ18" t="s">
        <v>440</v>
      </c>
      <c r="AK18" t="s">
        <v>7</v>
      </c>
      <c r="AL18">
        <v>10</v>
      </c>
      <c r="AO18" t="str">
        <f t="shared" si="0"/>
        <v>AZMIRAJNI RAYYINA BAROROH</v>
      </c>
      <c r="AW18" s="38" t="s">
        <v>823</v>
      </c>
      <c r="AX18" s="39" t="s">
        <v>824</v>
      </c>
      <c r="AY18" s="38" t="s">
        <v>6</v>
      </c>
      <c r="AZ18" s="39" t="s">
        <v>825</v>
      </c>
      <c r="BA18" s="40" t="s">
        <v>826</v>
      </c>
      <c r="BB18" s="40" t="s">
        <v>636</v>
      </c>
      <c r="BC18" s="40" t="s">
        <v>827</v>
      </c>
      <c r="BD18" s="40" t="s">
        <v>466</v>
      </c>
      <c r="BE18" s="39" t="s">
        <v>475</v>
      </c>
      <c r="BH18" s="81" t="s">
        <v>2298</v>
      </c>
      <c r="BI18" s="38" t="s">
        <v>823</v>
      </c>
      <c r="BJ18" s="39" t="s">
        <v>824</v>
      </c>
      <c r="BK18" t="s">
        <v>2210</v>
      </c>
    </row>
    <row r="19" spans="1:63" ht="20.100000000000001" customHeight="1" x14ac:dyDescent="0.25">
      <c r="A19" s="4">
        <v>10</v>
      </c>
      <c r="B19" s="4" t="s">
        <v>2303</v>
      </c>
      <c r="C19" s="38" t="s">
        <v>828</v>
      </c>
      <c r="D19" s="39" t="s">
        <v>829</v>
      </c>
      <c r="E19" s="7" t="s">
        <v>6</v>
      </c>
      <c r="F19" s="8"/>
      <c r="G19" s="8"/>
      <c r="H19" s="8"/>
      <c r="I19" s="8"/>
      <c r="J19" s="8"/>
      <c r="K19" s="8"/>
      <c r="L19" s="8"/>
      <c r="M19" s="8"/>
      <c r="N19" s="8"/>
      <c r="O19" s="8"/>
      <c r="P19" s="8"/>
      <c r="Q19" s="8"/>
      <c r="R19" s="8"/>
      <c r="S19" s="8"/>
      <c r="T19" s="8"/>
      <c r="U19" s="8"/>
      <c r="V19" s="8"/>
      <c r="W19" s="8"/>
      <c r="X19" s="8"/>
      <c r="Y19" s="8"/>
      <c r="Z19" s="8"/>
      <c r="AA19" s="8"/>
      <c r="AB19" s="8"/>
      <c r="AC19" s="8"/>
      <c r="AG19" s="14" t="s">
        <v>93</v>
      </c>
      <c r="AH19" t="s">
        <v>91</v>
      </c>
      <c r="AI19">
        <v>20583363</v>
      </c>
      <c r="AJ19" t="s">
        <v>92</v>
      </c>
      <c r="AK19" t="s">
        <v>7</v>
      </c>
      <c r="AL19">
        <v>10</v>
      </c>
      <c r="AO19" t="str">
        <f t="shared" si="0"/>
        <v>BELLA TUSSYAFA RAMADHANI</v>
      </c>
      <c r="AW19" s="38" t="s">
        <v>828</v>
      </c>
      <c r="AX19" s="39" t="s">
        <v>829</v>
      </c>
      <c r="AY19" s="38" t="s">
        <v>6</v>
      </c>
      <c r="AZ19" s="39" t="s">
        <v>830</v>
      </c>
      <c r="BA19" s="40" t="s">
        <v>831</v>
      </c>
      <c r="BB19" s="40">
        <v>65</v>
      </c>
      <c r="BC19" s="40" t="s">
        <v>832</v>
      </c>
      <c r="BD19" s="40" t="s">
        <v>466</v>
      </c>
      <c r="BE19" s="39" t="s">
        <v>833</v>
      </c>
      <c r="BH19" s="81" t="s">
        <v>2303</v>
      </c>
      <c r="BI19" s="38" t="s">
        <v>828</v>
      </c>
      <c r="BJ19" s="39" t="s">
        <v>829</v>
      </c>
      <c r="BK19" t="s">
        <v>2211</v>
      </c>
    </row>
    <row r="20" spans="1:63" ht="20.100000000000001" customHeight="1" x14ac:dyDescent="0.25">
      <c r="A20" s="4">
        <v>11</v>
      </c>
      <c r="B20" s="4" t="s">
        <v>2308</v>
      </c>
      <c r="C20" s="38" t="s">
        <v>834</v>
      </c>
      <c r="D20" s="39" t="s">
        <v>835</v>
      </c>
      <c r="E20" s="7" t="s">
        <v>7</v>
      </c>
      <c r="F20" s="8"/>
      <c r="G20" s="8"/>
      <c r="H20" s="8"/>
      <c r="I20" s="8"/>
      <c r="J20" s="8"/>
      <c r="K20" s="8"/>
      <c r="L20" s="8"/>
      <c r="M20" s="8"/>
      <c r="N20" s="8"/>
      <c r="O20" s="8"/>
      <c r="P20" s="8"/>
      <c r="Q20" s="8"/>
      <c r="R20" s="8"/>
      <c r="S20" s="8"/>
      <c r="T20" s="8"/>
      <c r="U20" s="8"/>
      <c r="V20" s="8"/>
      <c r="W20" s="8"/>
      <c r="X20" s="8"/>
      <c r="Y20" s="8"/>
      <c r="Z20" s="8"/>
      <c r="AA20" s="8"/>
      <c r="AB20" s="8"/>
      <c r="AC20" s="8"/>
      <c r="AG20" s="18" t="s">
        <v>237</v>
      </c>
      <c r="AH20" t="s">
        <v>229</v>
      </c>
      <c r="AI20">
        <v>20527197</v>
      </c>
      <c r="AJ20" t="s">
        <v>230</v>
      </c>
      <c r="AK20" t="s">
        <v>7</v>
      </c>
      <c r="AL20">
        <v>10</v>
      </c>
      <c r="AO20" t="str">
        <f t="shared" si="0"/>
        <v>BILI SETYO WIDODO</v>
      </c>
      <c r="AW20" s="38" t="s">
        <v>834</v>
      </c>
      <c r="AX20" s="39" t="s">
        <v>835</v>
      </c>
      <c r="AY20" s="38" t="s">
        <v>7</v>
      </c>
      <c r="AZ20" s="39" t="s">
        <v>836</v>
      </c>
      <c r="BA20" s="40">
        <v>85.8</v>
      </c>
      <c r="BB20" s="40">
        <v>85</v>
      </c>
      <c r="BC20" s="40">
        <v>85.48</v>
      </c>
      <c r="BD20" s="40" t="s">
        <v>466</v>
      </c>
      <c r="BE20" s="39" t="s">
        <v>485</v>
      </c>
      <c r="BH20" s="81" t="s">
        <v>2308</v>
      </c>
      <c r="BI20" s="38" t="s">
        <v>834</v>
      </c>
      <c r="BJ20" s="39" t="s">
        <v>835</v>
      </c>
      <c r="BK20" t="s">
        <v>2212</v>
      </c>
    </row>
    <row r="21" spans="1:63" ht="20.100000000000001" customHeight="1" x14ac:dyDescent="0.25">
      <c r="A21" s="4">
        <v>12</v>
      </c>
      <c r="B21" s="4" t="s">
        <v>2338</v>
      </c>
      <c r="C21" s="38" t="s">
        <v>837</v>
      </c>
      <c r="D21" s="39" t="s">
        <v>838</v>
      </c>
      <c r="E21" s="7" t="s">
        <v>7</v>
      </c>
      <c r="F21" s="8"/>
      <c r="G21" s="8"/>
      <c r="H21" s="8"/>
      <c r="I21" s="8"/>
      <c r="J21" s="8"/>
      <c r="K21" s="8"/>
      <c r="L21" s="8"/>
      <c r="M21" s="8"/>
      <c r="N21" s="8"/>
      <c r="O21" s="8"/>
      <c r="P21" s="8"/>
      <c r="Q21" s="8"/>
      <c r="R21" s="8"/>
      <c r="S21" s="8"/>
      <c r="T21" s="8"/>
      <c r="U21" s="8"/>
      <c r="V21" s="8"/>
      <c r="W21" s="8"/>
      <c r="X21" s="8"/>
      <c r="Y21" s="8"/>
      <c r="Z21" s="8"/>
      <c r="AA21" s="8"/>
      <c r="AB21" s="8"/>
      <c r="AC21" s="8"/>
      <c r="AG21" s="15" t="s">
        <v>456</v>
      </c>
      <c r="AH21" t="s">
        <v>359</v>
      </c>
      <c r="AI21">
        <v>20527180</v>
      </c>
      <c r="AJ21" t="s">
        <v>360</v>
      </c>
      <c r="AK21" t="s">
        <v>7</v>
      </c>
      <c r="AL21">
        <v>10</v>
      </c>
      <c r="AO21" t="str">
        <f t="shared" si="0"/>
        <v>FAIZ RAFI ABDILLAH</v>
      </c>
      <c r="AW21" s="38" t="s">
        <v>837</v>
      </c>
      <c r="AX21" s="39" t="s">
        <v>838</v>
      </c>
      <c r="AY21" s="38" t="s">
        <v>7</v>
      </c>
      <c r="AZ21" s="39" t="s">
        <v>552</v>
      </c>
      <c r="BA21" s="40">
        <v>86.29</v>
      </c>
      <c r="BB21" s="40">
        <v>78.34</v>
      </c>
      <c r="BC21" s="40">
        <v>83.11</v>
      </c>
      <c r="BD21" s="40" t="s">
        <v>466</v>
      </c>
      <c r="BE21" s="39" t="s">
        <v>475</v>
      </c>
      <c r="BH21" s="81" t="s">
        <v>2338</v>
      </c>
      <c r="BI21" s="38" t="s">
        <v>837</v>
      </c>
      <c r="BJ21" s="39" t="s">
        <v>838</v>
      </c>
      <c r="BK21" t="s">
        <v>2213</v>
      </c>
    </row>
    <row r="22" spans="1:63" ht="20.100000000000001" customHeight="1" x14ac:dyDescent="0.25">
      <c r="A22" s="4">
        <v>13</v>
      </c>
      <c r="B22" s="4" t="s">
        <v>2342</v>
      </c>
      <c r="C22" s="38" t="s">
        <v>839</v>
      </c>
      <c r="D22" s="39" t="s">
        <v>840</v>
      </c>
      <c r="E22" s="7" t="s">
        <v>6</v>
      </c>
      <c r="F22" s="8"/>
      <c r="G22" s="8"/>
      <c r="H22" s="8"/>
      <c r="I22" s="8"/>
      <c r="J22" s="8"/>
      <c r="K22" s="8"/>
      <c r="L22" s="8"/>
      <c r="M22" s="8"/>
      <c r="N22" s="8"/>
      <c r="O22" s="8"/>
      <c r="P22" s="8"/>
      <c r="Q22" s="8"/>
      <c r="R22" s="8"/>
      <c r="S22" s="8"/>
      <c r="T22" s="8"/>
      <c r="U22" s="8"/>
      <c r="V22" s="8"/>
      <c r="W22" s="8"/>
      <c r="X22" s="8"/>
      <c r="Y22" s="8"/>
      <c r="Z22" s="8"/>
      <c r="AA22" s="8"/>
      <c r="AB22" s="8"/>
      <c r="AC22" s="8"/>
      <c r="AG22" s="15" t="s">
        <v>456</v>
      </c>
      <c r="AH22" t="s">
        <v>405</v>
      </c>
      <c r="AI22">
        <v>20527197</v>
      </c>
      <c r="AJ22" t="s">
        <v>406</v>
      </c>
      <c r="AK22" t="s">
        <v>6</v>
      </c>
      <c r="AL22">
        <v>10</v>
      </c>
      <c r="AO22" t="str">
        <f t="shared" si="0"/>
        <v>FARAH FAJRIYAH ISTNA HASYIM</v>
      </c>
      <c r="AW22" s="38" t="s">
        <v>839</v>
      </c>
      <c r="AX22" s="39" t="s">
        <v>840</v>
      </c>
      <c r="AY22" s="38" t="s">
        <v>6</v>
      </c>
      <c r="AZ22" s="39" t="s">
        <v>841</v>
      </c>
      <c r="BA22" s="40" t="s">
        <v>842</v>
      </c>
      <c r="BB22" s="40" t="s">
        <v>548</v>
      </c>
      <c r="BC22" s="40" t="s">
        <v>843</v>
      </c>
      <c r="BD22" s="40" t="s">
        <v>466</v>
      </c>
      <c r="BE22" s="39" t="s">
        <v>485</v>
      </c>
      <c r="BH22" s="81" t="s">
        <v>2342</v>
      </c>
      <c r="BI22" s="38" t="s">
        <v>839</v>
      </c>
      <c r="BJ22" s="39" t="s">
        <v>840</v>
      </c>
      <c r="BK22" t="s">
        <v>2214</v>
      </c>
    </row>
    <row r="23" spans="1:63" ht="20.100000000000001" customHeight="1" x14ac:dyDescent="0.25">
      <c r="A23" s="4">
        <v>14</v>
      </c>
      <c r="B23" s="4" t="s">
        <v>2357</v>
      </c>
      <c r="C23" s="38" t="s">
        <v>844</v>
      </c>
      <c r="D23" s="39" t="s">
        <v>845</v>
      </c>
      <c r="E23" s="7" t="s">
        <v>6</v>
      </c>
      <c r="F23" s="8"/>
      <c r="G23" s="8"/>
      <c r="H23" s="8"/>
      <c r="I23" s="8"/>
      <c r="J23" s="8"/>
      <c r="K23" s="8"/>
      <c r="L23" s="8"/>
      <c r="M23" s="8"/>
      <c r="N23" s="8"/>
      <c r="O23" s="8"/>
      <c r="P23" s="8"/>
      <c r="Q23" s="8"/>
      <c r="R23" s="8"/>
      <c r="S23" s="8"/>
      <c r="T23" s="8"/>
      <c r="U23" s="8"/>
      <c r="V23" s="8"/>
      <c r="W23" s="8"/>
      <c r="X23" s="8"/>
      <c r="Y23" s="8"/>
      <c r="Z23" s="8"/>
      <c r="AA23" s="8"/>
      <c r="AB23" s="8"/>
      <c r="AC23" s="8"/>
      <c r="AG23" s="17" t="s">
        <v>128</v>
      </c>
      <c r="AH23">
        <v>3082508031</v>
      </c>
      <c r="AI23">
        <v>20583367</v>
      </c>
      <c r="AJ23" t="s">
        <v>117</v>
      </c>
      <c r="AK23" t="s">
        <v>7</v>
      </c>
      <c r="AL23">
        <v>10</v>
      </c>
      <c r="AO23" t="str">
        <f t="shared" si="0"/>
        <v>FILZA YUSRIFA RIANA</v>
      </c>
      <c r="AW23" s="38" t="s">
        <v>844</v>
      </c>
      <c r="AX23" s="39" t="s">
        <v>845</v>
      </c>
      <c r="AY23" s="38" t="s">
        <v>6</v>
      </c>
      <c r="AZ23" s="39" t="s">
        <v>692</v>
      </c>
      <c r="BA23" s="40" t="s">
        <v>846</v>
      </c>
      <c r="BB23" s="46" t="s">
        <v>735</v>
      </c>
      <c r="BC23" s="40" t="s">
        <v>847</v>
      </c>
      <c r="BD23" s="40" t="s">
        <v>466</v>
      </c>
      <c r="BE23" s="39" t="s">
        <v>848</v>
      </c>
      <c r="BH23" s="81" t="s">
        <v>2357</v>
      </c>
      <c r="BI23" s="38" t="s">
        <v>844</v>
      </c>
      <c r="BJ23" s="39" t="s">
        <v>845</v>
      </c>
      <c r="BK23" t="s">
        <v>2215</v>
      </c>
    </row>
    <row r="24" spans="1:63" ht="20.100000000000001" customHeight="1" x14ac:dyDescent="0.25">
      <c r="A24" s="4">
        <v>15</v>
      </c>
      <c r="B24" s="4" t="s">
        <v>2362</v>
      </c>
      <c r="C24" s="38" t="s">
        <v>849</v>
      </c>
      <c r="D24" s="39" t="s">
        <v>850</v>
      </c>
      <c r="E24" s="7" t="s">
        <v>6</v>
      </c>
      <c r="F24" s="8"/>
      <c r="G24" s="8"/>
      <c r="H24" s="8"/>
      <c r="I24" s="8"/>
      <c r="J24" s="8"/>
      <c r="K24" s="8"/>
      <c r="L24" s="8"/>
      <c r="M24" s="8"/>
      <c r="N24" s="8"/>
      <c r="O24" s="8"/>
      <c r="P24" s="8"/>
      <c r="Q24" s="8"/>
      <c r="R24" s="8"/>
      <c r="S24" s="8"/>
      <c r="T24" s="8"/>
      <c r="U24" s="8"/>
      <c r="V24" s="8"/>
      <c r="W24" s="8"/>
      <c r="X24" s="8"/>
      <c r="Y24" s="8"/>
      <c r="Z24" s="8"/>
      <c r="AA24" s="8"/>
      <c r="AB24" s="8"/>
      <c r="AC24" s="8"/>
      <c r="AG24" s="15" t="s">
        <v>456</v>
      </c>
      <c r="AH24" t="s">
        <v>317</v>
      </c>
      <c r="AI24">
        <v>20527197</v>
      </c>
      <c r="AJ24" t="s">
        <v>318</v>
      </c>
      <c r="AK24" t="s">
        <v>7</v>
      </c>
      <c r="AL24">
        <v>10</v>
      </c>
      <c r="AO24" t="str">
        <f t="shared" si="0"/>
        <v>GENDIS DWI ANINDYA PUTRI</v>
      </c>
      <c r="AW24" s="38" t="s">
        <v>849</v>
      </c>
      <c r="AX24" s="39" t="s">
        <v>850</v>
      </c>
      <c r="AY24" s="38" t="s">
        <v>6</v>
      </c>
      <c r="AZ24" s="39" t="s">
        <v>851</v>
      </c>
      <c r="BA24" s="40" t="s">
        <v>852</v>
      </c>
      <c r="BB24" s="40">
        <v>61.67</v>
      </c>
      <c r="BC24" s="40">
        <v>77.23</v>
      </c>
      <c r="BD24" s="40" t="s">
        <v>466</v>
      </c>
      <c r="BE24" s="39" t="s">
        <v>475</v>
      </c>
      <c r="BH24" s="81" t="s">
        <v>2362</v>
      </c>
      <c r="BI24" s="38" t="s">
        <v>849</v>
      </c>
      <c r="BJ24" s="39" t="s">
        <v>850</v>
      </c>
      <c r="BK24" t="s">
        <v>2216</v>
      </c>
    </row>
    <row r="25" spans="1:63" ht="20.100000000000001" customHeight="1" x14ac:dyDescent="0.25">
      <c r="A25" s="4">
        <v>16</v>
      </c>
      <c r="B25" s="4" t="s">
        <v>2387</v>
      </c>
      <c r="C25" s="38" t="s">
        <v>853</v>
      </c>
      <c r="D25" s="39" t="s">
        <v>854</v>
      </c>
      <c r="E25" s="7" t="s">
        <v>6</v>
      </c>
      <c r="F25" s="8"/>
      <c r="G25" s="8"/>
      <c r="H25" s="8"/>
      <c r="I25" s="8"/>
      <c r="J25" s="8"/>
      <c r="K25" s="8"/>
      <c r="L25" s="8"/>
      <c r="M25" s="8"/>
      <c r="N25" s="8"/>
      <c r="O25" s="8"/>
      <c r="P25" s="8"/>
      <c r="Q25" s="8"/>
      <c r="R25" s="8"/>
      <c r="S25" s="8"/>
      <c r="T25" s="8"/>
      <c r="U25" s="8"/>
      <c r="V25" s="8"/>
      <c r="W25" s="8"/>
      <c r="X25" s="8"/>
      <c r="Y25" s="8"/>
      <c r="Z25" s="8"/>
      <c r="AA25" s="8"/>
      <c r="AB25" s="8"/>
      <c r="AC25" s="8"/>
      <c r="AG25" s="15" t="s">
        <v>456</v>
      </c>
      <c r="AH25" t="s">
        <v>343</v>
      </c>
      <c r="AI25">
        <v>20527180</v>
      </c>
      <c r="AJ25" t="s">
        <v>344</v>
      </c>
      <c r="AK25" t="s">
        <v>7</v>
      </c>
      <c r="AL25">
        <v>10</v>
      </c>
      <c r="AO25" t="str">
        <f t="shared" si="0"/>
        <v>JIHAN AL RINU</v>
      </c>
      <c r="AW25" s="38" t="s">
        <v>853</v>
      </c>
      <c r="AX25" s="39" t="s">
        <v>854</v>
      </c>
      <c r="AY25" s="38" t="s">
        <v>6</v>
      </c>
      <c r="AZ25" s="39" t="s">
        <v>855</v>
      </c>
      <c r="BA25" s="40">
        <v>85.6</v>
      </c>
      <c r="BB25" s="40">
        <v>56.67</v>
      </c>
      <c r="BC25" s="40">
        <v>74.03</v>
      </c>
      <c r="BD25" s="40" t="s">
        <v>466</v>
      </c>
      <c r="BE25" s="39" t="s">
        <v>856</v>
      </c>
      <c r="BH25" s="81" t="s">
        <v>2387</v>
      </c>
      <c r="BI25" s="38" t="s">
        <v>853</v>
      </c>
      <c r="BJ25" s="39" t="s">
        <v>854</v>
      </c>
      <c r="BK25" t="s">
        <v>2217</v>
      </c>
    </row>
    <row r="26" spans="1:63" ht="20.100000000000001" customHeight="1" x14ac:dyDescent="0.25">
      <c r="A26" s="4">
        <v>17</v>
      </c>
      <c r="B26" s="4" t="s">
        <v>2422</v>
      </c>
      <c r="C26" s="38" t="s">
        <v>857</v>
      </c>
      <c r="D26" s="39" t="s">
        <v>858</v>
      </c>
      <c r="E26" s="7" t="s">
        <v>7</v>
      </c>
      <c r="F26" s="8"/>
      <c r="G26" s="8"/>
      <c r="H26" s="8"/>
      <c r="I26" s="8"/>
      <c r="J26" s="8"/>
      <c r="K26" s="8"/>
      <c r="L26" s="8"/>
      <c r="M26" s="8"/>
      <c r="N26" s="8"/>
      <c r="O26" s="8"/>
      <c r="P26" s="8"/>
      <c r="Q26" s="8"/>
      <c r="R26" s="8"/>
      <c r="S26" s="8"/>
      <c r="T26" s="8"/>
      <c r="U26" s="8"/>
      <c r="V26" s="8"/>
      <c r="W26" s="8"/>
      <c r="X26" s="8"/>
      <c r="Y26" s="8"/>
      <c r="Z26" s="8"/>
      <c r="AA26" s="8"/>
      <c r="AB26" s="8"/>
      <c r="AC26" s="8"/>
      <c r="AG26" s="18" t="s">
        <v>237</v>
      </c>
      <c r="AH26" t="s">
        <v>151</v>
      </c>
      <c r="AI26">
        <v>20529925</v>
      </c>
      <c r="AJ26" t="s">
        <v>152</v>
      </c>
      <c r="AK26" t="s">
        <v>6</v>
      </c>
      <c r="AL26">
        <v>10</v>
      </c>
      <c r="AO26" t="str">
        <f t="shared" si="0"/>
        <v>MAULANA RAIHAN FIRMANSYAH</v>
      </c>
      <c r="AW26" s="38" t="s">
        <v>857</v>
      </c>
      <c r="AX26" s="39" t="s">
        <v>858</v>
      </c>
      <c r="AY26" s="38" t="s">
        <v>7</v>
      </c>
      <c r="AZ26" s="39" t="s">
        <v>859</v>
      </c>
      <c r="BA26" s="40">
        <v>89.05</v>
      </c>
      <c r="BB26" s="40">
        <v>80</v>
      </c>
      <c r="BC26" s="40">
        <v>85.43</v>
      </c>
      <c r="BD26" s="40" t="s">
        <v>466</v>
      </c>
      <c r="BE26" s="39" t="s">
        <v>475</v>
      </c>
      <c r="BH26" s="81" t="s">
        <v>2422</v>
      </c>
      <c r="BI26" s="38" t="s">
        <v>857</v>
      </c>
      <c r="BJ26" s="39" t="s">
        <v>858</v>
      </c>
      <c r="BK26" t="s">
        <v>2218</v>
      </c>
    </row>
    <row r="27" spans="1:63" ht="20.100000000000001" customHeight="1" x14ac:dyDescent="0.25">
      <c r="A27" s="4">
        <v>18</v>
      </c>
      <c r="B27" s="4" t="s">
        <v>2423</v>
      </c>
      <c r="C27" s="38" t="s">
        <v>860</v>
      </c>
      <c r="D27" s="39" t="s">
        <v>861</v>
      </c>
      <c r="E27" s="7" t="s">
        <v>6</v>
      </c>
      <c r="F27" s="8"/>
      <c r="G27" s="8"/>
      <c r="H27" s="8"/>
      <c r="I27" s="8"/>
      <c r="J27" s="8"/>
      <c r="K27" s="8"/>
      <c r="L27" s="8"/>
      <c r="M27" s="8"/>
      <c r="N27" s="8"/>
      <c r="O27" s="8"/>
      <c r="P27" s="8"/>
      <c r="Q27" s="8"/>
      <c r="R27" s="8"/>
      <c r="S27" s="8"/>
      <c r="T27" s="8"/>
      <c r="U27" s="8"/>
      <c r="V27" s="8"/>
      <c r="W27" s="8"/>
      <c r="X27" s="8"/>
      <c r="Y27" s="8"/>
      <c r="Z27" s="8"/>
      <c r="AA27" s="8"/>
      <c r="AB27" s="8"/>
      <c r="AC27" s="8"/>
      <c r="AG27" s="16" t="s">
        <v>56</v>
      </c>
      <c r="AH27" t="s">
        <v>50</v>
      </c>
      <c r="AI27">
        <v>20527169</v>
      </c>
      <c r="AJ27" t="s">
        <v>51</v>
      </c>
      <c r="AK27" t="s">
        <v>6</v>
      </c>
      <c r="AL27">
        <v>10</v>
      </c>
      <c r="AO27" t="str">
        <f t="shared" si="0"/>
        <v>MAULIDIA ARIFIN</v>
      </c>
      <c r="AW27" s="38" t="s">
        <v>860</v>
      </c>
      <c r="AX27" s="39" t="s">
        <v>861</v>
      </c>
      <c r="AY27" s="38" t="s">
        <v>6</v>
      </c>
      <c r="AZ27" s="39" t="s">
        <v>862</v>
      </c>
      <c r="BA27" s="40" t="s">
        <v>863</v>
      </c>
      <c r="BB27" s="40" t="s">
        <v>864</v>
      </c>
      <c r="BC27" s="40" t="s">
        <v>512</v>
      </c>
      <c r="BD27" s="40" t="s">
        <v>466</v>
      </c>
      <c r="BE27" s="39" t="s">
        <v>865</v>
      </c>
      <c r="BH27" s="81" t="s">
        <v>2423</v>
      </c>
      <c r="BI27" s="38" t="s">
        <v>860</v>
      </c>
      <c r="BJ27" s="39" t="s">
        <v>861</v>
      </c>
      <c r="BK27" t="s">
        <v>2219</v>
      </c>
    </row>
    <row r="28" spans="1:63" ht="20.100000000000001" customHeight="1" x14ac:dyDescent="0.25">
      <c r="A28" s="4">
        <v>19</v>
      </c>
      <c r="B28" s="4" t="s">
        <v>2425</v>
      </c>
      <c r="C28" s="38" t="s">
        <v>866</v>
      </c>
      <c r="D28" s="39" t="s">
        <v>867</v>
      </c>
      <c r="E28" s="7" t="s">
        <v>6</v>
      </c>
      <c r="F28" s="8"/>
      <c r="G28" s="8"/>
      <c r="H28" s="8"/>
      <c r="I28" s="8"/>
      <c r="J28" s="8"/>
      <c r="K28" s="8"/>
      <c r="L28" s="8"/>
      <c r="M28" s="8"/>
      <c r="N28" s="8"/>
      <c r="O28" s="8"/>
      <c r="P28" s="8"/>
      <c r="Q28" s="8"/>
      <c r="R28" s="8"/>
      <c r="S28" s="8"/>
      <c r="T28" s="8"/>
      <c r="U28" s="8"/>
      <c r="V28" s="8"/>
      <c r="W28" s="8"/>
      <c r="X28" s="8"/>
      <c r="Y28" s="8"/>
      <c r="Z28" s="8"/>
      <c r="AA28" s="8"/>
      <c r="AB28" s="8"/>
      <c r="AC28" s="8"/>
      <c r="AG28" s="15" t="s">
        <v>456</v>
      </c>
      <c r="AH28" t="s">
        <v>355</v>
      </c>
      <c r="AI28">
        <v>20527180</v>
      </c>
      <c r="AJ28" t="s">
        <v>356</v>
      </c>
      <c r="AK28" t="s">
        <v>6</v>
      </c>
      <c r="AL28">
        <v>10</v>
      </c>
      <c r="AO28" t="str">
        <f t="shared" si="0"/>
        <v>MAULIDZA JACINDA PUTRI S</v>
      </c>
      <c r="AW28" s="38" t="s">
        <v>866</v>
      </c>
      <c r="AX28" s="39" t="s">
        <v>867</v>
      </c>
      <c r="AY28" s="38" t="s">
        <v>6</v>
      </c>
      <c r="AZ28" s="39" t="s">
        <v>484</v>
      </c>
      <c r="BA28" s="40" t="s">
        <v>868</v>
      </c>
      <c r="BB28" s="40" t="s">
        <v>677</v>
      </c>
      <c r="BC28" s="40" t="s">
        <v>630</v>
      </c>
      <c r="BD28" s="40" t="s">
        <v>466</v>
      </c>
      <c r="BE28" s="39" t="s">
        <v>475</v>
      </c>
      <c r="BH28" s="81" t="s">
        <v>2425</v>
      </c>
      <c r="BI28" s="38" t="s">
        <v>866</v>
      </c>
      <c r="BJ28" s="39" t="s">
        <v>867</v>
      </c>
      <c r="BK28" t="s">
        <v>2220</v>
      </c>
    </row>
    <row r="29" spans="1:63" ht="20.100000000000001" customHeight="1" x14ac:dyDescent="0.25">
      <c r="A29" s="4">
        <v>20</v>
      </c>
      <c r="B29" s="4" t="s">
        <v>2431</v>
      </c>
      <c r="C29" s="38" t="s">
        <v>869</v>
      </c>
      <c r="D29" s="39" t="s">
        <v>870</v>
      </c>
      <c r="E29" s="7" t="s">
        <v>6</v>
      </c>
      <c r="F29" s="8"/>
      <c r="G29" s="8"/>
      <c r="H29" s="8"/>
      <c r="I29" s="8"/>
      <c r="J29" s="8"/>
      <c r="K29" s="8"/>
      <c r="L29" s="8"/>
      <c r="M29" s="8"/>
      <c r="N29" s="8"/>
      <c r="O29" s="8"/>
      <c r="P29" s="8"/>
      <c r="Q29" s="8"/>
      <c r="R29" s="8"/>
      <c r="S29" s="8"/>
      <c r="T29" s="8"/>
      <c r="U29" s="8"/>
      <c r="V29" s="8"/>
      <c r="W29" s="8"/>
      <c r="X29" s="8"/>
      <c r="Y29" s="8"/>
      <c r="Z29" s="8"/>
      <c r="AA29" s="8"/>
      <c r="AB29" s="8"/>
      <c r="AC29" s="8"/>
      <c r="AG29" s="15" t="s">
        <v>456</v>
      </c>
      <c r="AH29" t="s">
        <v>270</v>
      </c>
      <c r="AI29">
        <v>20527197</v>
      </c>
      <c r="AJ29" t="s">
        <v>271</v>
      </c>
      <c r="AK29" t="s">
        <v>7</v>
      </c>
      <c r="AL29">
        <v>10</v>
      </c>
      <c r="AO29" t="str">
        <f t="shared" si="0"/>
        <v>MELLISA AULYA DAMAYANTI</v>
      </c>
      <c r="AW29" s="38" t="s">
        <v>869</v>
      </c>
      <c r="AX29" s="39" t="s">
        <v>870</v>
      </c>
      <c r="AY29" s="38" t="s">
        <v>6</v>
      </c>
      <c r="AZ29" s="39" t="s">
        <v>494</v>
      </c>
      <c r="BA29" s="40">
        <v>87.86</v>
      </c>
      <c r="BB29" s="40">
        <v>65</v>
      </c>
      <c r="BC29" s="40">
        <v>78.72</v>
      </c>
      <c r="BD29" s="40" t="s">
        <v>466</v>
      </c>
      <c r="BE29" s="39" t="s">
        <v>475</v>
      </c>
      <c r="BH29" s="81" t="s">
        <v>2431</v>
      </c>
      <c r="BI29" s="38" t="s">
        <v>869</v>
      </c>
      <c r="BJ29" s="39" t="s">
        <v>870</v>
      </c>
      <c r="BK29" t="s">
        <v>2221</v>
      </c>
    </row>
    <row r="30" spans="1:63" ht="20.100000000000001" customHeight="1" x14ac:dyDescent="0.25">
      <c r="A30" s="4">
        <v>21</v>
      </c>
      <c r="B30" s="4" t="s">
        <v>2458</v>
      </c>
      <c r="C30" s="38" t="s">
        <v>871</v>
      </c>
      <c r="D30" s="39" t="s">
        <v>872</v>
      </c>
      <c r="E30" s="7" t="s">
        <v>7</v>
      </c>
      <c r="F30" s="8"/>
      <c r="G30" s="8"/>
      <c r="H30" s="8"/>
      <c r="I30" s="8"/>
      <c r="J30" s="8"/>
      <c r="K30" s="8"/>
      <c r="L30" s="8"/>
      <c r="M30" s="8"/>
      <c r="N30" s="8"/>
      <c r="O30" s="8"/>
      <c r="P30" s="8"/>
      <c r="Q30" s="8"/>
      <c r="R30" s="8"/>
      <c r="S30" s="8"/>
      <c r="T30" s="8"/>
      <c r="U30" s="8"/>
      <c r="V30" s="8"/>
      <c r="W30" s="8"/>
      <c r="X30" s="8"/>
      <c r="Y30" s="8"/>
      <c r="Z30" s="8"/>
      <c r="AA30" s="8"/>
      <c r="AB30" s="8"/>
      <c r="AC30" s="8"/>
      <c r="AG30" s="15" t="s">
        <v>456</v>
      </c>
      <c r="AH30">
        <v>3087463662</v>
      </c>
      <c r="AI30">
        <v>20583363</v>
      </c>
      <c r="AJ30" t="s">
        <v>292</v>
      </c>
      <c r="AK30" t="s">
        <v>7</v>
      </c>
      <c r="AL30">
        <v>10</v>
      </c>
      <c r="AO30" t="str">
        <f t="shared" si="0"/>
        <v>MOHAMMAD IQBAL FIRMANSYAH</v>
      </c>
      <c r="AW30" s="38" t="s">
        <v>871</v>
      </c>
      <c r="AX30" s="39" t="s">
        <v>872</v>
      </c>
      <c r="AY30" s="38" t="s">
        <v>7</v>
      </c>
      <c r="AZ30" s="39" t="s">
        <v>634</v>
      </c>
      <c r="BA30" s="40">
        <v>94.14</v>
      </c>
      <c r="BB30" s="40">
        <v>63.34</v>
      </c>
      <c r="BC30" s="40">
        <v>81.819999999999993</v>
      </c>
      <c r="BD30" s="40" t="s">
        <v>466</v>
      </c>
      <c r="BE30" s="39" t="s">
        <v>475</v>
      </c>
      <c r="BH30" s="81" t="s">
        <v>2458</v>
      </c>
      <c r="BI30" s="38" t="s">
        <v>871</v>
      </c>
      <c r="BJ30" s="39" t="s">
        <v>872</v>
      </c>
      <c r="BK30" t="s">
        <v>2222</v>
      </c>
    </row>
    <row r="31" spans="1:63" ht="20.100000000000001" customHeight="1" x14ac:dyDescent="0.25">
      <c r="A31" s="4">
        <v>22</v>
      </c>
      <c r="B31" s="4" t="s">
        <v>2460</v>
      </c>
      <c r="C31" s="38" t="s">
        <v>873</v>
      </c>
      <c r="D31" s="39" t="s">
        <v>874</v>
      </c>
      <c r="E31" s="7" t="s">
        <v>7</v>
      </c>
      <c r="F31" s="8"/>
      <c r="G31" s="8"/>
      <c r="H31" s="8"/>
      <c r="I31" s="8"/>
      <c r="J31" s="8"/>
      <c r="K31" s="8"/>
      <c r="L31" s="8"/>
      <c r="M31" s="8"/>
      <c r="N31" s="8"/>
      <c r="O31" s="8"/>
      <c r="P31" s="8"/>
      <c r="Q31" s="8"/>
      <c r="R31" s="8"/>
      <c r="S31" s="8"/>
      <c r="T31" s="8"/>
      <c r="U31" s="8"/>
      <c r="V31" s="8"/>
      <c r="W31" s="8"/>
      <c r="X31" s="8"/>
      <c r="Y31" s="8"/>
      <c r="Z31" s="8"/>
      <c r="AA31" s="8"/>
      <c r="AB31" s="8"/>
      <c r="AC31" s="8"/>
      <c r="AG31" s="15" t="s">
        <v>456</v>
      </c>
      <c r="AH31" t="s">
        <v>299</v>
      </c>
      <c r="AI31">
        <v>20527197</v>
      </c>
      <c r="AJ31" t="s">
        <v>300</v>
      </c>
      <c r="AK31" t="s">
        <v>6</v>
      </c>
      <c r="AL31">
        <v>10</v>
      </c>
      <c r="AO31" t="str">
        <f t="shared" si="0"/>
        <v>MOHAMMAD ZAKKY AFRIANSYAH</v>
      </c>
      <c r="AW31" s="38" t="s">
        <v>873</v>
      </c>
      <c r="AX31" s="39" t="s">
        <v>874</v>
      </c>
      <c r="AY31" s="38" t="s">
        <v>7</v>
      </c>
      <c r="AZ31" s="39" t="s">
        <v>875</v>
      </c>
      <c r="BA31" s="40" t="s">
        <v>876</v>
      </c>
      <c r="BB31" s="40" t="s">
        <v>877</v>
      </c>
      <c r="BC31" s="40" t="s">
        <v>878</v>
      </c>
      <c r="BD31" s="40" t="s">
        <v>466</v>
      </c>
      <c r="BE31" s="39" t="s">
        <v>485</v>
      </c>
      <c r="BH31" s="81" t="s">
        <v>2460</v>
      </c>
      <c r="BI31" s="38" t="s">
        <v>873</v>
      </c>
      <c r="BJ31" s="39" t="s">
        <v>874</v>
      </c>
      <c r="BK31" t="s">
        <v>2223</v>
      </c>
    </row>
    <row r="32" spans="1:63" ht="20.100000000000001" customHeight="1" x14ac:dyDescent="0.25">
      <c r="A32" s="4">
        <v>23</v>
      </c>
      <c r="B32" s="4" t="s">
        <v>2462</v>
      </c>
      <c r="C32" s="38" t="s">
        <v>879</v>
      </c>
      <c r="D32" s="39" t="s">
        <v>880</v>
      </c>
      <c r="E32" s="7" t="s">
        <v>7</v>
      </c>
      <c r="F32" s="8"/>
      <c r="G32" s="8"/>
      <c r="H32" s="8"/>
      <c r="I32" s="8"/>
      <c r="J32" s="8"/>
      <c r="K32" s="8"/>
      <c r="L32" s="8"/>
      <c r="M32" s="8"/>
      <c r="N32" s="8"/>
      <c r="O32" s="8"/>
      <c r="P32" s="8"/>
      <c r="Q32" s="8"/>
      <c r="R32" s="8"/>
      <c r="S32" s="8"/>
      <c r="T32" s="8"/>
      <c r="U32" s="8"/>
      <c r="V32" s="8"/>
      <c r="W32" s="8"/>
      <c r="X32" s="8"/>
      <c r="Y32" s="8"/>
      <c r="Z32" s="8"/>
      <c r="AA32" s="8"/>
      <c r="AB32" s="8"/>
      <c r="AC32" s="8"/>
      <c r="AG32" s="17" t="s">
        <v>128</v>
      </c>
      <c r="AH32" t="s">
        <v>99</v>
      </c>
      <c r="AI32">
        <v>20527197</v>
      </c>
      <c r="AJ32" t="s">
        <v>100</v>
      </c>
      <c r="AK32" t="s">
        <v>6</v>
      </c>
      <c r="AL32">
        <v>10</v>
      </c>
      <c r="AO32" t="str">
        <f t="shared" si="0"/>
        <v>MUH KAFIN AZKA FARIQUL HAQ</v>
      </c>
      <c r="AW32" s="38" t="s">
        <v>879</v>
      </c>
      <c r="AX32" s="39" t="s">
        <v>880</v>
      </c>
      <c r="AY32" s="38" t="s">
        <v>7</v>
      </c>
      <c r="AZ32" s="39" t="s">
        <v>494</v>
      </c>
      <c r="BA32" s="40">
        <v>88.23</v>
      </c>
      <c r="BB32" s="40">
        <v>81.67</v>
      </c>
      <c r="BC32" s="40">
        <v>85.61</v>
      </c>
      <c r="BD32" s="40" t="s">
        <v>466</v>
      </c>
      <c r="BE32" s="39" t="s">
        <v>475</v>
      </c>
      <c r="BH32" s="81" t="s">
        <v>2462</v>
      </c>
      <c r="BI32" s="38" t="s">
        <v>879</v>
      </c>
      <c r="BJ32" s="39" t="s">
        <v>880</v>
      </c>
      <c r="BK32" t="s">
        <v>2224</v>
      </c>
    </row>
    <row r="33" spans="1:63" ht="20.100000000000001" customHeight="1" x14ac:dyDescent="0.25">
      <c r="A33" s="4">
        <v>24</v>
      </c>
      <c r="B33" s="4" t="s">
        <v>2463</v>
      </c>
      <c r="C33" s="38" t="s">
        <v>881</v>
      </c>
      <c r="D33" s="39" t="s">
        <v>882</v>
      </c>
      <c r="E33" s="7" t="s">
        <v>7</v>
      </c>
      <c r="F33" s="8"/>
      <c r="G33" s="8"/>
      <c r="H33" s="8"/>
      <c r="I33" s="8"/>
      <c r="J33" s="8"/>
      <c r="K33" s="8"/>
      <c r="L33" s="8"/>
      <c r="M33" s="8"/>
      <c r="N33" s="8"/>
      <c r="O33" s="8"/>
      <c r="P33" s="8"/>
      <c r="Q33" s="8"/>
      <c r="R33" s="8"/>
      <c r="S33" s="8"/>
      <c r="T33" s="8"/>
      <c r="U33" s="8"/>
      <c r="V33" s="8"/>
      <c r="W33" s="8"/>
      <c r="X33" s="8"/>
      <c r="Y33" s="8"/>
      <c r="Z33" s="8"/>
      <c r="AA33" s="8"/>
      <c r="AB33" s="8"/>
      <c r="AC33" s="8"/>
      <c r="AG33" s="13" t="s">
        <v>40</v>
      </c>
      <c r="AH33" t="s">
        <v>30</v>
      </c>
      <c r="AI33">
        <v>20527180</v>
      </c>
      <c r="AJ33" t="s">
        <v>31</v>
      </c>
      <c r="AK33" t="s">
        <v>6</v>
      </c>
      <c r="AL33">
        <v>10</v>
      </c>
      <c r="AO33" t="str">
        <f t="shared" si="0"/>
        <v>MUHAMMAD ALFARABIL NUGRAHA</v>
      </c>
      <c r="AW33" s="38" t="s">
        <v>881</v>
      </c>
      <c r="AX33" s="39" t="s">
        <v>882</v>
      </c>
      <c r="AY33" s="38" t="s">
        <v>7</v>
      </c>
      <c r="AZ33" s="39" t="s">
        <v>494</v>
      </c>
      <c r="BA33" s="40">
        <v>84.31</v>
      </c>
      <c r="BB33" s="40">
        <v>66.67</v>
      </c>
      <c r="BC33" s="40">
        <v>77.25</v>
      </c>
      <c r="BD33" s="40" t="s">
        <v>466</v>
      </c>
      <c r="BE33" s="39" t="s">
        <v>475</v>
      </c>
      <c r="BH33" s="81" t="s">
        <v>2463</v>
      </c>
      <c r="BI33" s="38" t="s">
        <v>881</v>
      </c>
      <c r="BJ33" s="39" t="s">
        <v>882</v>
      </c>
      <c r="BK33" t="s">
        <v>2225</v>
      </c>
    </row>
    <row r="34" spans="1:63" ht="20.100000000000001" customHeight="1" x14ac:dyDescent="0.25">
      <c r="A34" s="4">
        <v>25</v>
      </c>
      <c r="B34" s="4" t="s">
        <v>2465</v>
      </c>
      <c r="C34" s="38" t="s">
        <v>883</v>
      </c>
      <c r="D34" s="39" t="s">
        <v>884</v>
      </c>
      <c r="E34" s="7" t="s">
        <v>7</v>
      </c>
      <c r="F34" s="8"/>
      <c r="G34" s="8"/>
      <c r="H34" s="8"/>
      <c r="I34" s="8"/>
      <c r="J34" s="8"/>
      <c r="K34" s="8"/>
      <c r="L34" s="8"/>
      <c r="M34" s="8"/>
      <c r="N34" s="8"/>
      <c r="O34" s="8"/>
      <c r="P34" s="8"/>
      <c r="Q34" s="8"/>
      <c r="R34" s="8"/>
      <c r="S34" s="8"/>
      <c r="T34" s="8"/>
      <c r="U34" s="8"/>
      <c r="V34" s="8"/>
      <c r="W34" s="8"/>
      <c r="X34" s="8"/>
      <c r="Y34" s="8"/>
      <c r="Z34" s="8"/>
      <c r="AA34" s="8"/>
      <c r="AB34" s="8"/>
      <c r="AC34" s="8"/>
      <c r="AG34" s="18" t="s">
        <v>237</v>
      </c>
      <c r="AH34" t="s">
        <v>172</v>
      </c>
      <c r="AI34">
        <v>20566545</v>
      </c>
      <c r="AJ34" t="s">
        <v>173</v>
      </c>
      <c r="AK34" t="s">
        <v>6</v>
      </c>
      <c r="AL34">
        <v>10</v>
      </c>
      <c r="AO34" t="str">
        <f t="shared" si="0"/>
        <v>MUHAMMAD AZRIEL AFIFI PRADANA</v>
      </c>
      <c r="AW34" s="38" t="s">
        <v>883</v>
      </c>
      <c r="AX34" s="39" t="s">
        <v>884</v>
      </c>
      <c r="AY34" s="38" t="s">
        <v>7</v>
      </c>
      <c r="AZ34" s="39" t="s">
        <v>807</v>
      </c>
      <c r="BA34" s="40">
        <v>80.89</v>
      </c>
      <c r="BB34" s="40">
        <v>61</v>
      </c>
      <c r="BC34" s="40">
        <v>72.83</v>
      </c>
      <c r="BD34" s="40" t="s">
        <v>461</v>
      </c>
      <c r="BE34" s="39" t="s">
        <v>485</v>
      </c>
      <c r="BH34" s="81" t="s">
        <v>2465</v>
      </c>
      <c r="BI34" s="38" t="s">
        <v>883</v>
      </c>
      <c r="BJ34" s="39" t="s">
        <v>884</v>
      </c>
      <c r="BK34" t="s">
        <v>2226</v>
      </c>
    </row>
    <row r="35" spans="1:63" ht="20.100000000000001" customHeight="1" x14ac:dyDescent="0.25">
      <c r="A35" s="4">
        <v>26</v>
      </c>
      <c r="B35" s="4" t="s">
        <v>2468</v>
      </c>
      <c r="C35" s="38" t="s">
        <v>885</v>
      </c>
      <c r="D35" s="39" t="s">
        <v>886</v>
      </c>
      <c r="E35" s="7" t="s">
        <v>7</v>
      </c>
      <c r="F35" s="8"/>
      <c r="G35" s="8"/>
      <c r="H35" s="8"/>
      <c r="I35" s="8"/>
      <c r="J35" s="8"/>
      <c r="K35" s="8"/>
      <c r="L35" s="8"/>
      <c r="M35" s="8"/>
      <c r="N35" s="8"/>
      <c r="O35" s="8"/>
      <c r="P35" s="8"/>
      <c r="Q35" s="8"/>
      <c r="R35" s="8"/>
      <c r="S35" s="8"/>
      <c r="T35" s="8"/>
      <c r="U35" s="8"/>
      <c r="V35" s="8"/>
      <c r="W35" s="8"/>
      <c r="X35" s="8"/>
      <c r="Y35" s="8"/>
      <c r="Z35" s="8"/>
      <c r="AA35" s="8"/>
      <c r="AB35" s="8"/>
      <c r="AC35" s="8"/>
      <c r="AG35" s="15" t="s">
        <v>456</v>
      </c>
      <c r="AH35" t="s">
        <v>391</v>
      </c>
      <c r="AI35">
        <v>20527197</v>
      </c>
      <c r="AJ35" t="s">
        <v>392</v>
      </c>
      <c r="AK35" t="s">
        <v>6</v>
      </c>
      <c r="AL35">
        <v>10</v>
      </c>
      <c r="AO35" t="str">
        <f t="shared" si="0"/>
        <v>MUHAMMAD RAFA NUR SETYAWAN</v>
      </c>
      <c r="AW35" s="38" t="s">
        <v>885</v>
      </c>
      <c r="AX35" s="39" t="s">
        <v>886</v>
      </c>
      <c r="AY35" s="38" t="s">
        <v>7</v>
      </c>
      <c r="AZ35" s="39" t="s">
        <v>887</v>
      </c>
      <c r="BA35" s="40" t="s">
        <v>888</v>
      </c>
      <c r="BB35" s="40" t="s">
        <v>512</v>
      </c>
      <c r="BC35" s="40" t="s">
        <v>889</v>
      </c>
      <c r="BD35" s="40" t="s">
        <v>466</v>
      </c>
      <c r="BE35" s="39" t="s">
        <v>589</v>
      </c>
      <c r="BH35" s="81" t="s">
        <v>2468</v>
      </c>
      <c r="BI35" s="38" t="s">
        <v>885</v>
      </c>
      <c r="BJ35" s="39" t="s">
        <v>886</v>
      </c>
      <c r="BK35" t="s">
        <v>2227</v>
      </c>
    </row>
    <row r="36" spans="1:63" ht="20.100000000000001" customHeight="1" x14ac:dyDescent="0.25">
      <c r="A36" s="4">
        <v>27</v>
      </c>
      <c r="B36" s="4" t="s">
        <v>2473</v>
      </c>
      <c r="C36" s="38" t="s">
        <v>890</v>
      </c>
      <c r="D36" s="39" t="s">
        <v>891</v>
      </c>
      <c r="E36" s="7" t="s">
        <v>7</v>
      </c>
      <c r="F36" s="8"/>
      <c r="G36" s="8"/>
      <c r="H36" s="8"/>
      <c r="I36" s="8"/>
      <c r="J36" s="8"/>
      <c r="K36" s="8"/>
      <c r="L36" s="8"/>
      <c r="M36" s="8"/>
      <c r="N36" s="8"/>
      <c r="O36" s="8"/>
      <c r="P36" s="8"/>
      <c r="Q36" s="8"/>
      <c r="R36" s="8"/>
      <c r="S36" s="8"/>
      <c r="T36" s="8"/>
      <c r="U36" s="8"/>
      <c r="V36" s="8"/>
      <c r="W36" s="8"/>
      <c r="X36" s="8"/>
      <c r="Y36" s="8"/>
      <c r="Z36" s="8"/>
      <c r="AA36" s="8"/>
      <c r="AB36" s="8"/>
      <c r="AC36" s="8"/>
      <c r="AO36" t="str">
        <f t="shared" si="0"/>
        <v>MUHAMMAD ZAKI ANWAR</v>
      </c>
      <c r="AW36" s="38" t="s">
        <v>890</v>
      </c>
      <c r="AX36" s="39" t="s">
        <v>891</v>
      </c>
      <c r="AY36" s="38" t="s">
        <v>7</v>
      </c>
      <c r="AZ36" s="39" t="s">
        <v>494</v>
      </c>
      <c r="BA36" s="40" t="s">
        <v>892</v>
      </c>
      <c r="BB36" s="40" t="s">
        <v>605</v>
      </c>
      <c r="BC36" s="40" t="s">
        <v>893</v>
      </c>
      <c r="BD36" s="40" t="s">
        <v>466</v>
      </c>
      <c r="BE36" s="39" t="s">
        <v>485</v>
      </c>
      <c r="BH36" s="81" t="s">
        <v>2473</v>
      </c>
      <c r="BI36" s="38" t="s">
        <v>890</v>
      </c>
      <c r="BJ36" s="39" t="s">
        <v>891</v>
      </c>
      <c r="BK36" t="s">
        <v>2228</v>
      </c>
    </row>
    <row r="37" spans="1:63" ht="20.100000000000001" customHeight="1" x14ac:dyDescent="0.25">
      <c r="A37" s="4">
        <v>28</v>
      </c>
      <c r="B37" s="4" t="s">
        <v>2491</v>
      </c>
      <c r="C37" s="38" t="s">
        <v>1161</v>
      </c>
      <c r="D37" s="39" t="s">
        <v>1162</v>
      </c>
      <c r="E37" s="7" t="s">
        <v>7</v>
      </c>
      <c r="F37" s="8"/>
      <c r="G37" s="8"/>
      <c r="H37" s="8"/>
      <c r="I37" s="8"/>
      <c r="J37" s="8"/>
      <c r="K37" s="8"/>
      <c r="L37" s="8"/>
      <c r="M37" s="8"/>
      <c r="N37" s="8"/>
      <c r="O37" s="8"/>
      <c r="P37" s="8"/>
      <c r="Q37" s="8"/>
      <c r="R37" s="8"/>
      <c r="S37" s="8"/>
      <c r="T37" s="8"/>
      <c r="U37" s="8"/>
      <c r="V37" s="8"/>
      <c r="W37" s="8"/>
      <c r="X37" s="8"/>
      <c r="Y37" s="8"/>
      <c r="Z37" s="8"/>
      <c r="AA37" s="8"/>
      <c r="AB37" s="8"/>
      <c r="AC37" s="8"/>
      <c r="AO37" t="str">
        <f t="shared" si="0"/>
        <v>NAZIL QYNAN ALHASAN</v>
      </c>
      <c r="AW37" s="38">
        <v>3112276191</v>
      </c>
      <c r="AX37" s="39" t="s">
        <v>894</v>
      </c>
      <c r="AY37" s="38" t="s">
        <v>7</v>
      </c>
      <c r="AZ37" s="39" t="s">
        <v>603</v>
      </c>
      <c r="BA37" s="40" t="s">
        <v>895</v>
      </c>
      <c r="BB37" s="40" t="s">
        <v>735</v>
      </c>
      <c r="BC37" s="40" t="s">
        <v>896</v>
      </c>
      <c r="BD37" s="40" t="s">
        <v>466</v>
      </c>
      <c r="BE37" s="39" t="s">
        <v>589</v>
      </c>
      <c r="BH37" s="81" t="s">
        <v>2491</v>
      </c>
      <c r="BI37" s="38" t="s">
        <v>1161</v>
      </c>
      <c r="BJ37" s="39" t="s">
        <v>1162</v>
      </c>
      <c r="BK37" t="s">
        <v>2229</v>
      </c>
    </row>
    <row r="38" spans="1:63" ht="20.100000000000001" customHeight="1" x14ac:dyDescent="0.25">
      <c r="A38" s="4">
        <v>29</v>
      </c>
      <c r="B38" s="4" t="s">
        <v>2505</v>
      </c>
      <c r="C38" s="38">
        <v>3112276191</v>
      </c>
      <c r="D38" s="39" t="s">
        <v>894</v>
      </c>
      <c r="E38" s="7" t="s">
        <v>7</v>
      </c>
      <c r="F38" s="8"/>
      <c r="G38" s="8"/>
      <c r="H38" s="8"/>
      <c r="I38" s="8"/>
      <c r="J38" s="8"/>
      <c r="K38" s="8"/>
      <c r="L38" s="8"/>
      <c r="M38" s="8"/>
      <c r="N38" s="8"/>
      <c r="O38" s="8"/>
      <c r="P38" s="8"/>
      <c r="Q38" s="8"/>
      <c r="R38" s="8"/>
      <c r="S38" s="8"/>
      <c r="T38" s="8"/>
      <c r="U38" s="8"/>
      <c r="V38" s="8"/>
      <c r="W38" s="8"/>
      <c r="X38" s="8"/>
      <c r="Y38" s="8"/>
      <c r="Z38" s="8"/>
      <c r="AA38" s="8"/>
      <c r="AB38" s="8"/>
      <c r="AC38" s="8"/>
      <c r="AO38" t="str">
        <f>UPPER('X-7'!D16)</f>
        <v>DAFFA NUR ZAKARIYYA</v>
      </c>
      <c r="AW38" s="38" t="s">
        <v>897</v>
      </c>
      <c r="AX38" s="39" t="s">
        <v>898</v>
      </c>
      <c r="AY38" s="38" t="s">
        <v>6</v>
      </c>
      <c r="AZ38" s="39" t="s">
        <v>494</v>
      </c>
      <c r="BA38" s="40" t="s">
        <v>899</v>
      </c>
      <c r="BB38" s="40" t="s">
        <v>548</v>
      </c>
      <c r="BC38" s="40" t="s">
        <v>776</v>
      </c>
      <c r="BD38" s="40" t="s">
        <v>466</v>
      </c>
      <c r="BE38" s="39" t="s">
        <v>475</v>
      </c>
      <c r="BH38" s="81" t="s">
        <v>2505</v>
      </c>
      <c r="BI38" s="42" t="s">
        <v>2237</v>
      </c>
      <c r="BJ38" s="39" t="s">
        <v>894</v>
      </c>
      <c r="BK38" t="s">
        <v>2230</v>
      </c>
    </row>
    <row r="39" spans="1:63" ht="20.100000000000001" customHeight="1" x14ac:dyDescent="0.25">
      <c r="A39" s="4">
        <v>30</v>
      </c>
      <c r="B39" s="4" t="s">
        <v>2525</v>
      </c>
      <c r="C39" s="38" t="s">
        <v>897</v>
      </c>
      <c r="D39" s="39" t="s">
        <v>898</v>
      </c>
      <c r="E39" s="7" t="s">
        <v>6</v>
      </c>
      <c r="F39" s="8"/>
      <c r="G39" s="8"/>
      <c r="H39" s="8"/>
      <c r="I39" s="8"/>
      <c r="J39" s="8"/>
      <c r="K39" s="8"/>
      <c r="L39" s="8"/>
      <c r="M39" s="8"/>
      <c r="N39" s="8"/>
      <c r="O39" s="8"/>
      <c r="P39" s="8"/>
      <c r="Q39" s="8"/>
      <c r="R39" s="8"/>
      <c r="S39" s="8"/>
      <c r="T39" s="8"/>
      <c r="U39" s="8"/>
      <c r="V39" s="8"/>
      <c r="W39" s="8"/>
      <c r="X39" s="8"/>
      <c r="Y39" s="8"/>
      <c r="Z39" s="8"/>
      <c r="AA39" s="8"/>
      <c r="AB39" s="8"/>
      <c r="AC39" s="8"/>
      <c r="AO39" t="str">
        <f t="shared" ref="AO39:AO44" si="1">UPPER(D39)</f>
        <v>RANITA FAYZA PUTRI HERMAWAN</v>
      </c>
      <c r="AW39" s="38" t="s">
        <v>900</v>
      </c>
      <c r="AX39" s="39" t="s">
        <v>901</v>
      </c>
      <c r="AY39" s="38" t="s">
        <v>6</v>
      </c>
      <c r="AZ39" s="39" t="s">
        <v>902</v>
      </c>
      <c r="BA39" s="40" t="s">
        <v>903</v>
      </c>
      <c r="BB39" s="40" t="s">
        <v>769</v>
      </c>
      <c r="BC39" s="40" t="s">
        <v>904</v>
      </c>
      <c r="BD39" s="40" t="s">
        <v>466</v>
      </c>
      <c r="BE39" s="39" t="s">
        <v>905</v>
      </c>
      <c r="BH39" s="81" t="s">
        <v>2525</v>
      </c>
      <c r="BI39" s="38" t="s">
        <v>897</v>
      </c>
      <c r="BJ39" s="39" t="s">
        <v>898</v>
      </c>
      <c r="BK39" t="s">
        <v>2231</v>
      </c>
    </row>
    <row r="40" spans="1:63" ht="20.100000000000001" customHeight="1" x14ac:dyDescent="0.25">
      <c r="A40" s="4">
        <v>31</v>
      </c>
      <c r="B40" s="4" t="s">
        <v>2545</v>
      </c>
      <c r="C40" s="38" t="s">
        <v>900</v>
      </c>
      <c r="D40" s="39" t="s">
        <v>901</v>
      </c>
      <c r="E40" s="7" t="s">
        <v>6</v>
      </c>
      <c r="F40" s="8"/>
      <c r="G40" s="8"/>
      <c r="H40" s="8"/>
      <c r="I40" s="8"/>
      <c r="J40" s="8"/>
      <c r="K40" s="8"/>
      <c r="L40" s="8"/>
      <c r="M40" s="8"/>
      <c r="N40" s="8"/>
      <c r="O40" s="8"/>
      <c r="P40" s="8"/>
      <c r="Q40" s="8"/>
      <c r="R40" s="8"/>
      <c r="S40" s="8"/>
      <c r="T40" s="8"/>
      <c r="U40" s="8"/>
      <c r="V40" s="8"/>
      <c r="W40" s="8"/>
      <c r="X40" s="8"/>
      <c r="Y40" s="8"/>
      <c r="Z40" s="8"/>
      <c r="AA40" s="8"/>
      <c r="AB40" s="8"/>
      <c r="AC40" s="8"/>
      <c r="AO40" t="str">
        <f t="shared" si="1"/>
        <v>SAFA RAMADANIATUS IZZA</v>
      </c>
      <c r="AW40" s="38" t="s">
        <v>906</v>
      </c>
      <c r="AX40" s="39" t="s">
        <v>907</v>
      </c>
      <c r="AY40" s="38" t="s">
        <v>6</v>
      </c>
      <c r="AZ40" s="39" t="s">
        <v>908</v>
      </c>
      <c r="BA40" s="40" t="s">
        <v>909</v>
      </c>
      <c r="BB40" s="40" t="s">
        <v>579</v>
      </c>
      <c r="BC40" s="40" t="s">
        <v>910</v>
      </c>
      <c r="BD40" s="40" t="s">
        <v>466</v>
      </c>
      <c r="BE40" s="39" t="s">
        <v>475</v>
      </c>
      <c r="BH40" s="81" t="s">
        <v>2545</v>
      </c>
      <c r="BI40" s="38" t="s">
        <v>900</v>
      </c>
      <c r="BJ40" s="39" t="s">
        <v>901</v>
      </c>
      <c r="BK40" t="s">
        <v>2202</v>
      </c>
    </row>
    <row r="41" spans="1:63" ht="20.100000000000001" customHeight="1" x14ac:dyDescent="0.25">
      <c r="A41" s="4">
        <v>32</v>
      </c>
      <c r="B41" s="4" t="s">
        <v>2548</v>
      </c>
      <c r="C41" s="38" t="s">
        <v>906</v>
      </c>
      <c r="D41" s="39" t="s">
        <v>907</v>
      </c>
      <c r="E41" s="7" t="s">
        <v>6</v>
      </c>
      <c r="F41" s="8"/>
      <c r="G41" s="8"/>
      <c r="H41" s="8"/>
      <c r="I41" s="8"/>
      <c r="J41" s="8"/>
      <c r="K41" s="8"/>
      <c r="L41" s="8"/>
      <c r="M41" s="8"/>
      <c r="N41" s="8"/>
      <c r="O41" s="8"/>
      <c r="P41" s="8"/>
      <c r="Q41" s="8"/>
      <c r="R41" s="8"/>
      <c r="S41" s="8"/>
      <c r="T41" s="8"/>
      <c r="U41" s="8"/>
      <c r="V41" s="8"/>
      <c r="W41" s="8"/>
      <c r="X41" s="8"/>
      <c r="Y41" s="8"/>
      <c r="Z41" s="8"/>
      <c r="AA41" s="8"/>
      <c r="AB41" s="8"/>
      <c r="AC41" s="8"/>
      <c r="AO41" t="str">
        <f t="shared" si="1"/>
        <v>SAHIRA AZHARIYA NAHDA SURURI</v>
      </c>
      <c r="AW41" s="38" t="s">
        <v>911</v>
      </c>
      <c r="AX41" s="39" t="s">
        <v>912</v>
      </c>
      <c r="AY41" s="38" t="s">
        <v>6</v>
      </c>
      <c r="AZ41" s="39" t="s">
        <v>484</v>
      </c>
      <c r="BA41" s="40" t="s">
        <v>913</v>
      </c>
      <c r="BB41" s="40" t="s">
        <v>561</v>
      </c>
      <c r="BC41" s="40" t="s">
        <v>914</v>
      </c>
      <c r="BD41" s="40" t="s">
        <v>466</v>
      </c>
      <c r="BE41" s="39" t="s">
        <v>475</v>
      </c>
      <c r="BH41" s="81" t="s">
        <v>2548</v>
      </c>
      <c r="BI41" s="38" t="s">
        <v>906</v>
      </c>
      <c r="BJ41" s="39" t="s">
        <v>907</v>
      </c>
      <c r="BK41" t="s">
        <v>2232</v>
      </c>
    </row>
    <row r="42" spans="1:63" ht="20.100000000000001" customHeight="1" x14ac:dyDescent="0.25">
      <c r="A42" s="4">
        <v>33</v>
      </c>
      <c r="B42" s="4" t="s">
        <v>2584</v>
      </c>
      <c r="C42" s="38" t="s">
        <v>911</v>
      </c>
      <c r="D42" s="39" t="s">
        <v>912</v>
      </c>
      <c r="E42" s="7" t="s">
        <v>6</v>
      </c>
      <c r="F42" s="8"/>
      <c r="G42" s="8"/>
      <c r="H42" s="8"/>
      <c r="I42" s="8"/>
      <c r="J42" s="8"/>
      <c r="K42" s="8"/>
      <c r="L42" s="8"/>
      <c r="M42" s="8"/>
      <c r="N42" s="8"/>
      <c r="O42" s="8"/>
      <c r="P42" s="8"/>
      <c r="Q42" s="8"/>
      <c r="R42" s="8"/>
      <c r="S42" s="8"/>
      <c r="T42" s="8"/>
      <c r="U42" s="8"/>
      <c r="V42" s="8"/>
      <c r="W42" s="8"/>
      <c r="X42" s="8"/>
      <c r="Y42" s="8"/>
      <c r="Z42" s="8"/>
      <c r="AA42" s="8"/>
      <c r="AB42" s="8"/>
      <c r="AC42" s="8"/>
      <c r="AO42" t="str">
        <f t="shared" si="1"/>
        <v>YASMINE KIRANA APRILIA</v>
      </c>
      <c r="AW42" s="38" t="s">
        <v>915</v>
      </c>
      <c r="AX42" s="39" t="s">
        <v>916</v>
      </c>
      <c r="AY42" s="38" t="s">
        <v>6</v>
      </c>
      <c r="AZ42" s="39" t="s">
        <v>917</v>
      </c>
      <c r="BA42" s="40" t="s">
        <v>918</v>
      </c>
      <c r="BB42" s="40" t="s">
        <v>480</v>
      </c>
      <c r="BC42" s="40" t="s">
        <v>919</v>
      </c>
      <c r="BD42" s="40" t="s">
        <v>466</v>
      </c>
      <c r="BE42" s="39" t="s">
        <v>475</v>
      </c>
      <c r="BH42" s="81" t="s">
        <v>2584</v>
      </c>
      <c r="BI42" s="38" t="s">
        <v>911</v>
      </c>
      <c r="BJ42" s="39" t="s">
        <v>912</v>
      </c>
      <c r="BK42" t="s">
        <v>2233</v>
      </c>
    </row>
    <row r="43" spans="1:63" ht="20.100000000000001" customHeight="1" x14ac:dyDescent="0.25">
      <c r="A43" s="4">
        <v>34</v>
      </c>
      <c r="B43" s="4" t="s">
        <v>2585</v>
      </c>
      <c r="C43" s="38" t="s">
        <v>915</v>
      </c>
      <c r="D43" s="39" t="s">
        <v>916</v>
      </c>
      <c r="E43" s="7" t="s">
        <v>6</v>
      </c>
      <c r="F43" s="8"/>
      <c r="G43" s="8"/>
      <c r="H43" s="8"/>
      <c r="I43" s="8"/>
      <c r="J43" s="8"/>
      <c r="K43" s="8"/>
      <c r="L43" s="8"/>
      <c r="M43" s="8"/>
      <c r="N43" s="8"/>
      <c r="O43" s="8"/>
      <c r="P43" s="8"/>
      <c r="Q43" s="8"/>
      <c r="R43" s="8"/>
      <c r="S43" s="8"/>
      <c r="T43" s="8"/>
      <c r="U43" s="8"/>
      <c r="V43" s="8"/>
      <c r="W43" s="8"/>
      <c r="X43" s="8"/>
      <c r="Y43" s="8"/>
      <c r="Z43" s="8"/>
      <c r="AA43" s="8"/>
      <c r="AB43" s="8"/>
      <c r="AC43" s="8"/>
      <c r="AO43" t="str">
        <f t="shared" si="1"/>
        <v>YOLANDA DWI PUTRI</v>
      </c>
      <c r="AW43" s="38" t="s">
        <v>920</v>
      </c>
      <c r="AX43" s="39" t="s">
        <v>921</v>
      </c>
      <c r="AY43" s="38" t="s">
        <v>6</v>
      </c>
      <c r="AZ43" s="39" t="s">
        <v>494</v>
      </c>
      <c r="BA43" s="40" t="s">
        <v>479</v>
      </c>
      <c r="BB43" s="40" t="s">
        <v>489</v>
      </c>
      <c r="BC43" s="40" t="s">
        <v>802</v>
      </c>
      <c r="BD43" s="40" t="s">
        <v>466</v>
      </c>
      <c r="BE43" s="39" t="s">
        <v>922</v>
      </c>
      <c r="BH43" s="81" t="s">
        <v>2585</v>
      </c>
      <c r="BI43" s="38" t="s">
        <v>915</v>
      </c>
      <c r="BJ43" s="39" t="s">
        <v>916</v>
      </c>
      <c r="BK43" t="s">
        <v>2234</v>
      </c>
    </row>
    <row r="44" spans="1:63" ht="20.100000000000001" customHeight="1" x14ac:dyDescent="0.25">
      <c r="A44" s="4">
        <v>35</v>
      </c>
      <c r="B44" s="4" t="s">
        <v>2590</v>
      </c>
      <c r="C44" s="38" t="s">
        <v>920</v>
      </c>
      <c r="D44" s="39" t="s">
        <v>921</v>
      </c>
      <c r="E44" s="7" t="s">
        <v>6</v>
      </c>
      <c r="F44" s="8"/>
      <c r="G44" s="8"/>
      <c r="H44" s="8"/>
      <c r="I44" s="8"/>
      <c r="J44" s="8"/>
      <c r="K44" s="8"/>
      <c r="L44" s="8"/>
      <c r="M44" s="8"/>
      <c r="N44" s="8"/>
      <c r="O44" s="8"/>
      <c r="P44" s="8"/>
      <c r="Q44" s="8"/>
      <c r="R44" s="8"/>
      <c r="S44" s="8"/>
      <c r="T44" s="8"/>
      <c r="U44" s="8"/>
      <c r="V44" s="8"/>
      <c r="W44" s="8"/>
      <c r="X44" s="8"/>
      <c r="Y44" s="8"/>
      <c r="Z44" s="8"/>
      <c r="AA44" s="8"/>
      <c r="AB44" s="8"/>
      <c r="AC44" s="8"/>
      <c r="AO44" t="str">
        <f t="shared" si="1"/>
        <v>ZAHRA KIRANI GUNAWAN</v>
      </c>
      <c r="AW44" s="38" t="s">
        <v>923</v>
      </c>
      <c r="AX44" s="39" t="s">
        <v>924</v>
      </c>
      <c r="AY44" s="38" t="s">
        <v>7</v>
      </c>
      <c r="AZ44" s="39" t="s">
        <v>925</v>
      </c>
      <c r="BA44" s="40" t="s">
        <v>926</v>
      </c>
      <c r="BB44" s="40" t="s">
        <v>599</v>
      </c>
      <c r="BC44" s="40" t="s">
        <v>927</v>
      </c>
      <c r="BD44" s="40" t="s">
        <v>466</v>
      </c>
      <c r="BE44" s="39" t="s">
        <v>475</v>
      </c>
      <c r="BH44" s="81" t="s">
        <v>2590</v>
      </c>
      <c r="BI44" s="38" t="s">
        <v>920</v>
      </c>
      <c r="BJ44" s="39" t="s">
        <v>921</v>
      </c>
      <c r="BK44" t="s">
        <v>2235</v>
      </c>
    </row>
    <row r="45" spans="1:63" ht="15.75" x14ac:dyDescent="0.25">
      <c r="A45" s="4">
        <v>36</v>
      </c>
      <c r="B45" s="4" t="s">
        <v>2592</v>
      </c>
      <c r="C45" s="38" t="s">
        <v>923</v>
      </c>
      <c r="D45" s="39" t="s">
        <v>924</v>
      </c>
      <c r="E45" s="7" t="s">
        <v>7</v>
      </c>
      <c r="F45" s="8"/>
      <c r="G45" s="8"/>
      <c r="H45" s="8"/>
      <c r="I45" s="8"/>
      <c r="J45" s="8"/>
      <c r="K45" s="8"/>
      <c r="L45" s="8"/>
      <c r="M45" s="8"/>
      <c r="N45" s="8"/>
      <c r="O45" s="8"/>
      <c r="P45" s="8"/>
      <c r="Q45" s="8"/>
      <c r="R45" s="8"/>
      <c r="S45" s="8"/>
      <c r="T45" s="8"/>
      <c r="U45" s="8"/>
      <c r="V45" s="8"/>
      <c r="W45" s="8"/>
      <c r="X45" s="8"/>
      <c r="Y45" s="8"/>
      <c r="Z45" s="8"/>
      <c r="AA45" s="8"/>
      <c r="AB45" s="8"/>
      <c r="AC45" s="8"/>
      <c r="AO45" t="e">
        <f>UPPER(#REF!)</f>
        <v>#REF!</v>
      </c>
      <c r="BH45" s="81" t="s">
        <v>2592</v>
      </c>
      <c r="BI45" s="38" t="s">
        <v>923</v>
      </c>
      <c r="BJ45" s="39" t="s">
        <v>924</v>
      </c>
      <c r="BK45" t="s">
        <v>2236</v>
      </c>
    </row>
    <row r="46" spans="1:63" ht="15" customHeight="1" x14ac:dyDescent="0.25">
      <c r="A46" s="29" t="s">
        <v>8</v>
      </c>
      <c r="B46" s="30"/>
      <c r="C46" s="31"/>
      <c r="D46" s="10" t="s">
        <v>9</v>
      </c>
      <c r="E46" s="8">
        <f>COUNTIFS($E$10:$E$45,"L")</f>
        <v>14</v>
      </c>
      <c r="F46" s="8"/>
      <c r="G46" s="8"/>
      <c r="H46" s="8"/>
      <c r="I46" s="8"/>
      <c r="J46" s="8"/>
      <c r="K46" s="8"/>
      <c r="L46" s="8"/>
      <c r="M46" s="8"/>
      <c r="N46" s="8"/>
      <c r="O46" s="8"/>
      <c r="P46" s="8"/>
      <c r="Q46" s="8"/>
      <c r="R46" s="8"/>
      <c r="S46" s="8"/>
      <c r="T46" s="8"/>
      <c r="U46" s="8"/>
      <c r="V46" s="8"/>
      <c r="W46" s="8"/>
      <c r="X46" s="8"/>
      <c r="Y46" s="8"/>
      <c r="Z46" s="8"/>
      <c r="AA46" s="8"/>
      <c r="AB46" s="8"/>
      <c r="AC46" s="8"/>
    </row>
    <row r="47" spans="1:63" ht="15" customHeight="1" x14ac:dyDescent="0.25">
      <c r="A47" s="29" t="s">
        <v>10</v>
      </c>
      <c r="B47" s="30"/>
      <c r="C47" s="31"/>
      <c r="D47" s="10" t="s">
        <v>11</v>
      </c>
      <c r="E47" s="8">
        <f>COUNTIFS($E$10:$E$45,"P")</f>
        <v>22</v>
      </c>
      <c r="F47" s="8"/>
      <c r="G47" s="8"/>
      <c r="H47" s="8"/>
      <c r="I47" s="8"/>
      <c r="J47" s="8"/>
      <c r="K47" s="8"/>
      <c r="L47" s="8"/>
      <c r="M47" s="8"/>
      <c r="N47" s="8"/>
      <c r="O47" s="8"/>
      <c r="P47" s="8"/>
      <c r="Q47" s="8"/>
      <c r="R47" s="8"/>
      <c r="S47" s="8"/>
      <c r="T47" s="8"/>
      <c r="U47" s="8"/>
      <c r="V47" s="8"/>
      <c r="W47" s="8"/>
      <c r="X47" s="8"/>
      <c r="Y47" s="8"/>
      <c r="Z47" s="8"/>
      <c r="AA47" s="8"/>
      <c r="AB47" s="8"/>
      <c r="AC47" s="8"/>
    </row>
    <row r="48" spans="1:63" x14ac:dyDescent="0.25">
      <c r="A48" s="1"/>
      <c r="B48" s="1"/>
      <c r="C48" s="2"/>
      <c r="E48">
        <f>E46+E47</f>
        <v>36</v>
      </c>
    </row>
    <row r="51" spans="30:30" x14ac:dyDescent="0.25">
      <c r="AD51" s="24"/>
    </row>
  </sheetData>
  <sortState xmlns:xlrd2="http://schemas.microsoft.com/office/spreadsheetml/2017/richdata2" ref="C24:E45">
    <sortCondition ref="D24:D45"/>
  </sortState>
  <mergeCells count="6">
    <mergeCell ref="A4:AC4"/>
    <mergeCell ref="B7:B9"/>
    <mergeCell ref="C7:C9"/>
    <mergeCell ref="D7:D9"/>
    <mergeCell ref="E7:E9"/>
    <mergeCell ref="F8:AC8"/>
  </mergeCells>
  <conditionalFormatting sqref="AY10:AY13 AY30:AY37 AY15:AY28 AY39:AY42">
    <cfRule type="colorScale" priority="7">
      <colorScale>
        <cfvo type="min"/>
        <cfvo type="max"/>
        <color rgb="FFFCFCFF"/>
        <color rgb="FF63BE7B"/>
      </colorScale>
    </cfRule>
    <cfRule type="duplicateValues" dxfId="32" priority="8"/>
  </conditionalFormatting>
  <conditionalFormatting sqref="AY14">
    <cfRule type="colorScale" priority="3">
      <colorScale>
        <cfvo type="min"/>
        <cfvo type="max"/>
        <color rgb="FFFCFCFF"/>
        <color rgb="FF63BE7B"/>
      </colorScale>
    </cfRule>
    <cfRule type="duplicateValues" dxfId="31" priority="4"/>
  </conditionalFormatting>
  <conditionalFormatting sqref="AY29">
    <cfRule type="colorScale" priority="9">
      <colorScale>
        <cfvo type="min"/>
        <cfvo type="max"/>
        <color rgb="FFFCFCFF"/>
        <color rgb="FF63BE7B"/>
      </colorScale>
    </cfRule>
    <cfRule type="duplicateValues" dxfId="30" priority="10"/>
  </conditionalFormatting>
  <conditionalFormatting sqref="AY38">
    <cfRule type="colorScale" priority="1">
      <colorScale>
        <cfvo type="min"/>
        <cfvo type="max"/>
        <color rgb="FFFCFCFF"/>
        <color rgb="FF63BE7B"/>
      </colorScale>
    </cfRule>
    <cfRule type="duplicateValues" dxfId="29" priority="2"/>
  </conditionalFormatting>
  <conditionalFormatting sqref="AY43:AY44">
    <cfRule type="colorScale" priority="5">
      <colorScale>
        <cfvo type="min"/>
        <cfvo type="max"/>
        <color rgb="FFFCFCFF"/>
        <color rgb="FF63BE7B"/>
      </colorScale>
    </cfRule>
    <cfRule type="duplicateValues" dxfId="28" priority="6"/>
  </conditionalFormatting>
  <pageMargins left="0.62992125984251968" right="0" top="0.27559055118110237" bottom="0.74803149606299213" header="0.31496062992125984" footer="0.31496062992125984"/>
  <pageSetup paperSize="5" scale="80"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2939-9D1C-469A-B68F-568A77B4E089}">
  <dimension ref="A2:G360"/>
  <sheetViews>
    <sheetView tabSelected="1" topLeftCell="A331" zoomScale="115" zoomScaleNormal="115" workbookViewId="0">
      <selection activeCell="J344" sqref="J344"/>
    </sheetView>
  </sheetViews>
  <sheetFormatPr defaultRowHeight="15" x14ac:dyDescent="0.25"/>
  <cols>
    <col min="3" max="3" width="12.85546875" customWidth="1"/>
    <col min="4" max="4" width="21.140625" customWidth="1"/>
  </cols>
  <sheetData>
    <row r="2" spans="1:7" x14ac:dyDescent="0.25">
      <c r="A2">
        <v>1</v>
      </c>
      <c r="B2" s="81" t="s">
        <v>2246</v>
      </c>
      <c r="C2" s="38" t="s">
        <v>469</v>
      </c>
      <c r="D2" s="39" t="s">
        <v>470</v>
      </c>
      <c r="E2" t="s">
        <v>1902</v>
      </c>
      <c r="G2" s="81" t="s">
        <v>2238</v>
      </c>
    </row>
    <row r="3" spans="1:7" x14ac:dyDescent="0.25">
      <c r="A3">
        <v>2</v>
      </c>
      <c r="B3" s="81" t="s">
        <v>2258</v>
      </c>
      <c r="C3" s="38" t="s">
        <v>476</v>
      </c>
      <c r="D3" s="39" t="s">
        <v>477</v>
      </c>
      <c r="E3" t="s">
        <v>1903</v>
      </c>
      <c r="G3" s="81" t="s">
        <v>2239</v>
      </c>
    </row>
    <row r="4" spans="1:7" x14ac:dyDescent="0.25">
      <c r="A4">
        <v>3</v>
      </c>
      <c r="B4" s="81" t="s">
        <v>2263</v>
      </c>
      <c r="C4" s="38" t="s">
        <v>482</v>
      </c>
      <c r="D4" s="39" t="s">
        <v>483</v>
      </c>
      <c r="E4" t="s">
        <v>1904</v>
      </c>
      <c r="G4" s="81" t="s">
        <v>2240</v>
      </c>
    </row>
    <row r="5" spans="1:7" x14ac:dyDescent="0.25">
      <c r="A5">
        <v>4</v>
      </c>
      <c r="B5" s="81" t="s">
        <v>2269</v>
      </c>
      <c r="C5" s="42" t="s">
        <v>1849</v>
      </c>
      <c r="D5" s="39" t="s">
        <v>486</v>
      </c>
      <c r="E5" t="s">
        <v>1905</v>
      </c>
      <c r="G5" s="81" t="s">
        <v>2241</v>
      </c>
    </row>
    <row r="6" spans="1:7" x14ac:dyDescent="0.25">
      <c r="A6">
        <v>5</v>
      </c>
      <c r="B6" s="81" t="s">
        <v>2270</v>
      </c>
      <c r="C6" s="38" t="s">
        <v>492</v>
      </c>
      <c r="D6" s="39" t="s">
        <v>493</v>
      </c>
      <c r="E6" t="s">
        <v>1906</v>
      </c>
      <c r="G6" s="81" t="s">
        <v>2242</v>
      </c>
    </row>
    <row r="7" spans="1:7" x14ac:dyDescent="0.25">
      <c r="A7">
        <v>6</v>
      </c>
      <c r="B7" s="81" t="s">
        <v>2271</v>
      </c>
      <c r="C7" s="38" t="s">
        <v>495</v>
      </c>
      <c r="D7" s="39" t="s">
        <v>496</v>
      </c>
      <c r="E7" t="s">
        <v>1907</v>
      </c>
      <c r="G7" s="81" t="s">
        <v>2243</v>
      </c>
    </row>
    <row r="8" spans="1:7" x14ac:dyDescent="0.25">
      <c r="A8">
        <v>7</v>
      </c>
      <c r="B8" s="81" t="s">
        <v>2295</v>
      </c>
      <c r="C8" s="38" t="s">
        <v>498</v>
      </c>
      <c r="D8" s="39" t="s">
        <v>499</v>
      </c>
      <c r="E8" t="s">
        <v>1908</v>
      </c>
      <c r="G8" s="81" t="s">
        <v>2244</v>
      </c>
    </row>
    <row r="9" spans="1:7" x14ac:dyDescent="0.25">
      <c r="A9">
        <v>8</v>
      </c>
      <c r="B9" s="81" t="s">
        <v>2296</v>
      </c>
      <c r="C9" s="38" t="s">
        <v>505</v>
      </c>
      <c r="D9" s="39" t="s">
        <v>506</v>
      </c>
      <c r="E9" t="s">
        <v>1909</v>
      </c>
      <c r="G9" s="81" t="s">
        <v>2245</v>
      </c>
    </row>
    <row r="10" spans="1:7" x14ac:dyDescent="0.25">
      <c r="A10">
        <v>9</v>
      </c>
      <c r="B10" s="81" t="s">
        <v>2299</v>
      </c>
      <c r="C10" s="38" t="s">
        <v>508</v>
      </c>
      <c r="D10" s="39" t="s">
        <v>509</v>
      </c>
      <c r="E10" t="s">
        <v>1910</v>
      </c>
      <c r="G10" s="81" t="s">
        <v>2246</v>
      </c>
    </row>
    <row r="11" spans="1:7" x14ac:dyDescent="0.25">
      <c r="A11">
        <v>10</v>
      </c>
      <c r="B11" s="81" t="s">
        <v>2306</v>
      </c>
      <c r="C11" s="38" t="s">
        <v>514</v>
      </c>
      <c r="D11" s="39" t="s">
        <v>515</v>
      </c>
      <c r="E11" t="s">
        <v>1875</v>
      </c>
      <c r="G11" s="81" t="s">
        <v>2247</v>
      </c>
    </row>
    <row r="12" spans="1:7" x14ac:dyDescent="0.25">
      <c r="A12">
        <v>11</v>
      </c>
      <c r="B12" s="81" t="s">
        <v>2319</v>
      </c>
      <c r="C12" s="42" t="s">
        <v>519</v>
      </c>
      <c r="D12" s="39" t="s">
        <v>520</v>
      </c>
      <c r="E12" t="s">
        <v>1876</v>
      </c>
      <c r="G12" s="81" t="s">
        <v>2248</v>
      </c>
    </row>
    <row r="13" spans="1:7" x14ac:dyDescent="0.25">
      <c r="A13">
        <v>12</v>
      </c>
      <c r="B13" s="81" t="s">
        <v>2346</v>
      </c>
      <c r="C13" s="38" t="s">
        <v>526</v>
      </c>
      <c r="D13" s="39" t="s">
        <v>527</v>
      </c>
      <c r="E13" t="s">
        <v>1877</v>
      </c>
      <c r="G13" s="81" t="s">
        <v>2249</v>
      </c>
    </row>
    <row r="14" spans="1:7" x14ac:dyDescent="0.25">
      <c r="A14">
        <v>13</v>
      </c>
      <c r="B14" s="81" t="s">
        <v>2363</v>
      </c>
      <c r="C14" s="38" t="s">
        <v>530</v>
      </c>
      <c r="D14" s="39" t="s">
        <v>531</v>
      </c>
      <c r="E14" t="s">
        <v>1878</v>
      </c>
      <c r="G14" s="81" t="s">
        <v>2250</v>
      </c>
    </row>
    <row r="15" spans="1:7" x14ac:dyDescent="0.25">
      <c r="A15">
        <v>14</v>
      </c>
      <c r="B15" s="81" t="s">
        <v>2378</v>
      </c>
      <c r="C15" s="38" t="s">
        <v>534</v>
      </c>
      <c r="D15" s="39" t="s">
        <v>535</v>
      </c>
      <c r="E15" t="s">
        <v>1879</v>
      </c>
      <c r="G15" s="81" t="s">
        <v>2251</v>
      </c>
    </row>
    <row r="16" spans="1:7" x14ac:dyDescent="0.25">
      <c r="A16">
        <v>15</v>
      </c>
      <c r="B16" s="81" t="s">
        <v>2381</v>
      </c>
      <c r="C16" s="38" t="s">
        <v>540</v>
      </c>
      <c r="D16" s="39" t="s">
        <v>541</v>
      </c>
      <c r="E16" t="s">
        <v>1880</v>
      </c>
      <c r="G16" s="81" t="s">
        <v>2252</v>
      </c>
    </row>
    <row r="17" spans="1:7" x14ac:dyDescent="0.25">
      <c r="A17">
        <v>16</v>
      </c>
      <c r="B17" s="81" t="s">
        <v>2392</v>
      </c>
      <c r="C17" s="38" t="s">
        <v>544</v>
      </c>
      <c r="D17" s="39" t="s">
        <v>545</v>
      </c>
      <c r="E17" t="s">
        <v>1881</v>
      </c>
      <c r="G17" s="81" t="s">
        <v>2253</v>
      </c>
    </row>
    <row r="18" spans="1:7" x14ac:dyDescent="0.25">
      <c r="A18">
        <v>17</v>
      </c>
      <c r="B18" s="81" t="s">
        <v>2399</v>
      </c>
      <c r="C18" s="38" t="s">
        <v>550</v>
      </c>
      <c r="D18" s="39" t="s">
        <v>551</v>
      </c>
      <c r="E18" t="s">
        <v>1882</v>
      </c>
      <c r="G18" s="81" t="s">
        <v>2254</v>
      </c>
    </row>
    <row r="19" spans="1:7" x14ac:dyDescent="0.25">
      <c r="A19">
        <v>18</v>
      </c>
      <c r="B19" s="81" t="s">
        <v>2412</v>
      </c>
      <c r="C19" s="38" t="s">
        <v>555</v>
      </c>
      <c r="D19" s="39" t="s">
        <v>556</v>
      </c>
      <c r="E19" t="s">
        <v>1883</v>
      </c>
      <c r="G19" s="81" t="s">
        <v>2255</v>
      </c>
    </row>
    <row r="20" spans="1:7" x14ac:dyDescent="0.25">
      <c r="A20">
        <v>19</v>
      </c>
      <c r="B20" s="81" t="s">
        <v>2417</v>
      </c>
      <c r="C20" s="38" t="s">
        <v>558</v>
      </c>
      <c r="D20" s="39" t="s">
        <v>559</v>
      </c>
      <c r="E20" t="s">
        <v>1884</v>
      </c>
      <c r="G20" s="81" t="s">
        <v>2256</v>
      </c>
    </row>
    <row r="21" spans="1:7" x14ac:dyDescent="0.25">
      <c r="A21">
        <v>20</v>
      </c>
      <c r="B21" s="81" t="s">
        <v>2429</v>
      </c>
      <c r="C21" s="38" t="s">
        <v>563</v>
      </c>
      <c r="D21" s="39" t="s">
        <v>564</v>
      </c>
      <c r="E21" t="s">
        <v>1885</v>
      </c>
      <c r="G21" s="81" t="s">
        <v>2257</v>
      </c>
    </row>
    <row r="22" spans="1:7" x14ac:dyDescent="0.25">
      <c r="A22">
        <v>21</v>
      </c>
      <c r="B22" s="81" t="s">
        <v>2430</v>
      </c>
      <c r="C22" s="38" t="s">
        <v>566</v>
      </c>
      <c r="D22" s="39" t="s">
        <v>567</v>
      </c>
      <c r="E22" t="s">
        <v>1886</v>
      </c>
      <c r="G22" s="81" t="s">
        <v>2258</v>
      </c>
    </row>
    <row r="23" spans="1:7" x14ac:dyDescent="0.25">
      <c r="A23">
        <v>22</v>
      </c>
      <c r="B23" s="81" t="s">
        <v>2453</v>
      </c>
      <c r="C23" s="38" t="s">
        <v>569</v>
      </c>
      <c r="D23" s="39" t="s">
        <v>570</v>
      </c>
      <c r="E23" t="s">
        <v>1887</v>
      </c>
      <c r="G23" s="81" t="s">
        <v>2259</v>
      </c>
    </row>
    <row r="24" spans="1:7" x14ac:dyDescent="0.25">
      <c r="A24">
        <v>23</v>
      </c>
      <c r="B24" s="81" t="s">
        <v>2457</v>
      </c>
      <c r="C24" s="38" t="s">
        <v>572</v>
      </c>
      <c r="D24" s="39" t="s">
        <v>573</v>
      </c>
      <c r="E24" t="s">
        <v>1888</v>
      </c>
      <c r="G24" s="81" t="s">
        <v>2260</v>
      </c>
    </row>
    <row r="25" spans="1:7" x14ac:dyDescent="0.25">
      <c r="A25">
        <v>24</v>
      </c>
      <c r="B25" s="81" t="s">
        <v>2461</v>
      </c>
      <c r="C25" s="38" t="s">
        <v>576</v>
      </c>
      <c r="D25" s="39" t="s">
        <v>577</v>
      </c>
      <c r="E25" t="s">
        <v>1889</v>
      </c>
      <c r="G25" s="81" t="s">
        <v>2261</v>
      </c>
    </row>
    <row r="26" spans="1:7" x14ac:dyDescent="0.25">
      <c r="A26">
        <v>25</v>
      </c>
      <c r="B26" s="81" t="s">
        <v>2475</v>
      </c>
      <c r="C26" s="38" t="s">
        <v>581</v>
      </c>
      <c r="D26" s="39" t="s">
        <v>582</v>
      </c>
      <c r="E26" t="s">
        <v>1890</v>
      </c>
      <c r="G26" s="81" t="s">
        <v>2262</v>
      </c>
    </row>
    <row r="27" spans="1:7" x14ac:dyDescent="0.25">
      <c r="A27">
        <v>26</v>
      </c>
      <c r="B27" s="81" t="s">
        <v>2486</v>
      </c>
      <c r="C27" s="38" t="s">
        <v>584</v>
      </c>
      <c r="D27" s="39" t="s">
        <v>585</v>
      </c>
      <c r="E27" t="s">
        <v>1891</v>
      </c>
      <c r="G27" s="81" t="s">
        <v>2263</v>
      </c>
    </row>
    <row r="28" spans="1:7" x14ac:dyDescent="0.25">
      <c r="A28">
        <v>27</v>
      </c>
      <c r="B28" s="81" t="s">
        <v>2520</v>
      </c>
      <c r="C28" s="38" t="s">
        <v>586</v>
      </c>
      <c r="D28" s="39" t="s">
        <v>587</v>
      </c>
      <c r="E28" t="s">
        <v>1892</v>
      </c>
      <c r="G28" s="81" t="s">
        <v>2264</v>
      </c>
    </row>
    <row r="29" spans="1:7" x14ac:dyDescent="0.25">
      <c r="A29">
        <v>28</v>
      </c>
      <c r="B29" s="81" t="s">
        <v>2521</v>
      </c>
      <c r="C29" s="42" t="s">
        <v>1851</v>
      </c>
      <c r="D29" s="39" t="s">
        <v>590</v>
      </c>
      <c r="E29" t="s">
        <v>1893</v>
      </c>
      <c r="G29" s="81" t="s">
        <v>2265</v>
      </c>
    </row>
    <row r="30" spans="1:7" x14ac:dyDescent="0.25">
      <c r="A30">
        <v>29</v>
      </c>
      <c r="B30" s="81" t="s">
        <v>2535</v>
      </c>
      <c r="C30" s="38" t="s">
        <v>595</v>
      </c>
      <c r="D30" s="39" t="s">
        <v>596</v>
      </c>
      <c r="E30" t="s">
        <v>1894</v>
      </c>
      <c r="G30" s="81" t="s">
        <v>2266</v>
      </c>
    </row>
    <row r="31" spans="1:7" x14ac:dyDescent="0.25">
      <c r="A31">
        <v>30</v>
      </c>
      <c r="B31" s="81" t="s">
        <v>2550</v>
      </c>
      <c r="C31" s="38" t="s">
        <v>601</v>
      </c>
      <c r="D31" s="39" t="s">
        <v>602</v>
      </c>
      <c r="E31" t="s">
        <v>1895</v>
      </c>
      <c r="G31" s="81" t="s">
        <v>2267</v>
      </c>
    </row>
    <row r="32" spans="1:7" x14ac:dyDescent="0.25">
      <c r="A32">
        <v>31</v>
      </c>
      <c r="B32" s="81" t="s">
        <v>2552</v>
      </c>
      <c r="C32" s="38" t="s">
        <v>607</v>
      </c>
      <c r="D32" s="39" t="s">
        <v>608</v>
      </c>
      <c r="E32" t="s">
        <v>1896</v>
      </c>
      <c r="G32" s="81" t="s">
        <v>2268</v>
      </c>
    </row>
    <row r="33" spans="1:7" x14ac:dyDescent="0.25">
      <c r="A33">
        <v>32</v>
      </c>
      <c r="B33" s="81" t="s">
        <v>2555</v>
      </c>
      <c r="C33" s="38" t="s">
        <v>612</v>
      </c>
      <c r="D33" s="39" t="s">
        <v>613</v>
      </c>
      <c r="E33" t="s">
        <v>1897</v>
      </c>
      <c r="G33" s="81" t="s">
        <v>2269</v>
      </c>
    </row>
    <row r="34" spans="1:7" x14ac:dyDescent="0.25">
      <c r="A34">
        <v>33</v>
      </c>
      <c r="B34" s="81" t="s">
        <v>2565</v>
      </c>
      <c r="C34" s="38" t="s">
        <v>617</v>
      </c>
      <c r="D34" s="39" t="s">
        <v>618</v>
      </c>
      <c r="E34" t="s">
        <v>1898</v>
      </c>
      <c r="G34" s="81" t="s">
        <v>2270</v>
      </c>
    </row>
    <row r="35" spans="1:7" x14ac:dyDescent="0.25">
      <c r="A35">
        <v>34</v>
      </c>
      <c r="B35" s="81" t="s">
        <v>2580</v>
      </c>
      <c r="C35" s="38" t="s">
        <v>621</v>
      </c>
      <c r="D35" s="39" t="s">
        <v>622</v>
      </c>
      <c r="E35" t="s">
        <v>1899</v>
      </c>
      <c r="G35" s="81" t="s">
        <v>2271</v>
      </c>
    </row>
    <row r="36" spans="1:7" x14ac:dyDescent="0.25">
      <c r="A36">
        <v>35</v>
      </c>
      <c r="B36" s="81" t="s">
        <v>2591</v>
      </c>
      <c r="C36" s="38" t="s">
        <v>627</v>
      </c>
      <c r="D36" s="39" t="s">
        <v>628</v>
      </c>
      <c r="E36" t="s">
        <v>1900</v>
      </c>
      <c r="G36" s="81" t="s">
        <v>2272</v>
      </c>
    </row>
    <row r="37" spans="1:7" x14ac:dyDescent="0.25">
      <c r="A37">
        <v>36</v>
      </c>
      <c r="B37" s="81" t="s">
        <v>2596</v>
      </c>
      <c r="C37" s="38" t="s">
        <v>632</v>
      </c>
      <c r="D37" s="39" t="s">
        <v>633</v>
      </c>
      <c r="E37" t="s">
        <v>1901</v>
      </c>
      <c r="G37" s="81" t="s">
        <v>2273</v>
      </c>
    </row>
    <row r="38" spans="1:7" x14ac:dyDescent="0.25">
      <c r="A38">
        <v>37</v>
      </c>
      <c r="B38" s="81" t="s">
        <v>2243</v>
      </c>
      <c r="C38" s="42" t="s">
        <v>794</v>
      </c>
      <c r="D38" s="39" t="s">
        <v>639</v>
      </c>
      <c r="E38" t="s">
        <v>1911</v>
      </c>
      <c r="G38" s="81" t="s">
        <v>2274</v>
      </c>
    </row>
    <row r="39" spans="1:7" x14ac:dyDescent="0.25">
      <c r="A39">
        <v>38</v>
      </c>
      <c r="B39" s="81" t="s">
        <v>2293</v>
      </c>
      <c r="C39" s="38" t="s">
        <v>644</v>
      </c>
      <c r="D39" s="39" t="s">
        <v>645</v>
      </c>
      <c r="E39" t="s">
        <v>1912</v>
      </c>
      <c r="G39" s="81" t="s">
        <v>2275</v>
      </c>
    </row>
    <row r="40" spans="1:7" x14ac:dyDescent="0.25">
      <c r="A40">
        <v>39</v>
      </c>
      <c r="B40" s="81" t="s">
        <v>2294</v>
      </c>
      <c r="C40" s="42" t="s">
        <v>793</v>
      </c>
      <c r="D40" s="39" t="s">
        <v>650</v>
      </c>
      <c r="E40" t="s">
        <v>1913</v>
      </c>
      <c r="G40" s="81" t="s">
        <v>2276</v>
      </c>
    </row>
    <row r="41" spans="1:7" x14ac:dyDescent="0.25">
      <c r="A41">
        <v>40</v>
      </c>
      <c r="B41" s="81" t="s">
        <v>2324</v>
      </c>
      <c r="C41" s="38" t="s">
        <v>655</v>
      </c>
      <c r="D41" s="39" t="s">
        <v>656</v>
      </c>
      <c r="E41" t="s">
        <v>1914</v>
      </c>
      <c r="G41" s="81" t="s">
        <v>2277</v>
      </c>
    </row>
    <row r="42" spans="1:7" x14ac:dyDescent="0.25">
      <c r="A42">
        <v>41</v>
      </c>
      <c r="B42" s="81" t="s">
        <v>2327</v>
      </c>
      <c r="C42" s="38" t="s">
        <v>659</v>
      </c>
      <c r="D42" s="39" t="s">
        <v>660</v>
      </c>
      <c r="E42" t="s">
        <v>1915</v>
      </c>
      <c r="G42" s="81" t="s">
        <v>2278</v>
      </c>
    </row>
    <row r="43" spans="1:7" x14ac:dyDescent="0.25">
      <c r="A43">
        <v>42</v>
      </c>
      <c r="B43" s="81" t="s">
        <v>2328</v>
      </c>
      <c r="C43" s="38" t="s">
        <v>664</v>
      </c>
      <c r="D43" s="39" t="s">
        <v>665</v>
      </c>
      <c r="E43" t="s">
        <v>1916</v>
      </c>
      <c r="G43" s="81" t="s">
        <v>2279</v>
      </c>
    </row>
    <row r="44" spans="1:7" x14ac:dyDescent="0.25">
      <c r="A44">
        <v>43</v>
      </c>
      <c r="B44" s="81" t="s">
        <v>2343</v>
      </c>
      <c r="C44" s="38" t="s">
        <v>667</v>
      </c>
      <c r="D44" s="39" t="s">
        <v>668</v>
      </c>
      <c r="E44" t="s">
        <v>1917</v>
      </c>
      <c r="G44" s="81" t="s">
        <v>2280</v>
      </c>
    </row>
    <row r="45" spans="1:7" x14ac:dyDescent="0.25">
      <c r="A45">
        <v>44</v>
      </c>
      <c r="B45" s="81" t="s">
        <v>2345</v>
      </c>
      <c r="C45" s="38" t="s">
        <v>673</v>
      </c>
      <c r="D45" s="39" t="s">
        <v>674</v>
      </c>
      <c r="E45" t="s">
        <v>1918</v>
      </c>
      <c r="G45" s="81" t="s">
        <v>2281</v>
      </c>
    </row>
    <row r="46" spans="1:7" x14ac:dyDescent="0.25">
      <c r="A46">
        <v>45</v>
      </c>
      <c r="B46" s="81" t="s">
        <v>2348</v>
      </c>
      <c r="C46" s="38" t="s">
        <v>679</v>
      </c>
      <c r="D46" s="39" t="s">
        <v>680</v>
      </c>
      <c r="E46" t="s">
        <v>1919</v>
      </c>
      <c r="G46" s="81" t="s">
        <v>2282</v>
      </c>
    </row>
    <row r="47" spans="1:7" x14ac:dyDescent="0.25">
      <c r="A47">
        <v>46</v>
      </c>
      <c r="B47" s="81" t="s">
        <v>2350</v>
      </c>
      <c r="C47" s="38" t="s">
        <v>684</v>
      </c>
      <c r="D47" s="39" t="s">
        <v>685</v>
      </c>
      <c r="E47" t="s">
        <v>1920</v>
      </c>
      <c r="G47" s="81" t="s">
        <v>2283</v>
      </c>
    </row>
    <row r="48" spans="1:7" x14ac:dyDescent="0.25">
      <c r="A48">
        <v>47</v>
      </c>
      <c r="B48" s="81" t="s">
        <v>2352</v>
      </c>
      <c r="C48" s="38" t="s">
        <v>690</v>
      </c>
      <c r="D48" s="39" t="s">
        <v>691</v>
      </c>
      <c r="E48" t="s">
        <v>1921</v>
      </c>
      <c r="G48" s="81" t="s">
        <v>2284</v>
      </c>
    </row>
    <row r="49" spans="1:7" x14ac:dyDescent="0.25">
      <c r="A49">
        <v>48</v>
      </c>
      <c r="B49" s="81" t="s">
        <v>2391</v>
      </c>
      <c r="C49" s="38" t="s">
        <v>693</v>
      </c>
      <c r="D49" s="39" t="s">
        <v>694</v>
      </c>
      <c r="E49" t="s">
        <v>1922</v>
      </c>
      <c r="G49" s="81" t="s">
        <v>2285</v>
      </c>
    </row>
    <row r="50" spans="1:7" x14ac:dyDescent="0.25">
      <c r="A50">
        <v>49</v>
      </c>
      <c r="B50" s="81" t="s">
        <v>2400</v>
      </c>
      <c r="C50" s="38" t="s">
        <v>700</v>
      </c>
      <c r="D50" s="39" t="s">
        <v>701</v>
      </c>
      <c r="E50" t="s">
        <v>1923</v>
      </c>
      <c r="G50" s="81" t="s">
        <v>2286</v>
      </c>
    </row>
    <row r="51" spans="1:7" x14ac:dyDescent="0.25">
      <c r="A51">
        <v>50</v>
      </c>
      <c r="B51" s="81" t="s">
        <v>2402</v>
      </c>
      <c r="C51" s="38" t="s">
        <v>705</v>
      </c>
      <c r="D51" s="39" t="s">
        <v>706</v>
      </c>
      <c r="E51" t="s">
        <v>1924</v>
      </c>
      <c r="G51" s="81" t="s">
        <v>2287</v>
      </c>
    </row>
    <row r="52" spans="1:7" x14ac:dyDescent="0.25">
      <c r="A52">
        <v>51</v>
      </c>
      <c r="B52" s="81" t="s">
        <v>2405</v>
      </c>
      <c r="C52" s="38" t="s">
        <v>709</v>
      </c>
      <c r="D52" s="39" t="s">
        <v>710</v>
      </c>
      <c r="E52" t="s">
        <v>1925</v>
      </c>
      <c r="G52" s="81" t="s">
        <v>2288</v>
      </c>
    </row>
    <row r="53" spans="1:7" x14ac:dyDescent="0.25">
      <c r="A53">
        <v>52</v>
      </c>
      <c r="B53" s="81" t="s">
        <v>2421</v>
      </c>
      <c r="C53" s="38" t="s">
        <v>711</v>
      </c>
      <c r="D53" s="39" t="s">
        <v>712</v>
      </c>
      <c r="E53" t="s">
        <v>1926</v>
      </c>
      <c r="G53" s="81" t="s">
        <v>2289</v>
      </c>
    </row>
    <row r="54" spans="1:7" x14ac:dyDescent="0.25">
      <c r="A54">
        <v>53</v>
      </c>
      <c r="B54" s="81" t="s">
        <v>2433</v>
      </c>
      <c r="C54" s="38" t="s">
        <v>715</v>
      </c>
      <c r="D54" s="39" t="s">
        <v>716</v>
      </c>
      <c r="E54" t="s">
        <v>1927</v>
      </c>
      <c r="G54" s="81" t="s">
        <v>2290</v>
      </c>
    </row>
    <row r="55" spans="1:7" x14ac:dyDescent="0.25">
      <c r="A55">
        <v>54</v>
      </c>
      <c r="B55" s="81" t="s">
        <v>2434</v>
      </c>
      <c r="C55" s="38" t="s">
        <v>717</v>
      </c>
      <c r="D55" s="39" t="s">
        <v>718</v>
      </c>
      <c r="E55" t="s">
        <v>1928</v>
      </c>
      <c r="G55" s="81" t="s">
        <v>2291</v>
      </c>
    </row>
    <row r="56" spans="1:7" x14ac:dyDescent="0.25">
      <c r="A56">
        <v>55</v>
      </c>
      <c r="B56" s="81" t="s">
        <v>2441</v>
      </c>
      <c r="C56" s="38" t="s">
        <v>722</v>
      </c>
      <c r="D56" s="39" t="s">
        <v>723</v>
      </c>
      <c r="E56" t="s">
        <v>1929</v>
      </c>
      <c r="G56" s="81" t="s">
        <v>2292</v>
      </c>
    </row>
    <row r="57" spans="1:7" x14ac:dyDescent="0.25">
      <c r="A57">
        <v>56</v>
      </c>
      <c r="B57" s="81" t="s">
        <v>2444</v>
      </c>
      <c r="C57" s="38" t="s">
        <v>726</v>
      </c>
      <c r="D57" s="39" t="s">
        <v>727</v>
      </c>
      <c r="E57" t="s">
        <v>1930</v>
      </c>
      <c r="G57" s="81" t="s">
        <v>2293</v>
      </c>
    </row>
    <row r="58" spans="1:7" x14ac:dyDescent="0.25">
      <c r="A58">
        <v>57</v>
      </c>
      <c r="B58" s="81" t="s">
        <v>2448</v>
      </c>
      <c r="C58" s="38">
        <v>3105710667</v>
      </c>
      <c r="D58" s="39" t="s">
        <v>733</v>
      </c>
      <c r="E58" t="s">
        <v>1931</v>
      </c>
      <c r="G58" s="81" t="s">
        <v>2294</v>
      </c>
    </row>
    <row r="59" spans="1:7" x14ac:dyDescent="0.25">
      <c r="A59">
        <v>58</v>
      </c>
      <c r="B59" s="81" t="s">
        <v>2503</v>
      </c>
      <c r="C59" s="38" t="s">
        <v>736</v>
      </c>
      <c r="D59" s="39" t="s">
        <v>737</v>
      </c>
      <c r="E59" t="s">
        <v>1932</v>
      </c>
      <c r="G59" s="81" t="s">
        <v>2295</v>
      </c>
    </row>
    <row r="60" spans="1:7" x14ac:dyDescent="0.25">
      <c r="A60">
        <v>59</v>
      </c>
      <c r="B60" s="81" t="s">
        <v>2517</v>
      </c>
      <c r="C60" s="38" t="s">
        <v>738</v>
      </c>
      <c r="D60" s="39" t="s">
        <v>739</v>
      </c>
      <c r="E60" t="s">
        <v>1933</v>
      </c>
      <c r="G60" s="81" t="s">
        <v>2296</v>
      </c>
    </row>
    <row r="61" spans="1:7" x14ac:dyDescent="0.25">
      <c r="A61">
        <v>60</v>
      </c>
      <c r="B61" s="81" t="s">
        <v>2519</v>
      </c>
      <c r="C61" s="38" t="s">
        <v>743</v>
      </c>
      <c r="D61" s="39" t="s">
        <v>744</v>
      </c>
      <c r="E61" t="s">
        <v>1934</v>
      </c>
      <c r="G61" s="81" t="s">
        <v>2297</v>
      </c>
    </row>
    <row r="62" spans="1:7" x14ac:dyDescent="0.25">
      <c r="A62">
        <v>61</v>
      </c>
      <c r="B62" s="81" t="s">
        <v>2532</v>
      </c>
      <c r="C62" s="38" t="s">
        <v>746</v>
      </c>
      <c r="D62" s="39" t="s">
        <v>747</v>
      </c>
      <c r="E62" t="s">
        <v>1935</v>
      </c>
      <c r="G62" s="81" t="s">
        <v>2298</v>
      </c>
    </row>
    <row r="63" spans="1:7" x14ac:dyDescent="0.25">
      <c r="A63">
        <v>62</v>
      </c>
      <c r="B63" s="81" t="s">
        <v>2540</v>
      </c>
      <c r="C63" s="38" t="s">
        <v>752</v>
      </c>
      <c r="D63" s="39" t="s">
        <v>753</v>
      </c>
      <c r="E63" t="s">
        <v>1936</v>
      </c>
      <c r="G63" s="81" t="s">
        <v>2299</v>
      </c>
    </row>
    <row r="64" spans="1:7" x14ac:dyDescent="0.25">
      <c r="A64">
        <v>63</v>
      </c>
      <c r="B64" s="81" t="s">
        <v>2546</v>
      </c>
      <c r="C64" s="38" t="s">
        <v>757</v>
      </c>
      <c r="D64" s="39" t="s">
        <v>758</v>
      </c>
      <c r="E64" t="s">
        <v>1937</v>
      </c>
      <c r="G64" s="81" t="s">
        <v>2300</v>
      </c>
    </row>
    <row r="65" spans="1:7" x14ac:dyDescent="0.25">
      <c r="A65">
        <v>64</v>
      </c>
      <c r="B65" s="81" t="s">
        <v>2549</v>
      </c>
      <c r="C65" s="38" t="s">
        <v>762</v>
      </c>
      <c r="D65" s="39" t="s">
        <v>763</v>
      </c>
      <c r="E65" t="s">
        <v>1938</v>
      </c>
      <c r="G65" s="81" t="s">
        <v>2301</v>
      </c>
    </row>
    <row r="66" spans="1:7" x14ac:dyDescent="0.25">
      <c r="A66">
        <v>65</v>
      </c>
      <c r="B66" s="81" t="s">
        <v>2554</v>
      </c>
      <c r="C66" s="38" t="s">
        <v>766</v>
      </c>
      <c r="D66" s="39" t="s">
        <v>767</v>
      </c>
      <c r="E66" t="s">
        <v>1939</v>
      </c>
      <c r="G66" s="81" t="s">
        <v>2302</v>
      </c>
    </row>
    <row r="67" spans="1:7" x14ac:dyDescent="0.25">
      <c r="A67">
        <v>66</v>
      </c>
      <c r="B67" s="81" t="s">
        <v>2568</v>
      </c>
      <c r="C67" s="38" t="s">
        <v>771</v>
      </c>
      <c r="D67" s="39" t="s">
        <v>772</v>
      </c>
      <c r="E67" t="s">
        <v>1940</v>
      </c>
      <c r="G67" s="81" t="s">
        <v>2303</v>
      </c>
    </row>
    <row r="68" spans="1:7" x14ac:dyDescent="0.25">
      <c r="A68">
        <v>67</v>
      </c>
      <c r="B68" s="81" t="s">
        <v>2572</v>
      </c>
      <c r="C68" s="38" t="s">
        <v>773</v>
      </c>
      <c r="D68" s="39" t="s">
        <v>774</v>
      </c>
      <c r="E68" t="s">
        <v>1941</v>
      </c>
      <c r="G68" s="81" t="s">
        <v>2304</v>
      </c>
    </row>
    <row r="69" spans="1:7" x14ac:dyDescent="0.25">
      <c r="A69">
        <v>68</v>
      </c>
      <c r="B69" s="81" t="s">
        <v>2575</v>
      </c>
      <c r="C69" s="38" t="s">
        <v>777</v>
      </c>
      <c r="D69" s="39" t="s">
        <v>778</v>
      </c>
      <c r="E69" t="s">
        <v>1942</v>
      </c>
      <c r="G69" s="81" t="s">
        <v>2305</v>
      </c>
    </row>
    <row r="70" spans="1:7" x14ac:dyDescent="0.25">
      <c r="A70">
        <v>69</v>
      </c>
      <c r="B70" s="81" t="s">
        <v>2577</v>
      </c>
      <c r="C70" s="38" t="s">
        <v>780</v>
      </c>
      <c r="D70" s="39" t="s">
        <v>781</v>
      </c>
      <c r="E70" t="s">
        <v>1943</v>
      </c>
      <c r="G70" s="81" t="s">
        <v>2306</v>
      </c>
    </row>
    <row r="71" spans="1:7" x14ac:dyDescent="0.25">
      <c r="A71">
        <v>70</v>
      </c>
      <c r="B71" s="81" t="s">
        <v>2583</v>
      </c>
      <c r="C71" s="38" t="s">
        <v>782</v>
      </c>
      <c r="D71" s="39" t="s">
        <v>783</v>
      </c>
      <c r="E71" t="s">
        <v>1944</v>
      </c>
      <c r="G71" s="81" t="s">
        <v>2307</v>
      </c>
    </row>
    <row r="72" spans="1:7" x14ac:dyDescent="0.25">
      <c r="A72">
        <v>71</v>
      </c>
      <c r="B72" s="81" t="s">
        <v>2593</v>
      </c>
      <c r="C72" s="38" t="s">
        <v>786</v>
      </c>
      <c r="D72" s="39" t="s">
        <v>787</v>
      </c>
      <c r="E72" t="s">
        <v>1945</v>
      </c>
      <c r="G72" s="81" t="s">
        <v>2308</v>
      </c>
    </row>
    <row r="73" spans="1:7" x14ac:dyDescent="0.25">
      <c r="A73">
        <v>72</v>
      </c>
      <c r="B73" s="81" t="s">
        <v>2594</v>
      </c>
      <c r="C73" s="38" t="s">
        <v>790</v>
      </c>
      <c r="D73" s="39" t="s">
        <v>791</v>
      </c>
      <c r="E73" t="s">
        <v>1946</v>
      </c>
      <c r="G73" s="81" t="s">
        <v>2309</v>
      </c>
    </row>
    <row r="74" spans="1:7" x14ac:dyDescent="0.25">
      <c r="A74">
        <v>73</v>
      </c>
      <c r="B74" s="81" t="s">
        <v>2241</v>
      </c>
      <c r="C74" s="38" t="s">
        <v>928</v>
      </c>
      <c r="D74" s="39" t="s">
        <v>929</v>
      </c>
      <c r="E74" t="s">
        <v>1947</v>
      </c>
      <c r="G74" s="81" t="s">
        <v>2310</v>
      </c>
    </row>
    <row r="75" spans="1:7" x14ac:dyDescent="0.25">
      <c r="A75">
        <v>74</v>
      </c>
      <c r="B75" s="81" t="s">
        <v>2245</v>
      </c>
      <c r="C75" s="38" t="s">
        <v>932</v>
      </c>
      <c r="D75" s="39" t="s">
        <v>933</v>
      </c>
      <c r="E75" t="s">
        <v>1948</v>
      </c>
      <c r="G75" s="81" t="s">
        <v>2311</v>
      </c>
    </row>
    <row r="76" spans="1:7" x14ac:dyDescent="0.25">
      <c r="A76">
        <v>75</v>
      </c>
      <c r="B76" s="81" t="s">
        <v>2247</v>
      </c>
      <c r="C76" s="38" t="s">
        <v>938</v>
      </c>
      <c r="D76" s="39" t="s">
        <v>939</v>
      </c>
      <c r="E76" t="s">
        <v>1949</v>
      </c>
      <c r="G76" s="81" t="s">
        <v>2312</v>
      </c>
    </row>
    <row r="77" spans="1:7" x14ac:dyDescent="0.25">
      <c r="A77">
        <v>76</v>
      </c>
      <c r="B77" s="81" t="s">
        <v>2248</v>
      </c>
      <c r="C77" s="38" t="s">
        <v>940</v>
      </c>
      <c r="D77" s="39" t="s">
        <v>941</v>
      </c>
      <c r="E77" t="s">
        <v>1950</v>
      </c>
      <c r="G77" s="81" t="s">
        <v>2313</v>
      </c>
    </row>
    <row r="78" spans="1:7" x14ac:dyDescent="0.25">
      <c r="A78">
        <v>77</v>
      </c>
      <c r="B78" s="81" t="s">
        <v>2252</v>
      </c>
      <c r="C78" s="38" t="s">
        <v>942</v>
      </c>
      <c r="D78" s="39" t="s">
        <v>943</v>
      </c>
      <c r="E78" t="s">
        <v>1951</v>
      </c>
      <c r="G78" s="81" t="s">
        <v>2314</v>
      </c>
    </row>
    <row r="79" spans="1:7" x14ac:dyDescent="0.25">
      <c r="A79">
        <v>78</v>
      </c>
      <c r="B79" s="81" t="s">
        <v>2283</v>
      </c>
      <c r="C79" s="38" t="s">
        <v>946</v>
      </c>
      <c r="D79" s="39" t="s">
        <v>947</v>
      </c>
      <c r="E79" t="s">
        <v>1952</v>
      </c>
      <c r="G79" s="81" t="s">
        <v>2315</v>
      </c>
    </row>
    <row r="80" spans="1:7" x14ac:dyDescent="0.25">
      <c r="A80">
        <v>79</v>
      </c>
      <c r="B80" s="81" t="s">
        <v>2307</v>
      </c>
      <c r="C80" s="38" t="s">
        <v>949</v>
      </c>
      <c r="D80" s="39" t="s">
        <v>950</v>
      </c>
      <c r="E80" t="s">
        <v>1953</v>
      </c>
      <c r="G80" s="81" t="s">
        <v>2316</v>
      </c>
    </row>
    <row r="81" spans="1:7" x14ac:dyDescent="0.25">
      <c r="A81">
        <v>80</v>
      </c>
      <c r="B81" s="81" t="s">
        <v>2311</v>
      </c>
      <c r="C81" s="38" t="s">
        <v>951</v>
      </c>
      <c r="D81" s="39" t="s">
        <v>952</v>
      </c>
      <c r="E81" t="s">
        <v>1954</v>
      </c>
      <c r="G81" s="81" t="s">
        <v>2317</v>
      </c>
    </row>
    <row r="82" spans="1:7" x14ac:dyDescent="0.25">
      <c r="A82">
        <v>81</v>
      </c>
      <c r="B82" s="81" t="s">
        <v>2334</v>
      </c>
      <c r="C82" s="38" t="s">
        <v>956</v>
      </c>
      <c r="D82" s="39" t="s">
        <v>957</v>
      </c>
      <c r="E82" t="s">
        <v>1955</v>
      </c>
      <c r="G82" s="81" t="s">
        <v>2318</v>
      </c>
    </row>
    <row r="83" spans="1:7" x14ac:dyDescent="0.25">
      <c r="A83">
        <v>82</v>
      </c>
      <c r="B83" s="81" t="s">
        <v>2336</v>
      </c>
      <c r="C83" s="38" t="s">
        <v>963</v>
      </c>
      <c r="D83" s="39" t="s">
        <v>964</v>
      </c>
      <c r="E83" t="s">
        <v>1956</v>
      </c>
      <c r="G83" s="81" t="s">
        <v>2319</v>
      </c>
    </row>
    <row r="84" spans="1:7" x14ac:dyDescent="0.25">
      <c r="A84">
        <v>83</v>
      </c>
      <c r="B84" s="81" t="s">
        <v>2337</v>
      </c>
      <c r="C84" s="38" t="s">
        <v>965</v>
      </c>
      <c r="D84" s="39" t="s">
        <v>966</v>
      </c>
      <c r="E84" t="s">
        <v>1957</v>
      </c>
      <c r="G84" s="81" t="s">
        <v>2320</v>
      </c>
    </row>
    <row r="85" spans="1:7" x14ac:dyDescent="0.25">
      <c r="A85">
        <v>84</v>
      </c>
      <c r="B85" s="81" t="s">
        <v>2347</v>
      </c>
      <c r="C85" s="38" t="s">
        <v>968</v>
      </c>
      <c r="D85" s="39" t="s">
        <v>969</v>
      </c>
      <c r="E85" t="s">
        <v>1958</v>
      </c>
      <c r="G85" s="81" t="s">
        <v>2321</v>
      </c>
    </row>
    <row r="86" spans="1:7" x14ac:dyDescent="0.25">
      <c r="A86">
        <v>85</v>
      </c>
      <c r="B86" s="81" t="s">
        <v>2366</v>
      </c>
      <c r="C86" s="38" t="s">
        <v>970</v>
      </c>
      <c r="D86" s="39" t="s">
        <v>971</v>
      </c>
      <c r="E86" t="s">
        <v>1959</v>
      </c>
      <c r="G86" s="81" t="s">
        <v>2322</v>
      </c>
    </row>
    <row r="87" spans="1:7" x14ac:dyDescent="0.25">
      <c r="A87">
        <v>86</v>
      </c>
      <c r="B87" s="81" t="s">
        <v>2370</v>
      </c>
      <c r="C87" s="38" t="s">
        <v>972</v>
      </c>
      <c r="D87" s="39" t="s">
        <v>973</v>
      </c>
      <c r="E87" t="s">
        <v>1960</v>
      </c>
      <c r="G87" s="81" t="s">
        <v>2323</v>
      </c>
    </row>
    <row r="88" spans="1:7" x14ac:dyDescent="0.25">
      <c r="A88">
        <v>87</v>
      </c>
      <c r="B88" s="81" t="s">
        <v>2377</v>
      </c>
      <c r="C88" s="38" t="s">
        <v>977</v>
      </c>
      <c r="D88" s="39" t="s">
        <v>978</v>
      </c>
      <c r="E88" t="s">
        <v>1961</v>
      </c>
      <c r="G88" s="81" t="s">
        <v>2324</v>
      </c>
    </row>
    <row r="89" spans="1:7" x14ac:dyDescent="0.25">
      <c r="A89">
        <v>88</v>
      </c>
      <c r="B89" s="81" t="s">
        <v>2419</v>
      </c>
      <c r="C89" s="38" t="s">
        <v>981</v>
      </c>
      <c r="D89" s="39" t="s">
        <v>982</v>
      </c>
      <c r="E89" t="s">
        <v>1962</v>
      </c>
      <c r="G89" s="81" t="s">
        <v>2325</v>
      </c>
    </row>
    <row r="90" spans="1:7" x14ac:dyDescent="0.25">
      <c r="A90">
        <v>89</v>
      </c>
      <c r="B90" s="81" t="s">
        <v>2424</v>
      </c>
      <c r="C90" s="38" t="s">
        <v>988</v>
      </c>
      <c r="D90" s="39" t="s">
        <v>989</v>
      </c>
      <c r="E90" t="s">
        <v>1963</v>
      </c>
      <c r="G90" s="81" t="s">
        <v>2326</v>
      </c>
    </row>
    <row r="91" spans="1:7" x14ac:dyDescent="0.25">
      <c r="A91">
        <v>90</v>
      </c>
      <c r="B91" s="81" t="s">
        <v>2427</v>
      </c>
      <c r="C91" s="38" t="s">
        <v>992</v>
      </c>
      <c r="D91" s="39" t="s">
        <v>993</v>
      </c>
      <c r="E91" t="s">
        <v>1964</v>
      </c>
      <c r="G91" s="81" t="s">
        <v>2327</v>
      </c>
    </row>
    <row r="92" spans="1:7" x14ac:dyDescent="0.25">
      <c r="A92">
        <v>91</v>
      </c>
      <c r="B92" s="81" t="s">
        <v>2436</v>
      </c>
      <c r="C92" s="38" t="s">
        <v>996</v>
      </c>
      <c r="D92" s="39" t="s">
        <v>997</v>
      </c>
      <c r="E92" t="s">
        <v>1965</v>
      </c>
      <c r="G92" s="81" t="s">
        <v>2328</v>
      </c>
    </row>
    <row r="93" spans="1:7" x14ac:dyDescent="0.25">
      <c r="A93">
        <v>92</v>
      </c>
      <c r="B93" s="81" t="s">
        <v>2446</v>
      </c>
      <c r="C93" s="38" t="s">
        <v>1001</v>
      </c>
      <c r="D93" s="39" t="s">
        <v>1002</v>
      </c>
      <c r="E93" t="s">
        <v>1966</v>
      </c>
      <c r="G93" s="81" t="s">
        <v>2329</v>
      </c>
    </row>
    <row r="94" spans="1:7" x14ac:dyDescent="0.25">
      <c r="A94">
        <v>93</v>
      </c>
      <c r="B94" s="81" t="s">
        <v>2447</v>
      </c>
      <c r="C94" s="42" t="s">
        <v>1983</v>
      </c>
      <c r="D94" s="39" t="s">
        <v>1006</v>
      </c>
      <c r="E94" t="s">
        <v>1967</v>
      </c>
      <c r="G94" s="81" t="s">
        <v>2330</v>
      </c>
    </row>
    <row r="95" spans="1:7" x14ac:dyDescent="0.25">
      <c r="A95">
        <v>94</v>
      </c>
      <c r="B95" s="81" t="s">
        <v>2481</v>
      </c>
      <c r="C95" s="42" t="s">
        <v>1008</v>
      </c>
      <c r="D95" s="39" t="s">
        <v>1009</v>
      </c>
      <c r="E95" t="s">
        <v>1968</v>
      </c>
      <c r="G95" s="81" t="s">
        <v>2331</v>
      </c>
    </row>
    <row r="96" spans="1:7" x14ac:dyDescent="0.25">
      <c r="A96">
        <v>95</v>
      </c>
      <c r="B96" s="81" t="s">
        <v>2485</v>
      </c>
      <c r="C96" s="42" t="s">
        <v>1984</v>
      </c>
      <c r="D96" s="39" t="s">
        <v>1012</v>
      </c>
      <c r="E96" t="s">
        <v>1969</v>
      </c>
      <c r="G96" s="81" t="s">
        <v>2332</v>
      </c>
    </row>
    <row r="97" spans="1:7" x14ac:dyDescent="0.25">
      <c r="A97">
        <v>96</v>
      </c>
      <c r="B97" s="81" t="s">
        <v>2487</v>
      </c>
      <c r="C97" s="38" t="s">
        <v>1014</v>
      </c>
      <c r="D97" s="39" t="s">
        <v>1015</v>
      </c>
      <c r="E97" t="s">
        <v>1970</v>
      </c>
      <c r="G97" s="81" t="s">
        <v>2333</v>
      </c>
    </row>
    <row r="98" spans="1:7" x14ac:dyDescent="0.25">
      <c r="A98">
        <v>97</v>
      </c>
      <c r="B98" s="81" t="s">
        <v>2492</v>
      </c>
      <c r="C98" s="38" t="s">
        <v>1018</v>
      </c>
      <c r="D98" s="39" t="s">
        <v>1019</v>
      </c>
      <c r="E98" t="s">
        <v>1971</v>
      </c>
      <c r="G98" s="81" t="s">
        <v>2334</v>
      </c>
    </row>
    <row r="99" spans="1:7" x14ac:dyDescent="0.25">
      <c r="A99">
        <v>98</v>
      </c>
      <c r="B99" s="81" t="s">
        <v>2494</v>
      </c>
      <c r="C99" s="38" t="s">
        <v>1022</v>
      </c>
      <c r="D99" s="39" t="s">
        <v>1023</v>
      </c>
      <c r="E99" t="s">
        <v>1972</v>
      </c>
      <c r="G99" s="81" t="s">
        <v>2335</v>
      </c>
    </row>
    <row r="100" spans="1:7" x14ac:dyDescent="0.25">
      <c r="A100">
        <v>99</v>
      </c>
      <c r="B100" s="81" t="s">
        <v>2504</v>
      </c>
      <c r="C100" s="38" t="s">
        <v>1026</v>
      </c>
      <c r="D100" s="39" t="s">
        <v>1027</v>
      </c>
      <c r="E100" t="s">
        <v>1973</v>
      </c>
      <c r="G100" s="81" t="s">
        <v>2336</v>
      </c>
    </row>
    <row r="101" spans="1:7" x14ac:dyDescent="0.25">
      <c r="A101">
        <v>100</v>
      </c>
      <c r="B101" s="81" t="s">
        <v>2509</v>
      </c>
      <c r="C101" s="38" t="s">
        <v>1029</v>
      </c>
      <c r="D101" s="39" t="s">
        <v>1030</v>
      </c>
      <c r="E101" t="s">
        <v>1974</v>
      </c>
      <c r="G101" s="81" t="s">
        <v>2337</v>
      </c>
    </row>
    <row r="102" spans="1:7" x14ac:dyDescent="0.25">
      <c r="A102">
        <v>101</v>
      </c>
      <c r="B102" s="81" t="s">
        <v>2513</v>
      </c>
      <c r="C102" s="38" t="s">
        <v>1033</v>
      </c>
      <c r="D102" s="39" t="s">
        <v>1034</v>
      </c>
      <c r="E102" t="s">
        <v>1975</v>
      </c>
      <c r="G102" s="81" t="s">
        <v>2338</v>
      </c>
    </row>
    <row r="103" spans="1:7" x14ac:dyDescent="0.25">
      <c r="A103">
        <v>102</v>
      </c>
      <c r="B103" s="81" t="s">
        <v>2514</v>
      </c>
      <c r="C103" s="38" t="s">
        <v>1038</v>
      </c>
      <c r="D103" s="39" t="s">
        <v>1039</v>
      </c>
      <c r="E103" t="s">
        <v>1976</v>
      </c>
      <c r="G103" s="81" t="s">
        <v>2339</v>
      </c>
    </row>
    <row r="104" spans="1:7" x14ac:dyDescent="0.25">
      <c r="A104">
        <v>103</v>
      </c>
      <c r="B104" s="81" t="s">
        <v>2515</v>
      </c>
      <c r="C104" s="38" t="s">
        <v>1042</v>
      </c>
      <c r="D104" s="39" t="s">
        <v>1043</v>
      </c>
      <c r="E104" t="s">
        <v>1977</v>
      </c>
      <c r="G104" s="81" t="s">
        <v>2340</v>
      </c>
    </row>
    <row r="105" spans="1:7" x14ac:dyDescent="0.25">
      <c r="A105">
        <v>104</v>
      </c>
      <c r="B105" s="81" t="s">
        <v>2543</v>
      </c>
      <c r="C105" s="38" t="s">
        <v>1044</v>
      </c>
      <c r="D105" s="39" t="s">
        <v>1045</v>
      </c>
      <c r="E105" t="s">
        <v>1978</v>
      </c>
      <c r="G105" s="81" t="s">
        <v>2341</v>
      </c>
    </row>
    <row r="106" spans="1:7" x14ac:dyDescent="0.25">
      <c r="A106">
        <v>105</v>
      </c>
      <c r="B106" s="81" t="s">
        <v>2557</v>
      </c>
      <c r="C106" s="38" t="s">
        <v>1047</v>
      </c>
      <c r="D106" s="39" t="s">
        <v>1048</v>
      </c>
      <c r="E106" t="s">
        <v>1979</v>
      </c>
      <c r="G106" s="81" t="s">
        <v>2342</v>
      </c>
    </row>
    <row r="107" spans="1:7" x14ac:dyDescent="0.25">
      <c r="A107">
        <v>106</v>
      </c>
      <c r="B107" s="81" t="s">
        <v>2560</v>
      </c>
      <c r="C107" s="38" t="s">
        <v>1052</v>
      </c>
      <c r="D107" s="39" t="s">
        <v>1053</v>
      </c>
      <c r="E107" t="s">
        <v>1980</v>
      </c>
      <c r="G107" s="81" t="s">
        <v>2343</v>
      </c>
    </row>
    <row r="108" spans="1:7" x14ac:dyDescent="0.25">
      <c r="A108">
        <v>107</v>
      </c>
      <c r="B108" s="81" t="s">
        <v>2566</v>
      </c>
      <c r="C108" s="38" t="s">
        <v>1057</v>
      </c>
      <c r="D108" s="39" t="s">
        <v>1058</v>
      </c>
      <c r="E108" t="s">
        <v>1981</v>
      </c>
      <c r="G108" s="81" t="s">
        <v>2344</v>
      </c>
    </row>
    <row r="109" spans="1:7" x14ac:dyDescent="0.25">
      <c r="A109">
        <v>108</v>
      </c>
      <c r="B109" s="81" t="s">
        <v>2587</v>
      </c>
      <c r="C109" s="38" t="s">
        <v>1062</v>
      </c>
      <c r="D109" s="39" t="s">
        <v>1063</v>
      </c>
      <c r="E109" t="s">
        <v>1982</v>
      </c>
      <c r="G109" s="81" t="s">
        <v>2345</v>
      </c>
    </row>
    <row r="110" spans="1:7" x14ac:dyDescent="0.25">
      <c r="A110">
        <v>109</v>
      </c>
      <c r="B110" s="81" t="s">
        <v>2239</v>
      </c>
      <c r="C110" s="38" t="s">
        <v>1066</v>
      </c>
      <c r="D110" s="39" t="s">
        <v>1067</v>
      </c>
      <c r="E110" t="s">
        <v>1985</v>
      </c>
      <c r="G110" s="81" t="s">
        <v>2346</v>
      </c>
    </row>
    <row r="111" spans="1:7" x14ac:dyDescent="0.25">
      <c r="A111">
        <v>110</v>
      </c>
      <c r="B111" s="81" t="s">
        <v>2272</v>
      </c>
      <c r="C111" s="38" t="s">
        <v>1068</v>
      </c>
      <c r="D111" s="39" t="s">
        <v>1069</v>
      </c>
      <c r="E111" t="s">
        <v>1992</v>
      </c>
      <c r="G111" s="81" t="s">
        <v>2347</v>
      </c>
    </row>
    <row r="112" spans="1:7" x14ac:dyDescent="0.25">
      <c r="A112">
        <v>111</v>
      </c>
      <c r="B112" s="81" t="s">
        <v>2277</v>
      </c>
      <c r="C112" s="38" t="s">
        <v>1072</v>
      </c>
      <c r="D112" s="39" t="s">
        <v>1073</v>
      </c>
      <c r="E112" t="s">
        <v>1993</v>
      </c>
      <c r="G112" s="81" t="s">
        <v>2348</v>
      </c>
    </row>
    <row r="113" spans="1:7" x14ac:dyDescent="0.25">
      <c r="A113">
        <v>112</v>
      </c>
      <c r="B113" s="81" t="s">
        <v>2288</v>
      </c>
      <c r="C113" s="38" t="s">
        <v>1077</v>
      </c>
      <c r="D113" s="39" t="s">
        <v>1078</v>
      </c>
      <c r="E113" t="s">
        <v>1994</v>
      </c>
      <c r="G113" s="81" t="s">
        <v>2349</v>
      </c>
    </row>
    <row r="114" spans="1:7" x14ac:dyDescent="0.25">
      <c r="A114">
        <v>113</v>
      </c>
      <c r="B114" s="81" t="s">
        <v>2301</v>
      </c>
      <c r="C114" s="80" t="s">
        <v>1081</v>
      </c>
      <c r="D114" s="39" t="s">
        <v>1082</v>
      </c>
      <c r="E114" t="s">
        <v>1995</v>
      </c>
      <c r="G114" s="81" t="s">
        <v>2350</v>
      </c>
    </row>
    <row r="115" spans="1:7" x14ac:dyDescent="0.25">
      <c r="A115">
        <v>114</v>
      </c>
      <c r="B115" s="81" t="s">
        <v>2314</v>
      </c>
      <c r="C115" s="38" t="s">
        <v>1085</v>
      </c>
      <c r="D115" s="39" t="s">
        <v>1086</v>
      </c>
      <c r="E115" t="s">
        <v>1996</v>
      </c>
      <c r="G115" s="81" t="s">
        <v>2351</v>
      </c>
    </row>
    <row r="116" spans="1:7" x14ac:dyDescent="0.25">
      <c r="A116">
        <v>115</v>
      </c>
      <c r="B116" s="81" t="s">
        <v>2321</v>
      </c>
      <c r="C116" s="38" t="s">
        <v>1087</v>
      </c>
      <c r="D116" s="39" t="s">
        <v>1088</v>
      </c>
      <c r="E116" t="s">
        <v>1997</v>
      </c>
      <c r="G116" s="81" t="s">
        <v>2352</v>
      </c>
    </row>
    <row r="117" spans="1:7" x14ac:dyDescent="0.25">
      <c r="A117">
        <v>116</v>
      </c>
      <c r="B117" s="81" t="s">
        <v>2326</v>
      </c>
      <c r="C117" s="38" t="s">
        <v>1091</v>
      </c>
      <c r="D117" s="39" t="s">
        <v>1092</v>
      </c>
      <c r="E117" t="s">
        <v>1998</v>
      </c>
      <c r="G117" s="81" t="s">
        <v>2353</v>
      </c>
    </row>
    <row r="118" spans="1:7" x14ac:dyDescent="0.25">
      <c r="A118">
        <v>117</v>
      </c>
      <c r="B118" s="81" t="s">
        <v>2329</v>
      </c>
      <c r="C118" s="38" t="s">
        <v>1094</v>
      </c>
      <c r="D118" s="39" t="s">
        <v>1095</v>
      </c>
      <c r="E118" t="s">
        <v>1999</v>
      </c>
      <c r="G118" s="81" t="s">
        <v>2354</v>
      </c>
    </row>
    <row r="119" spans="1:7" x14ac:dyDescent="0.25">
      <c r="A119">
        <v>118</v>
      </c>
      <c r="B119" s="81" t="s">
        <v>2339</v>
      </c>
      <c r="C119" s="38" t="s">
        <v>1099</v>
      </c>
      <c r="D119" s="39" t="s">
        <v>1100</v>
      </c>
      <c r="E119" t="s">
        <v>2000</v>
      </c>
      <c r="G119" s="81" t="s">
        <v>2355</v>
      </c>
    </row>
    <row r="120" spans="1:7" x14ac:dyDescent="0.25">
      <c r="A120">
        <v>119</v>
      </c>
      <c r="B120" s="81" t="s">
        <v>2341</v>
      </c>
      <c r="C120" s="38" t="s">
        <v>1102</v>
      </c>
      <c r="D120" s="39" t="s">
        <v>1103</v>
      </c>
      <c r="E120" t="s">
        <v>2001</v>
      </c>
      <c r="G120" s="81" t="s">
        <v>2356</v>
      </c>
    </row>
    <row r="121" spans="1:7" x14ac:dyDescent="0.25">
      <c r="A121">
        <v>120</v>
      </c>
      <c r="B121" s="81" t="s">
        <v>2356</v>
      </c>
      <c r="C121" s="38" t="s">
        <v>1105</v>
      </c>
      <c r="D121" s="39" t="s">
        <v>1106</v>
      </c>
      <c r="E121" t="s">
        <v>2002</v>
      </c>
      <c r="G121" s="81" t="s">
        <v>2357</v>
      </c>
    </row>
    <row r="122" spans="1:7" x14ac:dyDescent="0.25">
      <c r="A122">
        <v>121</v>
      </c>
      <c r="B122" s="81" t="s">
        <v>2358</v>
      </c>
      <c r="C122" s="38" t="s">
        <v>1107</v>
      </c>
      <c r="D122" s="39" t="s">
        <v>1108</v>
      </c>
      <c r="E122" t="s">
        <v>2003</v>
      </c>
      <c r="G122" s="81" t="s">
        <v>2358</v>
      </c>
    </row>
    <row r="123" spans="1:7" x14ac:dyDescent="0.25">
      <c r="A123">
        <v>122</v>
      </c>
      <c r="B123" s="81" t="s">
        <v>2361</v>
      </c>
      <c r="C123" s="38" t="s">
        <v>1112</v>
      </c>
      <c r="D123" s="39" t="s">
        <v>1113</v>
      </c>
      <c r="E123" t="s">
        <v>2004</v>
      </c>
      <c r="G123" s="81" t="s">
        <v>2359</v>
      </c>
    </row>
    <row r="124" spans="1:7" x14ac:dyDescent="0.25">
      <c r="A124">
        <v>123</v>
      </c>
      <c r="B124" s="81" t="s">
        <v>2373</v>
      </c>
      <c r="C124" s="38" t="s">
        <v>1116</v>
      </c>
      <c r="D124" s="39" t="s">
        <v>1117</v>
      </c>
      <c r="E124" t="s">
        <v>2005</v>
      </c>
      <c r="G124" s="81" t="s">
        <v>2360</v>
      </c>
    </row>
    <row r="125" spans="1:7" x14ac:dyDescent="0.25">
      <c r="A125">
        <v>124</v>
      </c>
      <c r="B125" s="81" t="s">
        <v>2394</v>
      </c>
      <c r="C125" s="38" t="s">
        <v>1119</v>
      </c>
      <c r="D125" s="39" t="s">
        <v>1120</v>
      </c>
      <c r="E125" t="s">
        <v>2006</v>
      </c>
      <c r="G125" s="81" t="s">
        <v>2361</v>
      </c>
    </row>
    <row r="126" spans="1:7" x14ac:dyDescent="0.25">
      <c r="A126">
        <v>125</v>
      </c>
      <c r="B126" s="81" t="s">
        <v>2396</v>
      </c>
      <c r="C126" s="38" t="s">
        <v>1124</v>
      </c>
      <c r="D126" s="39" t="s">
        <v>1125</v>
      </c>
      <c r="E126" t="s">
        <v>2007</v>
      </c>
      <c r="G126" s="81" t="s">
        <v>2362</v>
      </c>
    </row>
    <row r="127" spans="1:7" x14ac:dyDescent="0.25">
      <c r="A127">
        <v>126</v>
      </c>
      <c r="B127" s="81" t="s">
        <v>2401</v>
      </c>
      <c r="C127" s="38" t="s">
        <v>1129</v>
      </c>
      <c r="D127" s="39" t="s">
        <v>1130</v>
      </c>
      <c r="E127" t="s">
        <v>2008</v>
      </c>
      <c r="G127" s="81" t="s">
        <v>2363</v>
      </c>
    </row>
    <row r="128" spans="1:7" x14ac:dyDescent="0.25">
      <c r="A128">
        <v>127</v>
      </c>
      <c r="B128" s="81" t="s">
        <v>2406</v>
      </c>
      <c r="C128" s="38" t="s">
        <v>1132</v>
      </c>
      <c r="D128" s="39" t="s">
        <v>1133</v>
      </c>
      <c r="E128" t="s">
        <v>2009</v>
      </c>
      <c r="G128" s="81" t="s">
        <v>2364</v>
      </c>
    </row>
    <row r="129" spans="1:7" x14ac:dyDescent="0.25">
      <c r="A129">
        <v>128</v>
      </c>
      <c r="B129" s="81" t="s">
        <v>2416</v>
      </c>
      <c r="C129" s="38" t="s">
        <v>1137</v>
      </c>
      <c r="D129" s="39" t="s">
        <v>1138</v>
      </c>
      <c r="E129" t="s">
        <v>2010</v>
      </c>
      <c r="G129" s="81" t="s">
        <v>2365</v>
      </c>
    </row>
    <row r="130" spans="1:7" x14ac:dyDescent="0.25">
      <c r="A130">
        <v>129</v>
      </c>
      <c r="B130" s="81" t="s">
        <v>2428</v>
      </c>
      <c r="C130" s="38" t="s">
        <v>1143</v>
      </c>
      <c r="D130" s="39" t="s">
        <v>1144</v>
      </c>
      <c r="E130" t="s">
        <v>2011</v>
      </c>
      <c r="G130" s="81" t="s">
        <v>2366</v>
      </c>
    </row>
    <row r="131" spans="1:7" x14ac:dyDescent="0.25">
      <c r="A131">
        <v>130</v>
      </c>
      <c r="B131" s="81" t="s">
        <v>2440</v>
      </c>
      <c r="C131" s="38" t="s">
        <v>1145</v>
      </c>
      <c r="D131" s="39" t="s">
        <v>1146</v>
      </c>
      <c r="E131" t="s">
        <v>2012</v>
      </c>
      <c r="G131" s="81" t="s">
        <v>2367</v>
      </c>
    </row>
    <row r="132" spans="1:7" x14ac:dyDescent="0.25">
      <c r="A132">
        <v>131</v>
      </c>
      <c r="B132" s="81" t="s">
        <v>2452</v>
      </c>
      <c r="C132" s="38" t="s">
        <v>1149</v>
      </c>
      <c r="D132" s="39" t="s">
        <v>1150</v>
      </c>
      <c r="E132" t="s">
        <v>2013</v>
      </c>
      <c r="G132" s="81" t="s">
        <v>2368</v>
      </c>
    </row>
    <row r="133" spans="1:7" x14ac:dyDescent="0.25">
      <c r="A133">
        <v>132</v>
      </c>
      <c r="B133" s="81" t="s">
        <v>2464</v>
      </c>
      <c r="C133" s="38" t="s">
        <v>1153</v>
      </c>
      <c r="D133" s="39" t="s">
        <v>1154</v>
      </c>
      <c r="E133" t="s">
        <v>2014</v>
      </c>
      <c r="G133" s="81" t="s">
        <v>2369</v>
      </c>
    </row>
    <row r="134" spans="1:7" x14ac:dyDescent="0.25">
      <c r="A134">
        <v>133</v>
      </c>
      <c r="B134" s="81" t="s">
        <v>2488</v>
      </c>
      <c r="C134" s="38" t="s">
        <v>1158</v>
      </c>
      <c r="D134" s="39" t="s">
        <v>1159</v>
      </c>
      <c r="E134" t="s">
        <v>2015</v>
      </c>
      <c r="G134" s="81" t="s">
        <v>2370</v>
      </c>
    </row>
    <row r="135" spans="1:7" x14ac:dyDescent="0.25">
      <c r="A135">
        <v>134</v>
      </c>
      <c r="B135" s="81" t="s">
        <v>2512</v>
      </c>
      <c r="C135" s="38" t="s">
        <v>1164</v>
      </c>
      <c r="D135" s="39" t="s">
        <v>1165</v>
      </c>
      <c r="E135" t="s">
        <v>2016</v>
      </c>
      <c r="G135" s="81" t="s">
        <v>2371</v>
      </c>
    </row>
    <row r="136" spans="1:7" x14ac:dyDescent="0.25">
      <c r="A136">
        <v>135</v>
      </c>
      <c r="B136" s="81" t="s">
        <v>2523</v>
      </c>
      <c r="C136" s="38" t="s">
        <v>1168</v>
      </c>
      <c r="D136" s="39" t="s">
        <v>1169</v>
      </c>
      <c r="E136" t="s">
        <v>2017</v>
      </c>
      <c r="G136" s="81" t="s">
        <v>2372</v>
      </c>
    </row>
    <row r="137" spans="1:7" x14ac:dyDescent="0.25">
      <c r="A137">
        <v>136</v>
      </c>
      <c r="B137" s="81" t="s">
        <v>2542</v>
      </c>
      <c r="C137" s="38" t="s">
        <v>1171</v>
      </c>
      <c r="D137" s="39" t="s">
        <v>1172</v>
      </c>
      <c r="E137" t="s">
        <v>2018</v>
      </c>
      <c r="G137" s="81" t="s">
        <v>2373</v>
      </c>
    </row>
    <row r="138" spans="1:7" x14ac:dyDescent="0.25">
      <c r="A138">
        <v>137</v>
      </c>
      <c r="B138" s="81" t="s">
        <v>2553</v>
      </c>
      <c r="C138" s="38" t="s">
        <v>1174</v>
      </c>
      <c r="D138" s="39" t="s">
        <v>1175</v>
      </c>
      <c r="E138" t="s">
        <v>2019</v>
      </c>
      <c r="G138" s="81" t="s">
        <v>2374</v>
      </c>
    </row>
    <row r="139" spans="1:7" x14ac:dyDescent="0.25">
      <c r="A139">
        <v>138</v>
      </c>
      <c r="B139" s="81" t="s">
        <v>2559</v>
      </c>
      <c r="C139" s="38" t="s">
        <v>1177</v>
      </c>
      <c r="D139" s="39" t="s">
        <v>1178</v>
      </c>
      <c r="E139" t="s">
        <v>2020</v>
      </c>
      <c r="G139" s="81" t="s">
        <v>2375</v>
      </c>
    </row>
    <row r="140" spans="1:7" x14ac:dyDescent="0.25">
      <c r="A140">
        <v>139</v>
      </c>
      <c r="B140" s="81" t="s">
        <v>2567</v>
      </c>
      <c r="C140" s="38" t="s">
        <v>1182</v>
      </c>
      <c r="D140" s="39" t="s">
        <v>1183</v>
      </c>
      <c r="E140" t="s">
        <v>2021</v>
      </c>
      <c r="G140" s="81" t="s">
        <v>2376</v>
      </c>
    </row>
    <row r="141" spans="1:7" x14ac:dyDescent="0.25">
      <c r="A141">
        <v>140</v>
      </c>
      <c r="B141" s="81" t="s">
        <v>2569</v>
      </c>
      <c r="C141" s="38" t="s">
        <v>1185</v>
      </c>
      <c r="D141" s="39" t="s">
        <v>1186</v>
      </c>
      <c r="E141" t="s">
        <v>2022</v>
      </c>
      <c r="G141" s="81" t="s">
        <v>2377</v>
      </c>
    </row>
    <row r="142" spans="1:7" x14ac:dyDescent="0.25">
      <c r="A142">
        <v>141</v>
      </c>
      <c r="B142" s="81" t="s">
        <v>2576</v>
      </c>
      <c r="C142" s="38" t="s">
        <v>1189</v>
      </c>
      <c r="D142" s="39" t="s">
        <v>1190</v>
      </c>
      <c r="E142" t="s">
        <v>2023</v>
      </c>
      <c r="G142" s="81" t="s">
        <v>2378</v>
      </c>
    </row>
    <row r="143" spans="1:7" x14ac:dyDescent="0.25">
      <c r="A143">
        <v>142</v>
      </c>
      <c r="B143" s="81" t="s">
        <v>2586</v>
      </c>
      <c r="C143" s="38" t="s">
        <v>1191</v>
      </c>
      <c r="D143" s="39" t="s">
        <v>1192</v>
      </c>
      <c r="E143" t="s">
        <v>2024</v>
      </c>
      <c r="G143" s="81" t="s">
        <v>2379</v>
      </c>
    </row>
    <row r="144" spans="1:7" x14ac:dyDescent="0.25">
      <c r="A144">
        <v>143</v>
      </c>
      <c r="B144" s="81" t="s">
        <v>2595</v>
      </c>
      <c r="C144" s="38" t="s">
        <v>1195</v>
      </c>
      <c r="D144" s="39" t="s">
        <v>1196</v>
      </c>
      <c r="E144" t="s">
        <v>2025</v>
      </c>
      <c r="G144" s="81" t="s">
        <v>2380</v>
      </c>
    </row>
    <row r="145" spans="1:7" x14ac:dyDescent="0.25">
      <c r="A145">
        <v>144</v>
      </c>
      <c r="B145" s="81" t="s">
        <v>2242</v>
      </c>
      <c r="C145" s="38" t="s">
        <v>1199</v>
      </c>
      <c r="D145" s="39" t="s">
        <v>1200</v>
      </c>
      <c r="E145" t="s">
        <v>1986</v>
      </c>
      <c r="G145" s="81" t="s">
        <v>2381</v>
      </c>
    </row>
    <row r="146" spans="1:7" x14ac:dyDescent="0.25">
      <c r="A146">
        <v>145</v>
      </c>
      <c r="B146" s="81" t="s">
        <v>2249</v>
      </c>
      <c r="C146" s="38" t="s">
        <v>1203</v>
      </c>
      <c r="D146" s="39" t="s">
        <v>1204</v>
      </c>
      <c r="E146" t="s">
        <v>2027</v>
      </c>
      <c r="G146" s="81" t="s">
        <v>2382</v>
      </c>
    </row>
    <row r="147" spans="1:7" x14ac:dyDescent="0.25">
      <c r="A147">
        <v>146</v>
      </c>
      <c r="B147" s="81" t="s">
        <v>2251</v>
      </c>
      <c r="C147" s="38" t="s">
        <v>1206</v>
      </c>
      <c r="D147" s="39" t="s">
        <v>1207</v>
      </c>
      <c r="E147" t="s">
        <v>2030</v>
      </c>
      <c r="G147" s="81" t="s">
        <v>2383</v>
      </c>
    </row>
    <row r="148" spans="1:7" x14ac:dyDescent="0.25">
      <c r="A148">
        <v>147</v>
      </c>
      <c r="B148" s="81" t="s">
        <v>2255</v>
      </c>
      <c r="C148" s="42" t="s">
        <v>1861</v>
      </c>
      <c r="D148" s="39" t="s">
        <v>1208</v>
      </c>
      <c r="E148" t="s">
        <v>2031</v>
      </c>
      <c r="G148" s="81" t="s">
        <v>2384</v>
      </c>
    </row>
    <row r="149" spans="1:7" x14ac:dyDescent="0.25">
      <c r="A149">
        <v>148</v>
      </c>
      <c r="B149" s="81" t="s">
        <v>2267</v>
      </c>
      <c r="C149" s="38" t="s">
        <v>1210</v>
      </c>
      <c r="D149" s="39" t="s">
        <v>1211</v>
      </c>
      <c r="E149" t="s">
        <v>2032</v>
      </c>
      <c r="G149" s="81" t="s">
        <v>2385</v>
      </c>
    </row>
    <row r="150" spans="1:7" x14ac:dyDescent="0.25">
      <c r="A150">
        <v>149</v>
      </c>
      <c r="B150" s="81" t="s">
        <v>2291</v>
      </c>
      <c r="C150" s="38" t="s">
        <v>1218</v>
      </c>
      <c r="D150" s="39" t="s">
        <v>1219</v>
      </c>
      <c r="E150" t="s">
        <v>2033</v>
      </c>
      <c r="G150" s="81" t="s">
        <v>2386</v>
      </c>
    </row>
    <row r="151" spans="1:7" x14ac:dyDescent="0.25">
      <c r="A151">
        <v>150</v>
      </c>
      <c r="B151" s="81" t="s">
        <v>2300</v>
      </c>
      <c r="C151" s="38" t="s">
        <v>1286</v>
      </c>
      <c r="D151" s="39" t="s">
        <v>1287</v>
      </c>
      <c r="E151" t="s">
        <v>2034</v>
      </c>
      <c r="G151" s="81" t="s">
        <v>2387</v>
      </c>
    </row>
    <row r="152" spans="1:7" x14ac:dyDescent="0.25">
      <c r="A152">
        <v>151</v>
      </c>
      <c r="B152" s="81" t="s">
        <v>2309</v>
      </c>
      <c r="C152" s="38" t="s">
        <v>1221</v>
      </c>
      <c r="D152" s="39" t="s">
        <v>1222</v>
      </c>
      <c r="E152" t="s">
        <v>2035</v>
      </c>
      <c r="G152" s="81" t="s">
        <v>2388</v>
      </c>
    </row>
    <row r="153" spans="1:7" x14ac:dyDescent="0.25">
      <c r="A153">
        <v>152</v>
      </c>
      <c r="B153" s="81" t="s">
        <v>2315</v>
      </c>
      <c r="C153" s="38" t="s">
        <v>1227</v>
      </c>
      <c r="D153" s="39" t="s">
        <v>1228</v>
      </c>
      <c r="E153" t="s">
        <v>2036</v>
      </c>
      <c r="G153" s="81" t="s">
        <v>2389</v>
      </c>
    </row>
    <row r="154" spans="1:7" x14ac:dyDescent="0.25">
      <c r="A154">
        <v>153</v>
      </c>
      <c r="B154" s="81" t="s">
        <v>2323</v>
      </c>
      <c r="C154" s="38" t="s">
        <v>1230</v>
      </c>
      <c r="D154" s="39" t="s">
        <v>1231</v>
      </c>
      <c r="E154" t="s">
        <v>2037</v>
      </c>
      <c r="G154" s="81" t="s">
        <v>2390</v>
      </c>
    </row>
    <row r="155" spans="1:7" x14ac:dyDescent="0.25">
      <c r="A155">
        <v>154</v>
      </c>
      <c r="B155" s="81" t="s">
        <v>2332</v>
      </c>
      <c r="C155" s="38" t="s">
        <v>1233</v>
      </c>
      <c r="D155" s="39" t="s">
        <v>1234</v>
      </c>
      <c r="E155" t="s">
        <v>2026</v>
      </c>
      <c r="G155" s="81" t="s">
        <v>2391</v>
      </c>
    </row>
    <row r="156" spans="1:7" x14ac:dyDescent="0.25">
      <c r="A156">
        <v>155</v>
      </c>
      <c r="B156" s="81" t="s">
        <v>2340</v>
      </c>
      <c r="C156" s="38" t="s">
        <v>1236</v>
      </c>
      <c r="D156" s="39" t="s">
        <v>1237</v>
      </c>
      <c r="E156" t="s">
        <v>2038</v>
      </c>
      <c r="G156" s="81" t="s">
        <v>2392</v>
      </c>
    </row>
    <row r="157" spans="1:7" x14ac:dyDescent="0.25">
      <c r="A157">
        <v>156</v>
      </c>
      <c r="B157" s="81" t="s">
        <v>2349</v>
      </c>
      <c r="C157" s="48" t="s">
        <v>1238</v>
      </c>
      <c r="D157" s="39" t="s">
        <v>1239</v>
      </c>
      <c r="E157" t="s">
        <v>2039</v>
      </c>
      <c r="G157" s="81" t="s">
        <v>2393</v>
      </c>
    </row>
    <row r="158" spans="1:7" x14ac:dyDescent="0.25">
      <c r="A158">
        <v>157</v>
      </c>
      <c r="B158" s="81" t="s">
        <v>2384</v>
      </c>
      <c r="C158" s="38" t="s">
        <v>1249</v>
      </c>
      <c r="D158" s="39" t="s">
        <v>1250</v>
      </c>
      <c r="E158" t="s">
        <v>2040</v>
      </c>
      <c r="G158" s="81" t="s">
        <v>2394</v>
      </c>
    </row>
    <row r="159" spans="1:7" x14ac:dyDescent="0.25">
      <c r="A159">
        <v>158</v>
      </c>
      <c r="B159" s="81" t="s">
        <v>2386</v>
      </c>
      <c r="C159" s="38" t="s">
        <v>1254</v>
      </c>
      <c r="D159" s="39" t="s">
        <v>1255</v>
      </c>
      <c r="E159" t="s">
        <v>2041</v>
      </c>
      <c r="G159" s="81" t="s">
        <v>2395</v>
      </c>
    </row>
    <row r="160" spans="1:7" x14ac:dyDescent="0.25">
      <c r="A160">
        <v>159</v>
      </c>
      <c r="B160" s="81" t="s">
        <v>2395</v>
      </c>
      <c r="C160" s="38" t="s">
        <v>1258</v>
      </c>
      <c r="D160" s="39" t="s">
        <v>1259</v>
      </c>
      <c r="E160" t="s">
        <v>2042</v>
      </c>
      <c r="G160" s="81" t="s">
        <v>2396</v>
      </c>
    </row>
    <row r="161" spans="1:7" x14ac:dyDescent="0.25">
      <c r="A161">
        <v>160</v>
      </c>
      <c r="B161" s="81" t="s">
        <v>2403</v>
      </c>
      <c r="C161" s="38" t="s">
        <v>1262</v>
      </c>
      <c r="D161" s="39" t="s">
        <v>1263</v>
      </c>
      <c r="E161" t="s">
        <v>2043</v>
      </c>
      <c r="G161" s="81" t="s">
        <v>2397</v>
      </c>
    </row>
    <row r="162" spans="1:7" x14ac:dyDescent="0.25">
      <c r="A162">
        <v>161</v>
      </c>
      <c r="B162" s="81" t="s">
        <v>2411</v>
      </c>
      <c r="C162" s="38" t="s">
        <v>1266</v>
      </c>
      <c r="D162" s="39" t="s">
        <v>1267</v>
      </c>
      <c r="E162" t="s">
        <v>2044</v>
      </c>
      <c r="G162" s="81" t="s">
        <v>2398</v>
      </c>
    </row>
    <row r="163" spans="1:7" x14ac:dyDescent="0.25">
      <c r="A163">
        <v>162</v>
      </c>
      <c r="B163" s="81" t="s">
        <v>2414</v>
      </c>
      <c r="C163" s="38" t="s">
        <v>1269</v>
      </c>
      <c r="D163" s="39" t="s">
        <v>1270</v>
      </c>
      <c r="E163" t="s">
        <v>2045</v>
      </c>
      <c r="G163" s="81" t="s">
        <v>2399</v>
      </c>
    </row>
    <row r="164" spans="1:7" x14ac:dyDescent="0.25">
      <c r="A164">
        <v>163</v>
      </c>
      <c r="B164" s="81" t="s">
        <v>2435</v>
      </c>
      <c r="C164" s="38" t="s">
        <v>1273</v>
      </c>
      <c r="D164" s="39" t="s">
        <v>1274</v>
      </c>
      <c r="E164" t="s">
        <v>2046</v>
      </c>
      <c r="G164" s="81" t="s">
        <v>2400</v>
      </c>
    </row>
    <row r="165" spans="1:7" x14ac:dyDescent="0.25">
      <c r="A165">
        <v>164</v>
      </c>
      <c r="B165" s="81" t="s">
        <v>2445</v>
      </c>
      <c r="C165" s="38" t="s">
        <v>1277</v>
      </c>
      <c r="D165" s="39" t="s">
        <v>1278</v>
      </c>
      <c r="E165" t="s">
        <v>2047</v>
      </c>
      <c r="G165" s="81" t="s">
        <v>2401</v>
      </c>
    </row>
    <row r="166" spans="1:7" x14ac:dyDescent="0.25">
      <c r="A166">
        <v>165</v>
      </c>
      <c r="B166" s="81" t="s">
        <v>2459</v>
      </c>
      <c r="C166" s="38" t="s">
        <v>1282</v>
      </c>
      <c r="D166" s="39" t="s">
        <v>1283</v>
      </c>
      <c r="E166" t="s">
        <v>2048</v>
      </c>
      <c r="G166" s="81" t="s">
        <v>2402</v>
      </c>
    </row>
    <row r="167" spans="1:7" x14ac:dyDescent="0.25">
      <c r="A167">
        <v>166</v>
      </c>
      <c r="B167" s="81" t="s">
        <v>2467</v>
      </c>
      <c r="C167" s="38" t="s">
        <v>1290</v>
      </c>
      <c r="D167" s="39" t="s">
        <v>1291</v>
      </c>
      <c r="E167" t="s">
        <v>2049</v>
      </c>
      <c r="G167" s="81" t="s">
        <v>2403</v>
      </c>
    </row>
    <row r="168" spans="1:7" x14ac:dyDescent="0.25">
      <c r="A168">
        <v>167</v>
      </c>
      <c r="B168" s="81" t="s">
        <v>2470</v>
      </c>
      <c r="C168" s="38" t="s">
        <v>1295</v>
      </c>
      <c r="D168" s="39" t="s">
        <v>1296</v>
      </c>
      <c r="E168" t="s">
        <v>2050</v>
      </c>
      <c r="G168" s="81" t="s">
        <v>2404</v>
      </c>
    </row>
    <row r="169" spans="1:7" ht="15.75" x14ac:dyDescent="0.25">
      <c r="A169">
        <v>168</v>
      </c>
      <c r="B169" s="81" t="s">
        <v>2474</v>
      </c>
      <c r="C169" s="82" t="s">
        <v>1673</v>
      </c>
      <c r="D169" s="6" t="s">
        <v>1674</v>
      </c>
      <c r="E169" t="s">
        <v>2051</v>
      </c>
      <c r="G169" s="81" t="s">
        <v>2405</v>
      </c>
    </row>
    <row r="170" spans="1:7" ht="15.75" x14ac:dyDescent="0.25">
      <c r="A170">
        <v>169</v>
      </c>
      <c r="B170" s="81" t="s">
        <v>2476</v>
      </c>
      <c r="C170" s="5" t="s">
        <v>1822</v>
      </c>
      <c r="D170" s="6" t="s">
        <v>1823</v>
      </c>
      <c r="E170" t="s">
        <v>2052</v>
      </c>
      <c r="G170" s="81" t="s">
        <v>2406</v>
      </c>
    </row>
    <row r="171" spans="1:7" x14ac:dyDescent="0.25">
      <c r="A171">
        <v>170</v>
      </c>
      <c r="B171" s="81" t="s">
        <v>2480</v>
      </c>
      <c r="C171" s="38" t="s">
        <v>1300</v>
      </c>
      <c r="D171" s="39" t="s">
        <v>1301</v>
      </c>
      <c r="E171" t="s">
        <v>2053</v>
      </c>
      <c r="G171" s="81" t="s">
        <v>2407</v>
      </c>
    </row>
    <row r="172" spans="1:7" x14ac:dyDescent="0.25">
      <c r="A172">
        <v>171</v>
      </c>
      <c r="B172" s="81" t="s">
        <v>2483</v>
      </c>
      <c r="C172" s="38" t="s">
        <v>1302</v>
      </c>
      <c r="D172" s="39" t="s">
        <v>1303</v>
      </c>
      <c r="E172" t="s">
        <v>2054</v>
      </c>
      <c r="G172" s="81" t="s">
        <v>2408</v>
      </c>
    </row>
    <row r="173" spans="1:7" x14ac:dyDescent="0.25">
      <c r="A173">
        <v>172</v>
      </c>
      <c r="B173" s="81" t="s">
        <v>2510</v>
      </c>
      <c r="C173" s="38" t="s">
        <v>1306</v>
      </c>
      <c r="D173" s="39" t="s">
        <v>1307</v>
      </c>
      <c r="E173" t="s">
        <v>2055</v>
      </c>
      <c r="G173" s="81" t="s">
        <v>2409</v>
      </c>
    </row>
    <row r="174" spans="1:7" x14ac:dyDescent="0.25">
      <c r="A174">
        <v>173</v>
      </c>
      <c r="B174" s="81" t="s">
        <v>2511</v>
      </c>
      <c r="C174" s="38" t="s">
        <v>1311</v>
      </c>
      <c r="D174" s="39" t="s">
        <v>1312</v>
      </c>
      <c r="E174" t="s">
        <v>2056</v>
      </c>
      <c r="G174" s="81" t="s">
        <v>2410</v>
      </c>
    </row>
    <row r="175" spans="1:7" x14ac:dyDescent="0.25">
      <c r="A175">
        <v>174</v>
      </c>
      <c r="B175" s="81" t="s">
        <v>2527</v>
      </c>
      <c r="C175" s="38" t="s">
        <v>1313</v>
      </c>
      <c r="D175" s="39" t="s">
        <v>1314</v>
      </c>
      <c r="E175" t="s">
        <v>2057</v>
      </c>
      <c r="G175" s="81" t="s">
        <v>2411</v>
      </c>
    </row>
    <row r="176" spans="1:7" x14ac:dyDescent="0.25">
      <c r="A176">
        <v>175</v>
      </c>
      <c r="B176" s="81" t="s">
        <v>2537</v>
      </c>
      <c r="C176" s="38" t="s">
        <v>1318</v>
      </c>
      <c r="D176" s="39" t="s">
        <v>1319</v>
      </c>
      <c r="E176" t="s">
        <v>2058</v>
      </c>
      <c r="G176" s="81" t="s">
        <v>2412</v>
      </c>
    </row>
    <row r="177" spans="1:7" x14ac:dyDescent="0.25">
      <c r="A177">
        <v>176</v>
      </c>
      <c r="B177" s="81" t="s">
        <v>2541</v>
      </c>
      <c r="C177" s="38" t="s">
        <v>1322</v>
      </c>
      <c r="D177" s="39" t="s">
        <v>1323</v>
      </c>
      <c r="E177" t="s">
        <v>2059</v>
      </c>
      <c r="G177" s="81" t="s">
        <v>2413</v>
      </c>
    </row>
    <row r="178" spans="1:7" x14ac:dyDescent="0.25">
      <c r="A178">
        <v>177</v>
      </c>
      <c r="B178" s="81" t="s">
        <v>2556</v>
      </c>
      <c r="C178" s="38" t="s">
        <v>1326</v>
      </c>
      <c r="D178" s="39" t="s">
        <v>1327</v>
      </c>
      <c r="E178" t="s">
        <v>2060</v>
      </c>
      <c r="G178" s="81" t="s">
        <v>2414</v>
      </c>
    </row>
    <row r="179" spans="1:7" x14ac:dyDescent="0.25">
      <c r="A179">
        <v>178</v>
      </c>
      <c r="B179" s="81" t="s">
        <v>2562</v>
      </c>
      <c r="C179" s="38" t="s">
        <v>1328</v>
      </c>
      <c r="D179" s="39" t="s">
        <v>1329</v>
      </c>
      <c r="E179" t="s">
        <v>2061</v>
      </c>
      <c r="G179" s="81" t="s">
        <v>2415</v>
      </c>
    </row>
    <row r="180" spans="1:7" x14ac:dyDescent="0.25">
      <c r="A180">
        <v>179</v>
      </c>
      <c r="B180" s="81" t="s">
        <v>2589</v>
      </c>
      <c r="C180" s="38" t="s">
        <v>1333</v>
      </c>
      <c r="D180" s="39" t="s">
        <v>1334</v>
      </c>
      <c r="E180" t="s">
        <v>2062</v>
      </c>
      <c r="G180" s="81" t="s">
        <v>2416</v>
      </c>
    </row>
    <row r="181" spans="1:7" x14ac:dyDescent="0.25">
      <c r="A181">
        <v>180</v>
      </c>
      <c r="B181" s="81" t="s">
        <v>2240</v>
      </c>
      <c r="C181" s="38" t="s">
        <v>1336</v>
      </c>
      <c r="D181" s="39" t="s">
        <v>1337</v>
      </c>
      <c r="E181" t="s">
        <v>1990</v>
      </c>
      <c r="G181" s="81" t="s">
        <v>2417</v>
      </c>
    </row>
    <row r="182" spans="1:7" x14ac:dyDescent="0.25">
      <c r="A182">
        <v>181</v>
      </c>
      <c r="B182" s="81" t="s">
        <v>2250</v>
      </c>
      <c r="C182" s="38" t="s">
        <v>1340</v>
      </c>
      <c r="D182" s="39" t="s">
        <v>1341</v>
      </c>
      <c r="E182" t="s">
        <v>2063</v>
      </c>
      <c r="G182" s="81" t="s">
        <v>2418</v>
      </c>
    </row>
    <row r="183" spans="1:7" x14ac:dyDescent="0.25">
      <c r="A183">
        <v>182</v>
      </c>
      <c r="B183" s="81" t="s">
        <v>2266</v>
      </c>
      <c r="C183" s="38" t="s">
        <v>1342</v>
      </c>
      <c r="D183" s="39" t="s">
        <v>1343</v>
      </c>
      <c r="E183" t="s">
        <v>2064</v>
      </c>
      <c r="G183" s="81" t="s">
        <v>2419</v>
      </c>
    </row>
    <row r="184" spans="1:7" x14ac:dyDescent="0.25">
      <c r="A184">
        <v>183</v>
      </c>
      <c r="B184" s="81" t="s">
        <v>2285</v>
      </c>
      <c r="C184" s="38" t="s">
        <v>1344</v>
      </c>
      <c r="D184" s="39" t="s">
        <v>1345</v>
      </c>
      <c r="E184" t="s">
        <v>2065</v>
      </c>
      <c r="G184" s="81" t="s">
        <v>2420</v>
      </c>
    </row>
    <row r="185" spans="1:7" x14ac:dyDescent="0.25">
      <c r="A185">
        <v>184</v>
      </c>
      <c r="B185" s="81" t="s">
        <v>2292</v>
      </c>
      <c r="C185" s="38" t="s">
        <v>1346</v>
      </c>
      <c r="D185" s="39" t="s">
        <v>1347</v>
      </c>
      <c r="E185" t="s">
        <v>2066</v>
      </c>
      <c r="G185" s="81" t="s">
        <v>2421</v>
      </c>
    </row>
    <row r="186" spans="1:7" x14ac:dyDescent="0.25">
      <c r="A186">
        <v>185</v>
      </c>
      <c r="B186" s="81" t="s">
        <v>2316</v>
      </c>
      <c r="C186" s="38" t="s">
        <v>1351</v>
      </c>
      <c r="D186" s="39" t="s">
        <v>1352</v>
      </c>
      <c r="E186" t="s">
        <v>2067</v>
      </c>
      <c r="G186" s="81" t="s">
        <v>2422</v>
      </c>
    </row>
    <row r="187" spans="1:7" x14ac:dyDescent="0.25">
      <c r="A187">
        <v>186</v>
      </c>
      <c r="B187" s="81" t="s">
        <v>2331</v>
      </c>
      <c r="C187" s="38" t="s">
        <v>1353</v>
      </c>
      <c r="D187" s="39" t="s">
        <v>1354</v>
      </c>
      <c r="E187" t="s">
        <v>2068</v>
      </c>
      <c r="G187" s="81" t="s">
        <v>2423</v>
      </c>
    </row>
    <row r="188" spans="1:7" x14ac:dyDescent="0.25">
      <c r="A188">
        <v>187</v>
      </c>
      <c r="B188" s="81" t="s">
        <v>2333</v>
      </c>
      <c r="C188" s="38" t="s">
        <v>1357</v>
      </c>
      <c r="D188" s="39" t="s">
        <v>1358</v>
      </c>
      <c r="E188" t="s">
        <v>2069</v>
      </c>
      <c r="G188" s="81" t="s">
        <v>2424</v>
      </c>
    </row>
    <row r="189" spans="1:7" x14ac:dyDescent="0.25">
      <c r="A189">
        <v>188</v>
      </c>
      <c r="B189" s="81" t="s">
        <v>2365</v>
      </c>
      <c r="C189" s="38" t="s">
        <v>1363</v>
      </c>
      <c r="D189" s="39" t="s">
        <v>1364</v>
      </c>
      <c r="E189" t="s">
        <v>2070</v>
      </c>
      <c r="G189" s="81" t="s">
        <v>2425</v>
      </c>
    </row>
    <row r="190" spans="1:7" x14ac:dyDescent="0.25">
      <c r="A190">
        <v>189</v>
      </c>
      <c r="B190" s="81" t="s">
        <v>2372</v>
      </c>
      <c r="C190" s="38" t="s">
        <v>1367</v>
      </c>
      <c r="D190" s="39" t="s">
        <v>1368</v>
      </c>
      <c r="E190" t="s">
        <v>2071</v>
      </c>
      <c r="G190" s="81" t="s">
        <v>2426</v>
      </c>
    </row>
    <row r="191" spans="1:7" x14ac:dyDescent="0.25">
      <c r="A191">
        <v>190</v>
      </c>
      <c r="B191" s="81" t="s">
        <v>2374</v>
      </c>
      <c r="C191" s="38" t="s">
        <v>1370</v>
      </c>
      <c r="D191" s="39" t="s">
        <v>1371</v>
      </c>
      <c r="E191" t="s">
        <v>2072</v>
      </c>
      <c r="G191" s="81" t="s">
        <v>2427</v>
      </c>
    </row>
    <row r="192" spans="1:7" x14ac:dyDescent="0.25">
      <c r="A192">
        <v>191</v>
      </c>
      <c r="B192" s="81" t="s">
        <v>2376</v>
      </c>
      <c r="C192" s="38" t="s">
        <v>1372</v>
      </c>
      <c r="D192" s="39" t="s">
        <v>1373</v>
      </c>
      <c r="E192" t="s">
        <v>2073</v>
      </c>
      <c r="G192" s="81" t="s">
        <v>2428</v>
      </c>
    </row>
    <row r="193" spans="1:7" x14ac:dyDescent="0.25">
      <c r="A193">
        <v>192</v>
      </c>
      <c r="B193" s="81" t="s">
        <v>2379</v>
      </c>
      <c r="C193" s="38" t="s">
        <v>1374</v>
      </c>
      <c r="D193" s="39" t="s">
        <v>1375</v>
      </c>
      <c r="E193" t="s">
        <v>2074</v>
      </c>
      <c r="G193" s="81" t="s">
        <v>2429</v>
      </c>
    </row>
    <row r="194" spans="1:7" x14ac:dyDescent="0.25">
      <c r="A194">
        <v>193</v>
      </c>
      <c r="B194" s="81" t="s">
        <v>2380</v>
      </c>
      <c r="C194" s="38" t="s">
        <v>1377</v>
      </c>
      <c r="D194" s="39" t="s">
        <v>1378</v>
      </c>
      <c r="E194" t="s">
        <v>2075</v>
      </c>
      <c r="G194" s="81" t="s">
        <v>2430</v>
      </c>
    </row>
    <row r="195" spans="1:7" x14ac:dyDescent="0.25">
      <c r="A195">
        <v>194</v>
      </c>
      <c r="B195" s="81" t="s">
        <v>2388</v>
      </c>
      <c r="C195" s="38" t="s">
        <v>1379</v>
      </c>
      <c r="D195" s="39" t="s">
        <v>1380</v>
      </c>
      <c r="E195" t="s">
        <v>2076</v>
      </c>
      <c r="G195" s="81" t="s">
        <v>2431</v>
      </c>
    </row>
    <row r="196" spans="1:7" x14ac:dyDescent="0.25">
      <c r="A196">
        <v>195</v>
      </c>
      <c r="B196" s="81" t="s">
        <v>2413</v>
      </c>
      <c r="C196" s="38" t="s">
        <v>1384</v>
      </c>
      <c r="D196" s="39" t="s">
        <v>1385</v>
      </c>
      <c r="E196" t="s">
        <v>2077</v>
      </c>
      <c r="G196" s="81" t="s">
        <v>2432</v>
      </c>
    </row>
    <row r="197" spans="1:7" x14ac:dyDescent="0.25">
      <c r="A197">
        <v>196</v>
      </c>
      <c r="B197" s="81" t="s">
        <v>2437</v>
      </c>
      <c r="C197" s="38" t="s">
        <v>1386</v>
      </c>
      <c r="D197" s="39" t="s">
        <v>1387</v>
      </c>
      <c r="E197" t="s">
        <v>2078</v>
      </c>
      <c r="G197" s="81" t="s">
        <v>2433</v>
      </c>
    </row>
    <row r="198" spans="1:7" x14ac:dyDescent="0.25">
      <c r="A198">
        <v>197</v>
      </c>
      <c r="B198" s="81" t="s">
        <v>2438</v>
      </c>
      <c r="C198" s="38" t="s">
        <v>1390</v>
      </c>
      <c r="D198" s="39" t="s">
        <v>1391</v>
      </c>
      <c r="E198" t="s">
        <v>2079</v>
      </c>
      <c r="G198" s="81" t="s">
        <v>2434</v>
      </c>
    </row>
    <row r="199" spans="1:7" x14ac:dyDescent="0.25">
      <c r="A199">
        <v>198</v>
      </c>
      <c r="B199" s="81" t="s">
        <v>2443</v>
      </c>
      <c r="C199" s="38" t="s">
        <v>1392</v>
      </c>
      <c r="D199" s="39" t="s">
        <v>1393</v>
      </c>
      <c r="E199" t="s">
        <v>2080</v>
      </c>
      <c r="G199" s="81" t="s">
        <v>2435</v>
      </c>
    </row>
    <row r="200" spans="1:7" x14ac:dyDescent="0.25">
      <c r="A200">
        <v>199</v>
      </c>
      <c r="B200" s="81" t="s">
        <v>2449</v>
      </c>
      <c r="C200" s="38" t="s">
        <v>1396</v>
      </c>
      <c r="D200" s="39" t="s">
        <v>1397</v>
      </c>
      <c r="E200" t="s">
        <v>2081</v>
      </c>
      <c r="G200" s="81" t="s">
        <v>2436</v>
      </c>
    </row>
    <row r="201" spans="1:7" x14ac:dyDescent="0.25">
      <c r="A201">
        <v>200</v>
      </c>
      <c r="B201" s="81" t="s">
        <v>2450</v>
      </c>
      <c r="C201" s="38" t="s">
        <v>1399</v>
      </c>
      <c r="D201" s="39" t="s">
        <v>1400</v>
      </c>
      <c r="E201" t="s">
        <v>2082</v>
      </c>
      <c r="G201" s="81" t="s">
        <v>2437</v>
      </c>
    </row>
    <row r="202" spans="1:7" x14ac:dyDescent="0.25">
      <c r="A202">
        <v>201</v>
      </c>
      <c r="B202" s="81" t="s">
        <v>2472</v>
      </c>
      <c r="C202" s="38" t="s">
        <v>1404</v>
      </c>
      <c r="D202" s="39" t="s">
        <v>1405</v>
      </c>
      <c r="E202" t="s">
        <v>2083</v>
      </c>
      <c r="G202" s="81" t="s">
        <v>2438</v>
      </c>
    </row>
    <row r="203" spans="1:7" x14ac:dyDescent="0.25">
      <c r="A203">
        <v>202</v>
      </c>
      <c r="B203" s="81" t="s">
        <v>2478</v>
      </c>
      <c r="C203" s="38" t="s">
        <v>1408</v>
      </c>
      <c r="D203" s="39" t="s">
        <v>1409</v>
      </c>
      <c r="E203" t="s">
        <v>2084</v>
      </c>
      <c r="G203" s="81" t="s">
        <v>2439</v>
      </c>
    </row>
    <row r="204" spans="1:7" x14ac:dyDescent="0.25">
      <c r="A204">
        <v>203</v>
      </c>
      <c r="B204" s="81" t="s">
        <v>2489</v>
      </c>
      <c r="C204" s="38" t="s">
        <v>1410</v>
      </c>
      <c r="D204" s="39" t="s">
        <v>1411</v>
      </c>
      <c r="E204" t="s">
        <v>2085</v>
      </c>
      <c r="G204" s="81" t="s">
        <v>2440</v>
      </c>
    </row>
    <row r="205" spans="1:7" x14ac:dyDescent="0.25">
      <c r="A205">
        <v>204</v>
      </c>
      <c r="B205" s="81" t="s">
        <v>2493</v>
      </c>
      <c r="C205" s="38" t="s">
        <v>1414</v>
      </c>
      <c r="D205" s="39" t="s">
        <v>1415</v>
      </c>
      <c r="E205" t="s">
        <v>2086</v>
      </c>
      <c r="G205" s="81" t="s">
        <v>2441</v>
      </c>
    </row>
    <row r="206" spans="1:7" x14ac:dyDescent="0.25">
      <c r="A206">
        <v>205</v>
      </c>
      <c r="B206" s="81" t="s">
        <v>2508</v>
      </c>
      <c r="C206" s="38" t="s">
        <v>1417</v>
      </c>
      <c r="D206" s="39" t="s">
        <v>1418</v>
      </c>
      <c r="E206" t="s">
        <v>2087</v>
      </c>
      <c r="G206" s="81" t="s">
        <v>2442</v>
      </c>
    </row>
    <row r="207" spans="1:7" x14ac:dyDescent="0.25">
      <c r="A207">
        <v>206</v>
      </c>
      <c r="B207" s="81" t="s">
        <v>2518</v>
      </c>
      <c r="C207" s="38" t="s">
        <v>1423</v>
      </c>
      <c r="D207" s="39" t="s">
        <v>1424</v>
      </c>
      <c r="E207" t="s">
        <v>2088</v>
      </c>
      <c r="G207" s="81" t="s">
        <v>2443</v>
      </c>
    </row>
    <row r="208" spans="1:7" x14ac:dyDescent="0.25">
      <c r="A208">
        <v>207</v>
      </c>
      <c r="B208" s="81" t="s">
        <v>2522</v>
      </c>
      <c r="C208" s="42" t="s">
        <v>2098</v>
      </c>
      <c r="D208" s="39" t="s">
        <v>1427</v>
      </c>
      <c r="E208" t="s">
        <v>2089</v>
      </c>
      <c r="G208" s="81" t="s">
        <v>2444</v>
      </c>
    </row>
    <row r="209" spans="1:7" x14ac:dyDescent="0.25">
      <c r="A209">
        <v>208</v>
      </c>
      <c r="B209" s="81" t="s">
        <v>2526</v>
      </c>
      <c r="C209" s="38" t="s">
        <v>1430</v>
      </c>
      <c r="D209" s="39" t="s">
        <v>1431</v>
      </c>
      <c r="E209" t="s">
        <v>2090</v>
      </c>
      <c r="G209" s="81" t="s">
        <v>2445</v>
      </c>
    </row>
    <row r="210" spans="1:7" x14ac:dyDescent="0.25">
      <c r="A210">
        <v>209</v>
      </c>
      <c r="B210" s="81" t="s">
        <v>2528</v>
      </c>
      <c r="C210" s="38" t="s">
        <v>1433</v>
      </c>
      <c r="D210" s="39" t="s">
        <v>1434</v>
      </c>
      <c r="E210" t="s">
        <v>2091</v>
      </c>
      <c r="G210" s="81" t="s">
        <v>2446</v>
      </c>
    </row>
    <row r="211" spans="1:7" x14ac:dyDescent="0.25">
      <c r="A211">
        <v>210</v>
      </c>
      <c r="B211" s="81" t="s">
        <v>2529</v>
      </c>
      <c r="C211" s="38" t="s">
        <v>1437</v>
      </c>
      <c r="D211" s="39" t="s">
        <v>1438</v>
      </c>
      <c r="E211" t="s">
        <v>2092</v>
      </c>
      <c r="G211" s="81" t="s">
        <v>2447</v>
      </c>
    </row>
    <row r="212" spans="1:7" x14ac:dyDescent="0.25">
      <c r="A212">
        <v>211</v>
      </c>
      <c r="B212" s="81" t="s">
        <v>2539</v>
      </c>
      <c r="C212" s="38" t="s">
        <v>1441</v>
      </c>
      <c r="D212" s="39" t="s">
        <v>1442</v>
      </c>
      <c r="E212" t="s">
        <v>2093</v>
      </c>
      <c r="G212" s="81" t="s">
        <v>2448</v>
      </c>
    </row>
    <row r="213" spans="1:7" x14ac:dyDescent="0.25">
      <c r="A213">
        <v>212</v>
      </c>
      <c r="B213" s="81" t="s">
        <v>2558</v>
      </c>
      <c r="C213" s="38" t="s">
        <v>1445</v>
      </c>
      <c r="D213" s="39" t="s">
        <v>1446</v>
      </c>
      <c r="E213" t="s">
        <v>2094</v>
      </c>
      <c r="G213" s="81" t="s">
        <v>2449</v>
      </c>
    </row>
    <row r="214" spans="1:7" x14ac:dyDescent="0.25">
      <c r="A214">
        <v>213</v>
      </c>
      <c r="B214" s="81" t="s">
        <v>2561</v>
      </c>
      <c r="C214" s="38" t="s">
        <v>1451</v>
      </c>
      <c r="D214" s="39" t="s">
        <v>1452</v>
      </c>
      <c r="E214" t="s">
        <v>2095</v>
      </c>
      <c r="G214" s="81" t="s">
        <v>2450</v>
      </c>
    </row>
    <row r="215" spans="1:7" x14ac:dyDescent="0.25">
      <c r="A215">
        <v>214</v>
      </c>
      <c r="B215" s="81" t="s">
        <v>2563</v>
      </c>
      <c r="C215" s="38" t="s">
        <v>1454</v>
      </c>
      <c r="D215" s="39" t="s">
        <v>1455</v>
      </c>
      <c r="E215" t="s">
        <v>2096</v>
      </c>
      <c r="G215" s="81" t="s">
        <v>2451</v>
      </c>
    </row>
    <row r="216" spans="1:7" x14ac:dyDescent="0.25">
      <c r="A216">
        <v>215</v>
      </c>
      <c r="B216" s="81" t="s">
        <v>2570</v>
      </c>
      <c r="C216" s="38" t="s">
        <v>1459</v>
      </c>
      <c r="D216" s="39" t="s">
        <v>1460</v>
      </c>
      <c r="E216" t="s">
        <v>2097</v>
      </c>
      <c r="G216" s="81" t="s">
        <v>2452</v>
      </c>
    </row>
    <row r="217" spans="1:7" x14ac:dyDescent="0.25">
      <c r="A217">
        <v>216</v>
      </c>
      <c r="B217" s="81" t="s">
        <v>2253</v>
      </c>
      <c r="C217" s="38" t="s">
        <v>1462</v>
      </c>
      <c r="D217" s="39" t="s">
        <v>1463</v>
      </c>
      <c r="E217" t="s">
        <v>1988</v>
      </c>
      <c r="G217" s="81" t="s">
        <v>2453</v>
      </c>
    </row>
    <row r="218" spans="1:7" x14ac:dyDescent="0.25">
      <c r="A218">
        <v>217</v>
      </c>
      <c r="B218" s="81" t="s">
        <v>2259</v>
      </c>
      <c r="C218" s="38" t="s">
        <v>1467</v>
      </c>
      <c r="D218" s="39" t="s">
        <v>1468</v>
      </c>
      <c r="E218" t="s">
        <v>2099</v>
      </c>
      <c r="G218" s="81" t="s">
        <v>2454</v>
      </c>
    </row>
    <row r="219" spans="1:7" x14ac:dyDescent="0.25">
      <c r="A219">
        <v>218</v>
      </c>
      <c r="B219" s="81" t="s">
        <v>2265</v>
      </c>
      <c r="C219" s="38" t="s">
        <v>1470</v>
      </c>
      <c r="D219" s="39" t="s">
        <v>1471</v>
      </c>
      <c r="E219" t="s">
        <v>2100</v>
      </c>
      <c r="G219" s="81" t="s">
        <v>2455</v>
      </c>
    </row>
    <row r="220" spans="1:7" x14ac:dyDescent="0.25">
      <c r="A220">
        <v>219</v>
      </c>
      <c r="B220" s="81" t="s">
        <v>2302</v>
      </c>
      <c r="C220" s="38" t="s">
        <v>1472</v>
      </c>
      <c r="D220" s="39" t="s">
        <v>1473</v>
      </c>
      <c r="E220" t="s">
        <v>2101</v>
      </c>
      <c r="G220" s="81" t="s">
        <v>2456</v>
      </c>
    </row>
    <row r="221" spans="1:7" x14ac:dyDescent="0.25">
      <c r="A221">
        <v>220</v>
      </c>
      <c r="B221" s="81" t="s">
        <v>2313</v>
      </c>
      <c r="C221" s="38" t="s">
        <v>1476</v>
      </c>
      <c r="D221" s="39" t="s">
        <v>1477</v>
      </c>
      <c r="E221" t="s">
        <v>2102</v>
      </c>
      <c r="G221" s="81" t="s">
        <v>2457</v>
      </c>
    </row>
    <row r="222" spans="1:7" x14ac:dyDescent="0.25">
      <c r="A222">
        <v>221</v>
      </c>
      <c r="B222" s="81" t="s">
        <v>2318</v>
      </c>
      <c r="C222" s="38" t="s">
        <v>1481</v>
      </c>
      <c r="D222" s="39" t="s">
        <v>1482</v>
      </c>
      <c r="E222" t="s">
        <v>2103</v>
      </c>
      <c r="G222" s="81" t="s">
        <v>2458</v>
      </c>
    </row>
    <row r="223" spans="1:7" x14ac:dyDescent="0.25">
      <c r="A223">
        <v>222</v>
      </c>
      <c r="B223" s="81" t="s">
        <v>2320</v>
      </c>
      <c r="C223" s="38" t="s">
        <v>1483</v>
      </c>
      <c r="D223" s="39" t="s">
        <v>1484</v>
      </c>
      <c r="E223" t="s">
        <v>2104</v>
      </c>
      <c r="G223" s="81" t="s">
        <v>2459</v>
      </c>
    </row>
    <row r="224" spans="1:7" x14ac:dyDescent="0.25">
      <c r="A224">
        <v>223</v>
      </c>
      <c r="B224" s="81" t="s">
        <v>2322</v>
      </c>
      <c r="C224" s="38" t="s">
        <v>1488</v>
      </c>
      <c r="D224" s="39" t="s">
        <v>1489</v>
      </c>
      <c r="E224" t="s">
        <v>2105</v>
      </c>
      <c r="G224" s="81" t="s">
        <v>2460</v>
      </c>
    </row>
    <row r="225" spans="1:7" x14ac:dyDescent="0.25">
      <c r="A225">
        <v>224</v>
      </c>
      <c r="B225" s="81" t="s">
        <v>2335</v>
      </c>
      <c r="C225" s="38" t="s">
        <v>1491</v>
      </c>
      <c r="D225" s="39" t="s">
        <v>1492</v>
      </c>
      <c r="E225" t="s">
        <v>2106</v>
      </c>
      <c r="G225" s="81" t="s">
        <v>2461</v>
      </c>
    </row>
    <row r="226" spans="1:7" x14ac:dyDescent="0.25">
      <c r="A226">
        <v>225</v>
      </c>
      <c r="B226" s="81" t="s">
        <v>2359</v>
      </c>
      <c r="C226" s="38" t="s">
        <v>1494</v>
      </c>
      <c r="D226" s="39" t="s">
        <v>1495</v>
      </c>
      <c r="E226" t="s">
        <v>2107</v>
      </c>
      <c r="G226" s="81" t="s">
        <v>2462</v>
      </c>
    </row>
    <row r="227" spans="1:7" x14ac:dyDescent="0.25">
      <c r="A227">
        <v>226</v>
      </c>
      <c r="B227" s="81" t="s">
        <v>2360</v>
      </c>
      <c r="C227" s="38" t="s">
        <v>1500</v>
      </c>
      <c r="D227" s="39" t="s">
        <v>1501</v>
      </c>
      <c r="E227" t="s">
        <v>2108</v>
      </c>
      <c r="G227" s="81" t="s">
        <v>2463</v>
      </c>
    </row>
    <row r="228" spans="1:7" x14ac:dyDescent="0.25">
      <c r="A228">
        <v>227</v>
      </c>
      <c r="B228" s="81" t="s">
        <v>2369</v>
      </c>
      <c r="C228" s="38" t="s">
        <v>1505</v>
      </c>
      <c r="D228" s="39" t="s">
        <v>1506</v>
      </c>
      <c r="E228" t="s">
        <v>2109</v>
      </c>
      <c r="G228" s="81" t="s">
        <v>2464</v>
      </c>
    </row>
    <row r="229" spans="1:7" x14ac:dyDescent="0.25">
      <c r="A229">
        <v>228</v>
      </c>
      <c r="B229" s="81" t="s">
        <v>2383</v>
      </c>
      <c r="C229" s="38" t="s">
        <v>1509</v>
      </c>
      <c r="D229" s="39" t="s">
        <v>1510</v>
      </c>
      <c r="E229" t="s">
        <v>2110</v>
      </c>
      <c r="G229" s="81" t="s">
        <v>2465</v>
      </c>
    </row>
    <row r="230" spans="1:7" x14ac:dyDescent="0.25">
      <c r="A230">
        <v>229</v>
      </c>
      <c r="B230" s="81" t="s">
        <v>2390</v>
      </c>
      <c r="C230" s="38" t="s">
        <v>1511</v>
      </c>
      <c r="D230" s="39" t="s">
        <v>1512</v>
      </c>
      <c r="E230" t="s">
        <v>2111</v>
      </c>
      <c r="G230" s="81" t="s">
        <v>2466</v>
      </c>
    </row>
    <row r="231" spans="1:7" x14ac:dyDescent="0.25">
      <c r="A231">
        <v>230</v>
      </c>
      <c r="B231" s="81" t="s">
        <v>2393</v>
      </c>
      <c r="C231" s="38" t="s">
        <v>1515</v>
      </c>
      <c r="D231" s="39" t="s">
        <v>1516</v>
      </c>
      <c r="E231" t="s">
        <v>2112</v>
      </c>
      <c r="G231" s="81" t="s">
        <v>2467</v>
      </c>
    </row>
    <row r="232" spans="1:7" x14ac:dyDescent="0.25">
      <c r="A232">
        <v>231</v>
      </c>
      <c r="B232" s="81" t="s">
        <v>2397</v>
      </c>
      <c r="C232" s="38" t="s">
        <v>1519</v>
      </c>
      <c r="D232" s="39" t="s">
        <v>1520</v>
      </c>
      <c r="E232" t="s">
        <v>2113</v>
      </c>
      <c r="G232" s="81" t="s">
        <v>2468</v>
      </c>
    </row>
    <row r="233" spans="1:7" x14ac:dyDescent="0.25">
      <c r="A233">
        <v>232</v>
      </c>
      <c r="B233" s="81" t="s">
        <v>2398</v>
      </c>
      <c r="C233" s="38" t="s">
        <v>1523</v>
      </c>
      <c r="D233" s="39" t="s">
        <v>1524</v>
      </c>
      <c r="E233" t="s">
        <v>2114</v>
      </c>
      <c r="G233" s="81" t="s">
        <v>2469</v>
      </c>
    </row>
    <row r="234" spans="1:7" x14ac:dyDescent="0.25">
      <c r="A234">
        <v>233</v>
      </c>
      <c r="B234" s="81" t="s">
        <v>2404</v>
      </c>
      <c r="C234" s="38" t="s">
        <v>1525</v>
      </c>
      <c r="D234" s="39" t="s">
        <v>1526</v>
      </c>
      <c r="E234" t="s">
        <v>2115</v>
      </c>
      <c r="G234" s="81" t="s">
        <v>2470</v>
      </c>
    </row>
    <row r="235" spans="1:7" x14ac:dyDescent="0.25">
      <c r="A235">
        <v>234</v>
      </c>
      <c r="B235" s="81" t="s">
        <v>2407</v>
      </c>
      <c r="C235" s="38" t="s">
        <v>1530</v>
      </c>
      <c r="D235" s="39" t="s">
        <v>1531</v>
      </c>
      <c r="E235" t="s">
        <v>2116</v>
      </c>
      <c r="G235" s="81" t="s">
        <v>2471</v>
      </c>
    </row>
    <row r="236" spans="1:7" x14ac:dyDescent="0.25">
      <c r="A236">
        <v>235</v>
      </c>
      <c r="B236" s="81" t="s">
        <v>2408</v>
      </c>
      <c r="C236" s="38" t="s">
        <v>1535</v>
      </c>
      <c r="D236" s="39" t="s">
        <v>1536</v>
      </c>
      <c r="E236" t="s">
        <v>2117</v>
      </c>
      <c r="G236" s="81" t="s">
        <v>2472</v>
      </c>
    </row>
    <row r="237" spans="1:7" x14ac:dyDescent="0.25">
      <c r="A237">
        <v>236</v>
      </c>
      <c r="B237" s="81" t="s">
        <v>2418</v>
      </c>
      <c r="C237" s="38" t="s">
        <v>1538</v>
      </c>
      <c r="D237" s="39" t="s">
        <v>1539</v>
      </c>
      <c r="E237" t="s">
        <v>2118</v>
      </c>
      <c r="G237" s="81" t="s">
        <v>2473</v>
      </c>
    </row>
    <row r="238" spans="1:7" x14ac:dyDescent="0.25">
      <c r="A238">
        <v>237</v>
      </c>
      <c r="B238" s="81" t="s">
        <v>2432</v>
      </c>
      <c r="C238" s="38" t="s">
        <v>1541</v>
      </c>
      <c r="D238" s="39" t="s">
        <v>1542</v>
      </c>
      <c r="E238" t="s">
        <v>2119</v>
      </c>
      <c r="G238" s="81" t="s">
        <v>2474</v>
      </c>
    </row>
    <row r="239" spans="1:7" x14ac:dyDescent="0.25">
      <c r="A239">
        <v>238</v>
      </c>
      <c r="B239" s="81" t="s">
        <v>2456</v>
      </c>
      <c r="C239" s="38" t="s">
        <v>1546</v>
      </c>
      <c r="D239" s="39" t="s">
        <v>1547</v>
      </c>
      <c r="E239" t="s">
        <v>2120</v>
      </c>
      <c r="G239" s="81" t="s">
        <v>2475</v>
      </c>
    </row>
    <row r="240" spans="1:7" x14ac:dyDescent="0.25">
      <c r="A240">
        <v>239</v>
      </c>
      <c r="B240" s="81" t="s">
        <v>2469</v>
      </c>
      <c r="C240" s="38" t="s">
        <v>1549</v>
      </c>
      <c r="D240" s="39" t="s">
        <v>1550</v>
      </c>
      <c r="E240" t="s">
        <v>2121</v>
      </c>
      <c r="G240" s="81" t="s">
        <v>2476</v>
      </c>
    </row>
    <row r="241" spans="1:7" x14ac:dyDescent="0.25">
      <c r="A241">
        <v>240</v>
      </c>
      <c r="B241" s="81" t="s">
        <v>2471</v>
      </c>
      <c r="C241" s="38" t="s">
        <v>1553</v>
      </c>
      <c r="D241" s="39" t="s">
        <v>1554</v>
      </c>
      <c r="E241" t="s">
        <v>2122</v>
      </c>
      <c r="G241" s="81" t="s">
        <v>2477</v>
      </c>
    </row>
    <row r="242" spans="1:7" x14ac:dyDescent="0.25">
      <c r="A242">
        <v>241</v>
      </c>
      <c r="B242" s="81" t="s">
        <v>2477</v>
      </c>
      <c r="C242" s="38" t="s">
        <v>1557</v>
      </c>
      <c r="D242" s="39" t="s">
        <v>1558</v>
      </c>
      <c r="E242" t="s">
        <v>2123</v>
      </c>
      <c r="G242" s="81" t="s">
        <v>2478</v>
      </c>
    </row>
    <row r="243" spans="1:7" x14ac:dyDescent="0.25">
      <c r="A243">
        <v>242</v>
      </c>
      <c r="B243" s="81" t="s">
        <v>2479</v>
      </c>
      <c r="C243" s="38" t="s">
        <v>1560</v>
      </c>
      <c r="D243" s="39" t="s">
        <v>1561</v>
      </c>
      <c r="E243" t="s">
        <v>2124</v>
      </c>
      <c r="G243" s="81" t="s">
        <v>2479</v>
      </c>
    </row>
    <row r="244" spans="1:7" x14ac:dyDescent="0.25">
      <c r="A244">
        <v>243</v>
      </c>
      <c r="B244" s="81" t="s">
        <v>2490</v>
      </c>
      <c r="C244" s="38" t="s">
        <v>1565</v>
      </c>
      <c r="D244" s="39" t="s">
        <v>1566</v>
      </c>
      <c r="E244" t="s">
        <v>2125</v>
      </c>
      <c r="G244" s="81" t="s">
        <v>2480</v>
      </c>
    </row>
    <row r="245" spans="1:7" x14ac:dyDescent="0.25">
      <c r="A245">
        <v>244</v>
      </c>
      <c r="B245" s="81" t="s">
        <v>2498</v>
      </c>
      <c r="C245" s="38" t="s">
        <v>1571</v>
      </c>
      <c r="D245" s="39" t="s">
        <v>1572</v>
      </c>
      <c r="E245" t="s">
        <v>2126</v>
      </c>
      <c r="G245" s="81" t="s">
        <v>2481</v>
      </c>
    </row>
    <row r="246" spans="1:7" x14ac:dyDescent="0.25">
      <c r="A246">
        <v>245</v>
      </c>
      <c r="B246" s="81" t="s">
        <v>2499</v>
      </c>
      <c r="C246" s="38" t="s">
        <v>1573</v>
      </c>
      <c r="D246" s="39" t="s">
        <v>1574</v>
      </c>
      <c r="E246" t="s">
        <v>2127</v>
      </c>
      <c r="G246" s="81" t="s">
        <v>2482</v>
      </c>
    </row>
    <row r="247" spans="1:7" x14ac:dyDescent="0.25">
      <c r="A247">
        <v>246</v>
      </c>
      <c r="B247" s="81" t="s">
        <v>2531</v>
      </c>
      <c r="C247" s="38" t="s">
        <v>1576</v>
      </c>
      <c r="D247" s="39" t="s">
        <v>1577</v>
      </c>
      <c r="E247" t="s">
        <v>2128</v>
      </c>
      <c r="G247" s="81" t="s">
        <v>2483</v>
      </c>
    </row>
    <row r="248" spans="1:7" x14ac:dyDescent="0.25">
      <c r="A248">
        <v>247</v>
      </c>
      <c r="B248" s="81" t="s">
        <v>2534</v>
      </c>
      <c r="C248" s="38" t="s">
        <v>1582</v>
      </c>
      <c r="D248" s="39" t="s">
        <v>1583</v>
      </c>
      <c r="E248" t="s">
        <v>2129</v>
      </c>
      <c r="G248" s="81" t="s">
        <v>2484</v>
      </c>
    </row>
    <row r="249" spans="1:7" x14ac:dyDescent="0.25">
      <c r="A249">
        <v>248</v>
      </c>
      <c r="B249" s="81" t="s">
        <v>2547</v>
      </c>
      <c r="C249" s="38" t="s">
        <v>1586</v>
      </c>
      <c r="D249" s="39" t="s">
        <v>1587</v>
      </c>
      <c r="E249" t="s">
        <v>2130</v>
      </c>
      <c r="G249" s="81" t="s">
        <v>2485</v>
      </c>
    </row>
    <row r="250" spans="1:7" x14ac:dyDescent="0.25">
      <c r="A250">
        <v>249</v>
      </c>
      <c r="B250" s="81" t="s">
        <v>2551</v>
      </c>
      <c r="C250" s="38" t="s">
        <v>1590</v>
      </c>
      <c r="D250" s="39" t="s">
        <v>1591</v>
      </c>
      <c r="E250" t="s">
        <v>2131</v>
      </c>
      <c r="G250" s="81" t="s">
        <v>2486</v>
      </c>
    </row>
    <row r="251" spans="1:7" x14ac:dyDescent="0.25">
      <c r="A251">
        <v>250</v>
      </c>
      <c r="B251" s="81" t="s">
        <v>2573</v>
      </c>
      <c r="C251" s="38" t="s">
        <v>1594</v>
      </c>
      <c r="D251" s="39" t="s">
        <v>1595</v>
      </c>
      <c r="E251" t="s">
        <v>2132</v>
      </c>
      <c r="G251" s="81" t="s">
        <v>2487</v>
      </c>
    </row>
    <row r="252" spans="1:7" x14ac:dyDescent="0.25">
      <c r="A252">
        <v>251</v>
      </c>
      <c r="B252" s="81" t="s">
        <v>2579</v>
      </c>
      <c r="C252" s="38" t="s">
        <v>1597</v>
      </c>
      <c r="D252" s="39" t="s">
        <v>1598</v>
      </c>
      <c r="E252" t="s">
        <v>2133</v>
      </c>
      <c r="G252" s="81" t="s">
        <v>2488</v>
      </c>
    </row>
    <row r="253" spans="1:7" ht="15.75" x14ac:dyDescent="0.25">
      <c r="A253">
        <v>252</v>
      </c>
      <c r="B253" s="81" t="s">
        <v>2261</v>
      </c>
      <c r="C253" s="5" t="s">
        <v>1601</v>
      </c>
      <c r="D253" s="6" t="s">
        <v>1602</v>
      </c>
      <c r="E253" t="s">
        <v>1991</v>
      </c>
      <c r="G253" s="81" t="s">
        <v>2489</v>
      </c>
    </row>
    <row r="254" spans="1:7" ht="15.75" x14ac:dyDescent="0.25">
      <c r="A254">
        <v>253</v>
      </c>
      <c r="B254" s="81" t="s">
        <v>2262</v>
      </c>
      <c r="C254" s="5" t="s">
        <v>1605</v>
      </c>
      <c r="D254" s="6" t="s">
        <v>1606</v>
      </c>
      <c r="E254" t="s">
        <v>2134</v>
      </c>
      <c r="G254" s="81" t="s">
        <v>2490</v>
      </c>
    </row>
    <row r="255" spans="1:7" ht="15.75" x14ac:dyDescent="0.25">
      <c r="A255">
        <v>254</v>
      </c>
      <c r="B255" s="81" t="s">
        <v>2264</v>
      </c>
      <c r="C255" s="9" t="s">
        <v>1609</v>
      </c>
      <c r="D255" s="6" t="s">
        <v>1610</v>
      </c>
      <c r="E255" t="s">
        <v>2135</v>
      </c>
      <c r="G255" s="81" t="s">
        <v>2491</v>
      </c>
    </row>
    <row r="256" spans="1:7" ht="15.75" x14ac:dyDescent="0.25">
      <c r="A256">
        <v>255</v>
      </c>
      <c r="B256" s="81" t="s">
        <v>2273</v>
      </c>
      <c r="C256" s="5" t="s">
        <v>1612</v>
      </c>
      <c r="D256" s="6" t="s">
        <v>1613</v>
      </c>
      <c r="E256" t="s">
        <v>2028</v>
      </c>
      <c r="G256" s="81" t="s">
        <v>2492</v>
      </c>
    </row>
    <row r="257" spans="1:7" ht="15.75" x14ac:dyDescent="0.25">
      <c r="A257">
        <v>256</v>
      </c>
      <c r="B257" s="81" t="s">
        <v>2276</v>
      </c>
      <c r="C257" s="5" t="s">
        <v>1616</v>
      </c>
      <c r="D257" s="6" t="s">
        <v>1617</v>
      </c>
      <c r="E257" t="s">
        <v>2136</v>
      </c>
      <c r="G257" s="81" t="s">
        <v>2493</v>
      </c>
    </row>
    <row r="258" spans="1:7" ht="15.75" x14ac:dyDescent="0.25">
      <c r="A258">
        <v>257</v>
      </c>
      <c r="B258" s="81" t="s">
        <v>2281</v>
      </c>
      <c r="C258" s="5" t="s">
        <v>1619</v>
      </c>
      <c r="D258" s="6" t="s">
        <v>1620</v>
      </c>
      <c r="E258" t="s">
        <v>2137</v>
      </c>
      <c r="G258" s="81" t="s">
        <v>2494</v>
      </c>
    </row>
    <row r="259" spans="1:7" ht="15.75" x14ac:dyDescent="0.25">
      <c r="A259">
        <v>258</v>
      </c>
      <c r="B259" s="81" t="s">
        <v>2289</v>
      </c>
      <c r="C259" s="5" t="s">
        <v>1624</v>
      </c>
      <c r="D259" s="6" t="s">
        <v>1625</v>
      </c>
      <c r="E259" t="s">
        <v>2138</v>
      </c>
      <c r="G259" s="81" t="s">
        <v>2495</v>
      </c>
    </row>
    <row r="260" spans="1:7" ht="15.75" x14ac:dyDescent="0.25">
      <c r="A260">
        <v>259</v>
      </c>
      <c r="B260" s="81" t="s">
        <v>2297</v>
      </c>
      <c r="C260" s="5" t="s">
        <v>1629</v>
      </c>
      <c r="D260" s="6" t="s">
        <v>1630</v>
      </c>
      <c r="E260" t="s">
        <v>2139</v>
      </c>
      <c r="G260" s="81" t="s">
        <v>2496</v>
      </c>
    </row>
    <row r="261" spans="1:7" ht="15.75" x14ac:dyDescent="0.25">
      <c r="A261">
        <v>260</v>
      </c>
      <c r="B261" s="81" t="s">
        <v>2305</v>
      </c>
      <c r="C261" s="5" t="s">
        <v>1633</v>
      </c>
      <c r="D261" s="6" t="s">
        <v>1634</v>
      </c>
      <c r="E261" t="s">
        <v>2029</v>
      </c>
      <c r="G261" s="81" t="s">
        <v>2497</v>
      </c>
    </row>
    <row r="262" spans="1:7" ht="15.75" x14ac:dyDescent="0.25">
      <c r="A262">
        <v>261</v>
      </c>
      <c r="B262" s="81" t="s">
        <v>2325</v>
      </c>
      <c r="C262" s="5" t="s">
        <v>1637</v>
      </c>
      <c r="D262" s="6" t="s">
        <v>1638</v>
      </c>
      <c r="E262" t="s">
        <v>2140</v>
      </c>
      <c r="G262" s="81" t="s">
        <v>2498</v>
      </c>
    </row>
    <row r="263" spans="1:7" ht="15.75" x14ac:dyDescent="0.25">
      <c r="A263">
        <v>262</v>
      </c>
      <c r="B263" s="81" t="s">
        <v>2344</v>
      </c>
      <c r="C263" s="5" t="s">
        <v>1641</v>
      </c>
      <c r="D263" s="6" t="s">
        <v>1642</v>
      </c>
      <c r="E263" t="s">
        <v>2141</v>
      </c>
      <c r="G263" s="81" t="s">
        <v>2499</v>
      </c>
    </row>
    <row r="264" spans="1:7" ht="15.75" x14ac:dyDescent="0.25">
      <c r="A264">
        <v>263</v>
      </c>
      <c r="B264" s="81" t="s">
        <v>2351</v>
      </c>
      <c r="C264" s="5" t="s">
        <v>1647</v>
      </c>
      <c r="D264" s="6" t="s">
        <v>1648</v>
      </c>
      <c r="E264" t="s">
        <v>2142</v>
      </c>
      <c r="G264" s="81" t="s">
        <v>2500</v>
      </c>
    </row>
    <row r="265" spans="1:7" x14ac:dyDescent="0.25">
      <c r="A265">
        <v>264</v>
      </c>
      <c r="B265" s="81" t="s">
        <v>2355</v>
      </c>
      <c r="C265" s="38" t="s">
        <v>1243</v>
      </c>
      <c r="D265" s="39" t="s">
        <v>1244</v>
      </c>
      <c r="E265" t="s">
        <v>2143</v>
      </c>
      <c r="G265" s="81" t="s">
        <v>2501</v>
      </c>
    </row>
    <row r="266" spans="1:7" ht="15.75" x14ac:dyDescent="0.25">
      <c r="A266">
        <v>265</v>
      </c>
      <c r="B266" s="81" t="s">
        <v>2367</v>
      </c>
      <c r="C266" s="9" t="s">
        <v>1865</v>
      </c>
      <c r="D266" s="6" t="s">
        <v>1650</v>
      </c>
      <c r="E266" t="s">
        <v>2144</v>
      </c>
      <c r="G266" s="81" t="s">
        <v>2502</v>
      </c>
    </row>
    <row r="267" spans="1:7" x14ac:dyDescent="0.25">
      <c r="A267">
        <v>266</v>
      </c>
      <c r="B267" s="81" t="s">
        <v>2382</v>
      </c>
      <c r="C267" s="5" t="s">
        <v>1651</v>
      </c>
      <c r="D267" s="5" t="s">
        <v>1652</v>
      </c>
      <c r="E267" t="s">
        <v>2145</v>
      </c>
      <c r="G267" s="81" t="s">
        <v>2503</v>
      </c>
    </row>
    <row r="268" spans="1:7" ht="15.75" x14ac:dyDescent="0.25">
      <c r="A268">
        <v>267</v>
      </c>
      <c r="B268" s="81" t="s">
        <v>2385</v>
      </c>
      <c r="C268" s="5" t="s">
        <v>1654</v>
      </c>
      <c r="D268" s="6" t="s">
        <v>1655</v>
      </c>
      <c r="E268" t="s">
        <v>2146</v>
      </c>
      <c r="G268" s="81" t="s">
        <v>2504</v>
      </c>
    </row>
    <row r="269" spans="1:7" ht="15.75" x14ac:dyDescent="0.25">
      <c r="A269">
        <v>268</v>
      </c>
      <c r="B269" s="81" t="s">
        <v>2420</v>
      </c>
      <c r="C269" s="5" t="s">
        <v>1658</v>
      </c>
      <c r="D269" s="6" t="s">
        <v>1659</v>
      </c>
      <c r="E269" t="s">
        <v>2147</v>
      </c>
      <c r="G269" s="81" t="s">
        <v>2505</v>
      </c>
    </row>
    <row r="270" spans="1:7" ht="15.75" x14ac:dyDescent="0.25">
      <c r="A270">
        <v>269</v>
      </c>
      <c r="B270" s="81" t="s">
        <v>2442</v>
      </c>
      <c r="C270" s="5" t="s">
        <v>1663</v>
      </c>
      <c r="D270" s="6" t="s">
        <v>1664</v>
      </c>
      <c r="E270" t="s">
        <v>2148</v>
      </c>
      <c r="G270" s="81" t="s">
        <v>2506</v>
      </c>
    </row>
    <row r="271" spans="1:7" ht="15.75" x14ac:dyDescent="0.25">
      <c r="A271">
        <v>270</v>
      </c>
      <c r="B271" s="81" t="s">
        <v>2454</v>
      </c>
      <c r="C271" s="5" t="s">
        <v>1667</v>
      </c>
      <c r="D271" s="6" t="s">
        <v>1668</v>
      </c>
      <c r="E271" t="s">
        <v>2149</v>
      </c>
      <c r="G271" s="81" t="s">
        <v>2507</v>
      </c>
    </row>
    <row r="272" spans="1:7" x14ac:dyDescent="0.25">
      <c r="A272">
        <v>271</v>
      </c>
      <c r="B272" s="81" t="s">
        <v>2466</v>
      </c>
      <c r="C272" s="5" t="s">
        <v>1670</v>
      </c>
      <c r="D272" s="5" t="s">
        <v>1671</v>
      </c>
      <c r="E272" t="s">
        <v>2150</v>
      </c>
      <c r="G272" s="81" t="s">
        <v>2508</v>
      </c>
    </row>
    <row r="273" spans="1:7" ht="15.75" x14ac:dyDescent="0.25">
      <c r="A273">
        <v>272</v>
      </c>
      <c r="B273" s="81" t="s">
        <v>2482</v>
      </c>
      <c r="C273" s="5" t="s">
        <v>1676</v>
      </c>
      <c r="D273" s="6" t="s">
        <v>1677</v>
      </c>
      <c r="E273" t="s">
        <v>2151</v>
      </c>
      <c r="G273" s="81" t="s">
        <v>2509</v>
      </c>
    </row>
    <row r="274" spans="1:7" ht="15.75" x14ac:dyDescent="0.25">
      <c r="A274">
        <v>273</v>
      </c>
      <c r="B274" s="81" t="s">
        <v>2495</v>
      </c>
      <c r="C274" s="5" t="s">
        <v>1679</v>
      </c>
      <c r="D274" s="6" t="s">
        <v>1680</v>
      </c>
      <c r="E274" t="s">
        <v>2152</v>
      </c>
      <c r="G274" s="81" t="s">
        <v>2510</v>
      </c>
    </row>
    <row r="275" spans="1:7" ht="15.75" x14ac:dyDescent="0.25">
      <c r="A275">
        <v>274</v>
      </c>
      <c r="B275" s="81" t="s">
        <v>2496</v>
      </c>
      <c r="C275" s="5" t="s">
        <v>1681</v>
      </c>
      <c r="D275" s="6" t="s">
        <v>1682</v>
      </c>
      <c r="E275" t="s">
        <v>2153</v>
      </c>
      <c r="G275" s="81" t="s">
        <v>2511</v>
      </c>
    </row>
    <row r="276" spans="1:7" ht="15.75" x14ac:dyDescent="0.25">
      <c r="A276">
        <v>275</v>
      </c>
      <c r="B276" s="81" t="s">
        <v>2497</v>
      </c>
      <c r="C276" s="5" t="s">
        <v>1686</v>
      </c>
      <c r="D276" s="6" t="s">
        <v>1687</v>
      </c>
      <c r="E276" t="s">
        <v>2154</v>
      </c>
      <c r="G276" s="81" t="s">
        <v>2512</v>
      </c>
    </row>
    <row r="277" spans="1:7" x14ac:dyDescent="0.25">
      <c r="A277">
        <v>276</v>
      </c>
      <c r="B277" s="81" t="s">
        <v>2500</v>
      </c>
      <c r="C277" s="5" t="s">
        <v>1691</v>
      </c>
      <c r="D277" s="5" t="s">
        <v>1692</v>
      </c>
      <c r="E277" t="s">
        <v>2155</v>
      </c>
      <c r="G277" s="81" t="s">
        <v>2513</v>
      </c>
    </row>
    <row r="278" spans="1:7" ht="15.75" x14ac:dyDescent="0.25">
      <c r="A278">
        <v>277</v>
      </c>
      <c r="B278" s="81" t="s">
        <v>2501</v>
      </c>
      <c r="C278" s="5" t="s">
        <v>1693</v>
      </c>
      <c r="D278" s="6" t="s">
        <v>1694</v>
      </c>
      <c r="E278" t="s">
        <v>2156</v>
      </c>
      <c r="G278" s="81" t="s">
        <v>2514</v>
      </c>
    </row>
    <row r="279" spans="1:7" x14ac:dyDescent="0.25">
      <c r="A279">
        <v>278</v>
      </c>
      <c r="B279" s="81" t="s">
        <v>2502</v>
      </c>
      <c r="C279" s="5" t="s">
        <v>1698</v>
      </c>
      <c r="D279" s="5" t="s">
        <v>1699</v>
      </c>
      <c r="E279" t="s">
        <v>2157</v>
      </c>
      <c r="G279" s="81" t="s">
        <v>2515</v>
      </c>
    </row>
    <row r="280" spans="1:7" ht="15.75" x14ac:dyDescent="0.25">
      <c r="A280">
        <v>279</v>
      </c>
      <c r="B280" s="81" t="s">
        <v>2506</v>
      </c>
      <c r="C280" s="5" t="s">
        <v>1702</v>
      </c>
      <c r="D280" s="6" t="s">
        <v>1703</v>
      </c>
      <c r="E280" t="s">
        <v>2158</v>
      </c>
      <c r="G280" s="81" t="s">
        <v>2516</v>
      </c>
    </row>
    <row r="281" spans="1:7" ht="15.75" x14ac:dyDescent="0.25">
      <c r="A281">
        <v>280</v>
      </c>
      <c r="B281" s="81" t="s">
        <v>2516</v>
      </c>
      <c r="C281" s="5" t="s">
        <v>1705</v>
      </c>
      <c r="D281" s="6" t="s">
        <v>1706</v>
      </c>
      <c r="E281" t="s">
        <v>2159</v>
      </c>
      <c r="G281" s="81" t="s">
        <v>2517</v>
      </c>
    </row>
    <row r="282" spans="1:7" ht="15.75" x14ac:dyDescent="0.25">
      <c r="A282">
        <v>281</v>
      </c>
      <c r="B282" s="81" t="s">
        <v>2524</v>
      </c>
      <c r="C282" s="5" t="s">
        <v>1707</v>
      </c>
      <c r="D282" s="6" t="s">
        <v>1708</v>
      </c>
      <c r="E282" t="s">
        <v>2160</v>
      </c>
      <c r="G282" s="81" t="s">
        <v>2518</v>
      </c>
    </row>
    <row r="283" spans="1:7" x14ac:dyDescent="0.25">
      <c r="A283">
        <v>282</v>
      </c>
      <c r="B283" s="81" t="s">
        <v>2536</v>
      </c>
      <c r="C283" s="5" t="s">
        <v>1709</v>
      </c>
      <c r="D283" s="5" t="s">
        <v>1710</v>
      </c>
      <c r="E283" t="s">
        <v>2161</v>
      </c>
      <c r="G283" s="81" t="s">
        <v>2519</v>
      </c>
    </row>
    <row r="284" spans="1:7" x14ac:dyDescent="0.25">
      <c r="A284">
        <v>283</v>
      </c>
      <c r="B284" s="81" t="s">
        <v>2538</v>
      </c>
      <c r="C284" s="5" t="s">
        <v>1713</v>
      </c>
      <c r="D284" s="5" t="s">
        <v>1714</v>
      </c>
      <c r="E284" t="s">
        <v>2162</v>
      </c>
      <c r="G284" s="81" t="s">
        <v>2520</v>
      </c>
    </row>
    <row r="285" spans="1:7" ht="15.75" x14ac:dyDescent="0.25">
      <c r="A285">
        <v>284</v>
      </c>
      <c r="B285" s="81" t="s">
        <v>2544</v>
      </c>
      <c r="C285" s="5" t="s">
        <v>1716</v>
      </c>
      <c r="D285" s="6" t="s">
        <v>1717</v>
      </c>
      <c r="E285" t="s">
        <v>2163</v>
      </c>
      <c r="G285" s="81" t="s">
        <v>2521</v>
      </c>
    </row>
    <row r="286" spans="1:7" ht="15.75" x14ac:dyDescent="0.25">
      <c r="A286">
        <v>285</v>
      </c>
      <c r="B286" s="81" t="s">
        <v>2578</v>
      </c>
      <c r="C286" s="5" t="s">
        <v>1721</v>
      </c>
      <c r="D286" s="6" t="s">
        <v>1722</v>
      </c>
      <c r="E286" t="s">
        <v>2164</v>
      </c>
      <c r="G286" s="81" t="s">
        <v>2522</v>
      </c>
    </row>
    <row r="287" spans="1:7" x14ac:dyDescent="0.25">
      <c r="A287">
        <v>286</v>
      </c>
      <c r="B287" s="81" t="s">
        <v>2582</v>
      </c>
      <c r="C287" s="5" t="s">
        <v>1725</v>
      </c>
      <c r="D287" s="23" t="s">
        <v>1726</v>
      </c>
      <c r="E287" t="s">
        <v>2165</v>
      </c>
      <c r="G287" s="81" t="s">
        <v>2523</v>
      </c>
    </row>
    <row r="288" spans="1:7" ht="15.75" x14ac:dyDescent="0.25">
      <c r="A288">
        <v>287</v>
      </c>
      <c r="B288" s="81" t="s">
        <v>2588</v>
      </c>
      <c r="C288" s="5" t="s">
        <v>1727</v>
      </c>
      <c r="D288" s="6" t="s">
        <v>1728</v>
      </c>
      <c r="E288" t="s">
        <v>2166</v>
      </c>
      <c r="G288" s="81" t="s">
        <v>2524</v>
      </c>
    </row>
    <row r="289" spans="1:7" ht="15.75" x14ac:dyDescent="0.25">
      <c r="A289">
        <v>288</v>
      </c>
      <c r="B289" s="81" t="s">
        <v>2238</v>
      </c>
      <c r="C289" s="5" t="s">
        <v>1729</v>
      </c>
      <c r="D289" s="6" t="s">
        <v>1730</v>
      </c>
      <c r="E289" t="s">
        <v>1987</v>
      </c>
      <c r="G289" s="81" t="s">
        <v>2525</v>
      </c>
    </row>
    <row r="290" spans="1:7" ht="15.75" x14ac:dyDescent="0.25">
      <c r="A290">
        <v>289</v>
      </c>
      <c r="B290" s="81" t="s">
        <v>2256</v>
      </c>
      <c r="C290" s="5" t="s">
        <v>1731</v>
      </c>
      <c r="D290" s="6" t="s">
        <v>1732</v>
      </c>
      <c r="E290" t="s">
        <v>2167</v>
      </c>
      <c r="G290" s="81" t="s">
        <v>2526</v>
      </c>
    </row>
    <row r="291" spans="1:7" ht="15.75" x14ac:dyDescent="0.25">
      <c r="A291">
        <v>290</v>
      </c>
      <c r="B291" s="81" t="s">
        <v>2257</v>
      </c>
      <c r="C291" s="9" t="s">
        <v>1736</v>
      </c>
      <c r="D291" s="6" t="s">
        <v>1737</v>
      </c>
      <c r="E291" t="s">
        <v>2172</v>
      </c>
      <c r="G291" s="81" t="s">
        <v>2527</v>
      </c>
    </row>
    <row r="292" spans="1:7" ht="15.75" x14ac:dyDescent="0.25">
      <c r="A292">
        <v>291</v>
      </c>
      <c r="B292" s="81" t="s">
        <v>2260</v>
      </c>
      <c r="C292" s="5" t="s">
        <v>1739</v>
      </c>
      <c r="D292" s="6" t="s">
        <v>1740</v>
      </c>
      <c r="E292" t="s">
        <v>2168</v>
      </c>
      <c r="G292" s="81" t="s">
        <v>2528</v>
      </c>
    </row>
    <row r="293" spans="1:7" ht="15.75" x14ac:dyDescent="0.25">
      <c r="A293">
        <v>292</v>
      </c>
      <c r="B293" s="81" t="s">
        <v>2278</v>
      </c>
      <c r="C293" s="5" t="s">
        <v>1742</v>
      </c>
      <c r="D293" s="6" t="s">
        <v>1743</v>
      </c>
      <c r="E293" t="s">
        <v>2169</v>
      </c>
      <c r="G293" s="81" t="s">
        <v>2529</v>
      </c>
    </row>
    <row r="294" spans="1:7" ht="15.75" x14ac:dyDescent="0.25">
      <c r="A294">
        <v>293</v>
      </c>
      <c r="B294" s="81" t="s">
        <v>2279</v>
      </c>
      <c r="C294" s="5" t="s">
        <v>1746</v>
      </c>
      <c r="D294" s="6" t="s">
        <v>1747</v>
      </c>
      <c r="E294" t="s">
        <v>2173</v>
      </c>
      <c r="G294" s="81" t="s">
        <v>2530</v>
      </c>
    </row>
    <row r="295" spans="1:7" x14ac:dyDescent="0.25">
      <c r="A295">
        <v>294</v>
      </c>
      <c r="B295" s="81" t="s">
        <v>2284</v>
      </c>
      <c r="C295" s="38" t="s">
        <v>1213</v>
      </c>
      <c r="D295" s="39" t="s">
        <v>1214</v>
      </c>
      <c r="E295" t="s">
        <v>2171</v>
      </c>
      <c r="G295" s="81" t="s">
        <v>2531</v>
      </c>
    </row>
    <row r="296" spans="1:7" ht="15.75" x14ac:dyDescent="0.25">
      <c r="A296">
        <v>295</v>
      </c>
      <c r="B296" s="81" t="s">
        <v>2287</v>
      </c>
      <c r="C296" s="5" t="s">
        <v>1749</v>
      </c>
      <c r="D296" s="6" t="s">
        <v>1750</v>
      </c>
      <c r="E296" t="s">
        <v>2174</v>
      </c>
      <c r="G296" s="81" t="s">
        <v>2532</v>
      </c>
    </row>
    <row r="297" spans="1:7" ht="15.75" x14ac:dyDescent="0.25">
      <c r="A297">
        <v>296</v>
      </c>
      <c r="B297" s="81" t="s">
        <v>2290</v>
      </c>
      <c r="C297" s="5" t="s">
        <v>1753</v>
      </c>
      <c r="D297" s="6" t="s">
        <v>1754</v>
      </c>
      <c r="E297" t="s">
        <v>2170</v>
      </c>
      <c r="G297" s="81" t="s">
        <v>2533</v>
      </c>
    </row>
    <row r="298" spans="1:7" ht="15.75" x14ac:dyDescent="0.25">
      <c r="A298">
        <v>297</v>
      </c>
      <c r="B298" s="81" t="s">
        <v>2304</v>
      </c>
      <c r="C298" s="5" t="s">
        <v>1757</v>
      </c>
      <c r="D298" s="6" t="s">
        <v>1758</v>
      </c>
      <c r="E298" t="s">
        <v>2175</v>
      </c>
      <c r="G298" s="81" t="s">
        <v>2534</v>
      </c>
    </row>
    <row r="299" spans="1:7" ht="15.75" x14ac:dyDescent="0.25">
      <c r="A299">
        <v>298</v>
      </c>
      <c r="B299" s="81" t="s">
        <v>2310</v>
      </c>
      <c r="C299" s="5" t="s">
        <v>1762</v>
      </c>
      <c r="D299" s="6" t="s">
        <v>1763</v>
      </c>
      <c r="E299" t="s">
        <v>2176</v>
      </c>
      <c r="G299" s="81" t="s">
        <v>2535</v>
      </c>
    </row>
    <row r="300" spans="1:7" x14ac:dyDescent="0.25">
      <c r="A300">
        <v>299</v>
      </c>
      <c r="B300" s="81" t="s">
        <v>2312</v>
      </c>
      <c r="C300" s="5" t="s">
        <v>1764</v>
      </c>
      <c r="D300" s="5" t="s">
        <v>1765</v>
      </c>
      <c r="E300" t="s">
        <v>2177</v>
      </c>
      <c r="G300" s="81" t="s">
        <v>2536</v>
      </c>
    </row>
    <row r="301" spans="1:7" x14ac:dyDescent="0.25">
      <c r="A301">
        <v>300</v>
      </c>
      <c r="B301" s="81" t="s">
        <v>2317</v>
      </c>
      <c r="C301" s="5" t="s">
        <v>1766</v>
      </c>
      <c r="D301" s="5" t="s">
        <v>1767</v>
      </c>
      <c r="E301" t="s">
        <v>2178</v>
      </c>
      <c r="G301" s="81" t="s">
        <v>2537</v>
      </c>
    </row>
    <row r="302" spans="1:7" ht="15.75" x14ac:dyDescent="0.25">
      <c r="A302">
        <v>301</v>
      </c>
      <c r="B302" s="81" t="s">
        <v>2330</v>
      </c>
      <c r="C302" s="5" t="s">
        <v>1772</v>
      </c>
      <c r="D302" s="6" t="s">
        <v>1773</v>
      </c>
      <c r="E302" t="s">
        <v>2179</v>
      </c>
      <c r="G302" s="81" t="s">
        <v>2538</v>
      </c>
    </row>
    <row r="303" spans="1:7" ht="15.75" x14ac:dyDescent="0.25">
      <c r="A303">
        <v>302</v>
      </c>
      <c r="B303" s="81" t="s">
        <v>2353</v>
      </c>
      <c r="C303" s="5" t="s">
        <v>1774</v>
      </c>
      <c r="D303" s="6" t="s">
        <v>1775</v>
      </c>
      <c r="E303" t="s">
        <v>2180</v>
      </c>
      <c r="G303" s="81" t="s">
        <v>2539</v>
      </c>
    </row>
    <row r="304" spans="1:7" ht="15.75" x14ac:dyDescent="0.25">
      <c r="A304">
        <v>303</v>
      </c>
      <c r="B304" s="81" t="s">
        <v>2354</v>
      </c>
      <c r="C304" s="5" t="s">
        <v>1779</v>
      </c>
      <c r="D304" s="6" t="s">
        <v>1780</v>
      </c>
      <c r="E304" t="s">
        <v>2181</v>
      </c>
      <c r="G304" s="81" t="s">
        <v>2540</v>
      </c>
    </row>
    <row r="305" spans="1:7" ht="15.75" x14ac:dyDescent="0.25">
      <c r="A305">
        <v>304</v>
      </c>
      <c r="B305" s="81" t="s">
        <v>2364</v>
      </c>
      <c r="C305" s="5" t="s">
        <v>1782</v>
      </c>
      <c r="D305" s="6" t="s">
        <v>1783</v>
      </c>
      <c r="E305" t="s">
        <v>2182</v>
      </c>
      <c r="G305" s="81" t="s">
        <v>2541</v>
      </c>
    </row>
    <row r="306" spans="1:7" ht="15.75" x14ac:dyDescent="0.25">
      <c r="A306">
        <v>305</v>
      </c>
      <c r="B306" s="81" t="s">
        <v>2368</v>
      </c>
      <c r="C306" s="5" t="s">
        <v>1785</v>
      </c>
      <c r="D306" s="6" t="s">
        <v>1786</v>
      </c>
      <c r="E306" t="s">
        <v>2183</v>
      </c>
      <c r="G306" s="81" t="s">
        <v>2542</v>
      </c>
    </row>
    <row r="307" spans="1:7" ht="15.75" x14ac:dyDescent="0.25">
      <c r="A307">
        <v>306</v>
      </c>
      <c r="B307" s="81" t="s">
        <v>2371</v>
      </c>
      <c r="C307" s="5" t="s">
        <v>1788</v>
      </c>
      <c r="D307" s="6" t="s">
        <v>1789</v>
      </c>
      <c r="E307" t="s">
        <v>2184</v>
      </c>
      <c r="G307" s="81" t="s">
        <v>2543</v>
      </c>
    </row>
    <row r="308" spans="1:7" ht="15.75" x14ac:dyDescent="0.25">
      <c r="A308">
        <v>307</v>
      </c>
      <c r="B308" s="81" t="s">
        <v>2375</v>
      </c>
      <c r="C308" s="5" t="s">
        <v>1790</v>
      </c>
      <c r="D308" s="6" t="s">
        <v>1791</v>
      </c>
      <c r="E308" t="s">
        <v>2185</v>
      </c>
      <c r="G308" s="81" t="s">
        <v>2544</v>
      </c>
    </row>
    <row r="309" spans="1:7" ht="15.75" x14ac:dyDescent="0.25">
      <c r="A309">
        <v>308</v>
      </c>
      <c r="B309" s="81" t="s">
        <v>2389</v>
      </c>
      <c r="C309" s="5" t="s">
        <v>1794</v>
      </c>
      <c r="D309" s="6" t="s">
        <v>1795</v>
      </c>
      <c r="E309" t="s">
        <v>2186</v>
      </c>
      <c r="G309" s="81" t="s">
        <v>2545</v>
      </c>
    </row>
    <row r="310" spans="1:7" x14ac:dyDescent="0.25">
      <c r="A310">
        <v>309</v>
      </c>
      <c r="B310" s="81" t="s">
        <v>2409</v>
      </c>
      <c r="C310" s="5" t="s">
        <v>1798</v>
      </c>
      <c r="D310" s="5" t="s">
        <v>1799</v>
      </c>
      <c r="E310" t="s">
        <v>2187</v>
      </c>
      <c r="G310" s="81" t="s">
        <v>2546</v>
      </c>
    </row>
    <row r="311" spans="1:7" x14ac:dyDescent="0.25">
      <c r="A311">
        <v>310</v>
      </c>
      <c r="B311" s="81" t="s">
        <v>2410</v>
      </c>
      <c r="C311" s="5" t="s">
        <v>1803</v>
      </c>
      <c r="D311" s="5" t="s">
        <v>1804</v>
      </c>
      <c r="E311" t="s">
        <v>2188</v>
      </c>
      <c r="G311" s="81" t="s">
        <v>2547</v>
      </c>
    </row>
    <row r="312" spans="1:7" ht="15.75" x14ac:dyDescent="0.25">
      <c r="A312">
        <v>311</v>
      </c>
      <c r="B312" s="81" t="s">
        <v>2415</v>
      </c>
      <c r="C312" s="5" t="s">
        <v>1806</v>
      </c>
      <c r="D312" s="6" t="s">
        <v>1807</v>
      </c>
      <c r="E312" t="s">
        <v>2189</v>
      </c>
      <c r="G312" s="81" t="s">
        <v>2548</v>
      </c>
    </row>
    <row r="313" spans="1:7" ht="15.75" x14ac:dyDescent="0.25">
      <c r="A313">
        <v>312</v>
      </c>
      <c r="B313" s="81" t="s">
        <v>2426</v>
      </c>
      <c r="C313" s="5" t="s">
        <v>1809</v>
      </c>
      <c r="D313" s="6" t="s">
        <v>1810</v>
      </c>
      <c r="E313" t="s">
        <v>2190</v>
      </c>
      <c r="G313" s="81" t="s">
        <v>2549</v>
      </c>
    </row>
    <row r="314" spans="1:7" x14ac:dyDescent="0.25">
      <c r="A314">
        <v>313</v>
      </c>
      <c r="B314" s="81" t="s">
        <v>2439</v>
      </c>
      <c r="C314" s="5" t="s">
        <v>1811</v>
      </c>
      <c r="D314" s="5" t="s">
        <v>1812</v>
      </c>
      <c r="E314" t="s">
        <v>2191</v>
      </c>
      <c r="G314" s="81" t="s">
        <v>2550</v>
      </c>
    </row>
    <row r="315" spans="1:7" x14ac:dyDescent="0.25">
      <c r="A315">
        <v>314</v>
      </c>
      <c r="B315" s="81" t="s">
        <v>2451</v>
      </c>
      <c r="C315" s="5" t="s">
        <v>1813</v>
      </c>
      <c r="D315" s="5" t="s">
        <v>1814</v>
      </c>
      <c r="E315" t="s">
        <v>2192</v>
      </c>
      <c r="G315" s="81" t="s">
        <v>2551</v>
      </c>
    </row>
    <row r="316" spans="1:7" ht="15.75" x14ac:dyDescent="0.25">
      <c r="A316">
        <v>315</v>
      </c>
      <c r="B316" s="81" t="s">
        <v>2455</v>
      </c>
      <c r="C316" s="5" t="s">
        <v>1816</v>
      </c>
      <c r="D316" s="6" t="s">
        <v>1817</v>
      </c>
      <c r="E316" t="s">
        <v>2193</v>
      </c>
      <c r="G316" s="81" t="s">
        <v>2552</v>
      </c>
    </row>
    <row r="317" spans="1:7" ht="15.75" x14ac:dyDescent="0.25">
      <c r="A317">
        <v>316</v>
      </c>
      <c r="B317" s="81" t="s">
        <v>2484</v>
      </c>
      <c r="C317" s="5" t="s">
        <v>1825</v>
      </c>
      <c r="D317" s="6" t="s">
        <v>1826</v>
      </c>
      <c r="E317" t="s">
        <v>2194</v>
      </c>
      <c r="G317" s="81" t="s">
        <v>2553</v>
      </c>
    </row>
    <row r="318" spans="1:7" ht="15.75" x14ac:dyDescent="0.25">
      <c r="A318">
        <v>317</v>
      </c>
      <c r="B318" s="81" t="s">
        <v>2507</v>
      </c>
      <c r="C318" s="5" t="s">
        <v>1829</v>
      </c>
      <c r="D318" s="6" t="s">
        <v>1830</v>
      </c>
      <c r="E318" t="s">
        <v>2195</v>
      </c>
      <c r="G318" s="81" t="s">
        <v>2554</v>
      </c>
    </row>
    <row r="319" spans="1:7" ht="15.75" x14ac:dyDescent="0.25">
      <c r="A319">
        <v>318</v>
      </c>
      <c r="B319" s="81" t="s">
        <v>2530</v>
      </c>
      <c r="C319" s="5" t="s">
        <v>1831</v>
      </c>
      <c r="D319" s="6" t="s">
        <v>1832</v>
      </c>
      <c r="E319" t="s">
        <v>2196</v>
      </c>
      <c r="G319" s="81" t="s">
        <v>2555</v>
      </c>
    </row>
    <row r="320" spans="1:7" ht="15.75" x14ac:dyDescent="0.25">
      <c r="A320">
        <v>319</v>
      </c>
      <c r="B320" s="81" t="s">
        <v>2533</v>
      </c>
      <c r="C320" s="5" t="s">
        <v>1834</v>
      </c>
      <c r="D320" s="6" t="s">
        <v>1835</v>
      </c>
      <c r="E320" t="s">
        <v>2197</v>
      </c>
      <c r="G320" s="81" t="s">
        <v>2556</v>
      </c>
    </row>
    <row r="321" spans="1:7" ht="15.75" x14ac:dyDescent="0.25">
      <c r="A321">
        <v>320</v>
      </c>
      <c r="B321" s="81" t="s">
        <v>2564</v>
      </c>
      <c r="C321" s="5" t="s">
        <v>1836</v>
      </c>
      <c r="D321" s="6" t="s">
        <v>1837</v>
      </c>
      <c r="E321" t="s">
        <v>2198</v>
      </c>
      <c r="G321" s="81" t="s">
        <v>2557</v>
      </c>
    </row>
    <row r="322" spans="1:7" ht="15.75" x14ac:dyDescent="0.25">
      <c r="A322">
        <v>321</v>
      </c>
      <c r="B322" s="81" t="s">
        <v>2571</v>
      </c>
      <c r="C322" s="5" t="s">
        <v>1839</v>
      </c>
      <c r="D322" s="6" t="s">
        <v>1840</v>
      </c>
      <c r="E322" t="s">
        <v>2199</v>
      </c>
      <c r="G322" s="81" t="s">
        <v>2558</v>
      </c>
    </row>
    <row r="323" spans="1:7" ht="15.75" x14ac:dyDescent="0.25">
      <c r="A323">
        <v>322</v>
      </c>
      <c r="B323" s="81" t="s">
        <v>2574</v>
      </c>
      <c r="C323" s="5" t="s">
        <v>1841</v>
      </c>
      <c r="D323" s="6" t="s">
        <v>1842</v>
      </c>
      <c r="E323" t="s">
        <v>2200</v>
      </c>
      <c r="G323" s="81" t="s">
        <v>2559</v>
      </c>
    </row>
    <row r="324" spans="1:7" ht="15.75" x14ac:dyDescent="0.25">
      <c r="A324">
        <v>323</v>
      </c>
      <c r="B324" s="81" t="s">
        <v>2581</v>
      </c>
      <c r="C324" s="5" t="s">
        <v>1844</v>
      </c>
      <c r="D324" s="6" t="s">
        <v>1845</v>
      </c>
      <c r="E324" t="s">
        <v>2201</v>
      </c>
      <c r="G324" s="81" t="s">
        <v>2560</v>
      </c>
    </row>
    <row r="325" spans="1:7" x14ac:dyDescent="0.25">
      <c r="A325">
        <v>324</v>
      </c>
      <c r="B325" s="81" t="s">
        <v>2244</v>
      </c>
      <c r="C325" s="38" t="s">
        <v>795</v>
      </c>
      <c r="D325" s="39" t="s">
        <v>796</v>
      </c>
      <c r="E325" t="s">
        <v>1989</v>
      </c>
      <c r="G325" s="81" t="s">
        <v>2561</v>
      </c>
    </row>
    <row r="326" spans="1:7" x14ac:dyDescent="0.25">
      <c r="A326">
        <v>325</v>
      </c>
      <c r="B326" s="81" t="s">
        <v>2254</v>
      </c>
      <c r="C326" s="42" t="s">
        <v>1873</v>
      </c>
      <c r="D326" s="39" t="s">
        <v>800</v>
      </c>
      <c r="E326" t="s">
        <v>2203</v>
      </c>
      <c r="G326" s="81" t="s">
        <v>2562</v>
      </c>
    </row>
    <row r="327" spans="1:7" x14ac:dyDescent="0.25">
      <c r="A327">
        <v>326</v>
      </c>
      <c r="B327" s="81" t="s">
        <v>2268</v>
      </c>
      <c r="C327" s="38" t="s">
        <v>805</v>
      </c>
      <c r="D327" s="39" t="s">
        <v>806</v>
      </c>
      <c r="E327" t="s">
        <v>2204</v>
      </c>
      <c r="G327" s="81" t="s">
        <v>2563</v>
      </c>
    </row>
    <row r="328" spans="1:7" x14ac:dyDescent="0.25">
      <c r="A328">
        <v>327</v>
      </c>
      <c r="B328" s="81" t="s">
        <v>2274</v>
      </c>
      <c r="C328" s="38" t="s">
        <v>808</v>
      </c>
      <c r="D328" s="39" t="s">
        <v>809</v>
      </c>
      <c r="E328" t="s">
        <v>2205</v>
      </c>
      <c r="G328" s="81" t="s">
        <v>2564</v>
      </c>
    </row>
    <row r="329" spans="1:7" x14ac:dyDescent="0.25">
      <c r="A329">
        <v>328</v>
      </c>
      <c r="B329" s="81" t="s">
        <v>2275</v>
      </c>
      <c r="C329" s="38" t="s">
        <v>813</v>
      </c>
      <c r="D329" s="39" t="s">
        <v>814</v>
      </c>
      <c r="E329" t="s">
        <v>2206</v>
      </c>
      <c r="G329" s="81" t="s">
        <v>2565</v>
      </c>
    </row>
    <row r="330" spans="1:7" x14ac:dyDescent="0.25">
      <c r="A330">
        <v>329</v>
      </c>
      <c r="B330" s="81" t="s">
        <v>2280</v>
      </c>
      <c r="C330" s="38" t="s">
        <v>815</v>
      </c>
      <c r="D330" s="39" t="s">
        <v>816</v>
      </c>
      <c r="E330" t="s">
        <v>2207</v>
      </c>
      <c r="G330" s="81" t="s">
        <v>2566</v>
      </c>
    </row>
    <row r="331" spans="1:7" x14ac:dyDescent="0.25">
      <c r="A331">
        <v>330</v>
      </c>
      <c r="B331" s="81" t="s">
        <v>2282</v>
      </c>
      <c r="C331" s="42" t="s">
        <v>1874</v>
      </c>
      <c r="D331" s="39" t="s">
        <v>818</v>
      </c>
      <c r="E331" t="s">
        <v>2208</v>
      </c>
      <c r="G331" s="81" t="s">
        <v>2567</v>
      </c>
    </row>
    <row r="332" spans="1:7" x14ac:dyDescent="0.25">
      <c r="A332">
        <v>331</v>
      </c>
      <c r="B332" s="81" t="s">
        <v>2286</v>
      </c>
      <c r="C332" s="38" t="s">
        <v>821</v>
      </c>
      <c r="D332" s="39" t="s">
        <v>822</v>
      </c>
      <c r="E332" t="s">
        <v>2209</v>
      </c>
      <c r="G332" s="81" t="s">
        <v>2568</v>
      </c>
    </row>
    <row r="333" spans="1:7" x14ac:dyDescent="0.25">
      <c r="A333">
        <v>332</v>
      </c>
      <c r="B333" s="81" t="s">
        <v>2298</v>
      </c>
      <c r="C333" s="38" t="s">
        <v>823</v>
      </c>
      <c r="D333" s="39" t="s">
        <v>824</v>
      </c>
      <c r="E333" t="s">
        <v>2210</v>
      </c>
      <c r="G333" s="81" t="s">
        <v>2569</v>
      </c>
    </row>
    <row r="334" spans="1:7" x14ac:dyDescent="0.25">
      <c r="A334">
        <v>333</v>
      </c>
      <c r="B334" s="81" t="s">
        <v>2303</v>
      </c>
      <c r="C334" s="38" t="s">
        <v>828</v>
      </c>
      <c r="D334" s="39" t="s">
        <v>829</v>
      </c>
      <c r="E334" t="s">
        <v>2211</v>
      </c>
      <c r="G334" s="81" t="s">
        <v>2570</v>
      </c>
    </row>
    <row r="335" spans="1:7" x14ac:dyDescent="0.25">
      <c r="A335">
        <v>334</v>
      </c>
      <c r="B335" s="81" t="s">
        <v>2308</v>
      </c>
      <c r="C335" s="38" t="s">
        <v>834</v>
      </c>
      <c r="D335" s="39" t="s">
        <v>835</v>
      </c>
      <c r="E335" t="s">
        <v>2212</v>
      </c>
      <c r="G335" s="81" t="s">
        <v>2571</v>
      </c>
    </row>
    <row r="336" spans="1:7" x14ac:dyDescent="0.25">
      <c r="A336">
        <v>335</v>
      </c>
      <c r="B336" s="81" t="s">
        <v>2338</v>
      </c>
      <c r="C336" s="38" t="s">
        <v>837</v>
      </c>
      <c r="D336" s="39" t="s">
        <v>838</v>
      </c>
      <c r="E336" t="s">
        <v>2213</v>
      </c>
      <c r="G336" s="81" t="s">
        <v>2572</v>
      </c>
    </row>
    <row r="337" spans="1:7" x14ac:dyDescent="0.25">
      <c r="A337">
        <v>336</v>
      </c>
      <c r="B337" s="81" t="s">
        <v>2342</v>
      </c>
      <c r="C337" s="38" t="s">
        <v>839</v>
      </c>
      <c r="D337" s="39" t="s">
        <v>840</v>
      </c>
      <c r="E337" t="s">
        <v>2214</v>
      </c>
      <c r="G337" s="81" t="s">
        <v>2573</v>
      </c>
    </row>
    <row r="338" spans="1:7" x14ac:dyDescent="0.25">
      <c r="A338">
        <v>337</v>
      </c>
      <c r="B338" s="81" t="s">
        <v>2357</v>
      </c>
      <c r="C338" s="38" t="s">
        <v>844</v>
      </c>
      <c r="D338" s="39" t="s">
        <v>845</v>
      </c>
      <c r="E338" t="s">
        <v>2215</v>
      </c>
      <c r="G338" s="81" t="s">
        <v>2574</v>
      </c>
    </row>
    <row r="339" spans="1:7" x14ac:dyDescent="0.25">
      <c r="A339">
        <v>338</v>
      </c>
      <c r="B339" s="81" t="s">
        <v>2362</v>
      </c>
      <c r="C339" s="38" t="s">
        <v>849</v>
      </c>
      <c r="D339" s="39" t="s">
        <v>850</v>
      </c>
      <c r="E339" t="s">
        <v>2216</v>
      </c>
      <c r="G339" s="81" t="s">
        <v>2575</v>
      </c>
    </row>
    <row r="340" spans="1:7" x14ac:dyDescent="0.25">
      <c r="A340">
        <v>339</v>
      </c>
      <c r="B340" s="81" t="s">
        <v>2387</v>
      </c>
      <c r="C340" s="38" t="s">
        <v>853</v>
      </c>
      <c r="D340" s="39" t="s">
        <v>854</v>
      </c>
      <c r="E340" t="s">
        <v>2217</v>
      </c>
      <c r="G340" s="81" t="s">
        <v>2576</v>
      </c>
    </row>
    <row r="341" spans="1:7" x14ac:dyDescent="0.25">
      <c r="A341">
        <v>340</v>
      </c>
      <c r="B341" s="81" t="s">
        <v>2422</v>
      </c>
      <c r="C341" s="38" t="s">
        <v>857</v>
      </c>
      <c r="D341" s="39" t="s">
        <v>858</v>
      </c>
      <c r="E341" t="s">
        <v>2218</v>
      </c>
      <c r="G341" s="81" t="s">
        <v>2577</v>
      </c>
    </row>
    <row r="342" spans="1:7" x14ac:dyDescent="0.25">
      <c r="A342">
        <v>341</v>
      </c>
      <c r="B342" s="81" t="s">
        <v>2423</v>
      </c>
      <c r="C342" s="38" t="s">
        <v>860</v>
      </c>
      <c r="D342" s="39" t="s">
        <v>861</v>
      </c>
      <c r="E342" t="s">
        <v>2219</v>
      </c>
      <c r="G342" s="81" t="s">
        <v>2578</v>
      </c>
    </row>
    <row r="343" spans="1:7" x14ac:dyDescent="0.25">
      <c r="A343">
        <v>342</v>
      </c>
      <c r="B343" s="81" t="s">
        <v>2425</v>
      </c>
      <c r="C343" s="38" t="s">
        <v>866</v>
      </c>
      <c r="D343" s="39" t="s">
        <v>867</v>
      </c>
      <c r="E343" t="s">
        <v>2220</v>
      </c>
      <c r="G343" s="81" t="s">
        <v>2579</v>
      </c>
    </row>
    <row r="344" spans="1:7" x14ac:dyDescent="0.25">
      <c r="A344">
        <v>343</v>
      </c>
      <c r="B344" s="81" t="s">
        <v>2431</v>
      </c>
      <c r="C344" s="38" t="s">
        <v>869</v>
      </c>
      <c r="D344" s="39" t="s">
        <v>870</v>
      </c>
      <c r="E344" t="s">
        <v>2221</v>
      </c>
      <c r="G344" s="81" t="s">
        <v>2580</v>
      </c>
    </row>
    <row r="345" spans="1:7" x14ac:dyDescent="0.25">
      <c r="A345">
        <v>344</v>
      </c>
      <c r="B345" s="81" t="s">
        <v>2458</v>
      </c>
      <c r="C345" s="38" t="s">
        <v>871</v>
      </c>
      <c r="D345" s="39" t="s">
        <v>872</v>
      </c>
      <c r="E345" t="s">
        <v>2222</v>
      </c>
      <c r="G345" s="81" t="s">
        <v>2581</v>
      </c>
    </row>
    <row r="346" spans="1:7" x14ac:dyDescent="0.25">
      <c r="A346">
        <v>345</v>
      </c>
      <c r="B346" s="81" t="s">
        <v>2460</v>
      </c>
      <c r="C346" s="38" t="s">
        <v>873</v>
      </c>
      <c r="D346" s="39" t="s">
        <v>874</v>
      </c>
      <c r="E346" t="s">
        <v>2223</v>
      </c>
      <c r="G346" s="81" t="s">
        <v>2582</v>
      </c>
    </row>
    <row r="347" spans="1:7" x14ac:dyDescent="0.25">
      <c r="A347">
        <v>346</v>
      </c>
      <c r="B347" s="81" t="s">
        <v>2462</v>
      </c>
      <c r="C347" s="38" t="s">
        <v>879</v>
      </c>
      <c r="D347" s="39" t="s">
        <v>880</v>
      </c>
      <c r="E347" t="s">
        <v>2224</v>
      </c>
      <c r="G347" s="81" t="s">
        <v>2583</v>
      </c>
    </row>
    <row r="348" spans="1:7" x14ac:dyDescent="0.25">
      <c r="A348">
        <v>347</v>
      </c>
      <c r="B348" s="81" t="s">
        <v>2463</v>
      </c>
      <c r="C348" s="38" t="s">
        <v>881</v>
      </c>
      <c r="D348" s="39" t="s">
        <v>882</v>
      </c>
      <c r="E348" t="s">
        <v>2225</v>
      </c>
      <c r="G348" s="81" t="s">
        <v>2584</v>
      </c>
    </row>
    <row r="349" spans="1:7" x14ac:dyDescent="0.25">
      <c r="A349">
        <v>348</v>
      </c>
      <c r="B349" s="81" t="s">
        <v>2465</v>
      </c>
      <c r="C349" s="38" t="s">
        <v>883</v>
      </c>
      <c r="D349" s="39" t="s">
        <v>884</v>
      </c>
      <c r="E349" t="s">
        <v>2226</v>
      </c>
      <c r="G349" s="81" t="s">
        <v>2585</v>
      </c>
    </row>
    <row r="350" spans="1:7" x14ac:dyDescent="0.25">
      <c r="A350">
        <v>349</v>
      </c>
      <c r="B350" s="81" t="s">
        <v>2468</v>
      </c>
      <c r="C350" s="38" t="s">
        <v>885</v>
      </c>
      <c r="D350" s="39" t="s">
        <v>886</v>
      </c>
      <c r="E350" t="s">
        <v>2227</v>
      </c>
      <c r="G350" s="81" t="s">
        <v>2586</v>
      </c>
    </row>
    <row r="351" spans="1:7" x14ac:dyDescent="0.25">
      <c r="A351">
        <v>350</v>
      </c>
      <c r="B351" s="81" t="s">
        <v>2473</v>
      </c>
      <c r="C351" s="38" t="s">
        <v>890</v>
      </c>
      <c r="D351" s="39" t="s">
        <v>891</v>
      </c>
      <c r="E351" t="s">
        <v>2228</v>
      </c>
      <c r="G351" s="81" t="s">
        <v>2587</v>
      </c>
    </row>
    <row r="352" spans="1:7" x14ac:dyDescent="0.25">
      <c r="A352">
        <v>351</v>
      </c>
      <c r="B352" s="81" t="s">
        <v>2491</v>
      </c>
      <c r="C352" s="38" t="s">
        <v>1161</v>
      </c>
      <c r="D352" s="39" t="s">
        <v>1162</v>
      </c>
      <c r="E352" t="s">
        <v>2229</v>
      </c>
      <c r="G352" s="81" t="s">
        <v>2588</v>
      </c>
    </row>
    <row r="353" spans="1:7" x14ac:dyDescent="0.25">
      <c r="A353">
        <v>352</v>
      </c>
      <c r="B353" s="81" t="s">
        <v>2505</v>
      </c>
      <c r="C353" s="42" t="s">
        <v>2237</v>
      </c>
      <c r="D353" s="39" t="s">
        <v>894</v>
      </c>
      <c r="E353" t="s">
        <v>2230</v>
      </c>
      <c r="G353" s="81" t="s">
        <v>2589</v>
      </c>
    </row>
    <row r="354" spans="1:7" x14ac:dyDescent="0.25">
      <c r="A354">
        <v>353</v>
      </c>
      <c r="B354" s="81" t="s">
        <v>2525</v>
      </c>
      <c r="C354" s="38" t="s">
        <v>897</v>
      </c>
      <c r="D354" s="39" t="s">
        <v>898</v>
      </c>
      <c r="E354" t="s">
        <v>2231</v>
      </c>
      <c r="G354" s="81" t="s">
        <v>2590</v>
      </c>
    </row>
    <row r="355" spans="1:7" x14ac:dyDescent="0.25">
      <c r="A355">
        <v>354</v>
      </c>
      <c r="B355" s="81" t="s">
        <v>2545</v>
      </c>
      <c r="C355" s="38" t="s">
        <v>900</v>
      </c>
      <c r="D355" s="39" t="s">
        <v>901</v>
      </c>
      <c r="E355" t="s">
        <v>2202</v>
      </c>
      <c r="G355" s="81" t="s">
        <v>2591</v>
      </c>
    </row>
    <row r="356" spans="1:7" x14ac:dyDescent="0.25">
      <c r="A356">
        <v>355</v>
      </c>
      <c r="B356" s="81" t="s">
        <v>2548</v>
      </c>
      <c r="C356" s="38" t="s">
        <v>906</v>
      </c>
      <c r="D356" s="39" t="s">
        <v>907</v>
      </c>
      <c r="E356" t="s">
        <v>2232</v>
      </c>
      <c r="G356" s="81" t="s">
        <v>2592</v>
      </c>
    </row>
    <row r="357" spans="1:7" x14ac:dyDescent="0.25">
      <c r="A357">
        <v>356</v>
      </c>
      <c r="B357" s="81" t="s">
        <v>2584</v>
      </c>
      <c r="C357" s="38" t="s">
        <v>911</v>
      </c>
      <c r="D357" s="39" t="s">
        <v>912</v>
      </c>
      <c r="E357" t="s">
        <v>2233</v>
      </c>
      <c r="G357" s="81" t="s">
        <v>2593</v>
      </c>
    </row>
    <row r="358" spans="1:7" x14ac:dyDescent="0.25">
      <c r="A358">
        <v>357</v>
      </c>
      <c r="B358" s="81" t="s">
        <v>2585</v>
      </c>
      <c r="C358" s="38" t="s">
        <v>915</v>
      </c>
      <c r="D358" s="39" t="s">
        <v>916</v>
      </c>
      <c r="E358" t="s">
        <v>2234</v>
      </c>
      <c r="G358" s="81" t="s">
        <v>2594</v>
      </c>
    </row>
    <row r="359" spans="1:7" x14ac:dyDescent="0.25">
      <c r="A359">
        <v>358</v>
      </c>
      <c r="B359" s="81" t="s">
        <v>2590</v>
      </c>
      <c r="C359" s="38" t="s">
        <v>920</v>
      </c>
      <c r="D359" s="39" t="s">
        <v>921</v>
      </c>
      <c r="E359" t="s">
        <v>2235</v>
      </c>
      <c r="G359" s="81" t="s">
        <v>2595</v>
      </c>
    </row>
    <row r="360" spans="1:7" x14ac:dyDescent="0.25">
      <c r="A360">
        <v>359</v>
      </c>
      <c r="B360" s="81" t="s">
        <v>2592</v>
      </c>
      <c r="C360" s="38" t="s">
        <v>923</v>
      </c>
      <c r="D360" s="39" t="s">
        <v>924</v>
      </c>
      <c r="E360" t="s">
        <v>2236</v>
      </c>
      <c r="G360" s="81" t="s">
        <v>2596</v>
      </c>
    </row>
  </sheetData>
  <sortState xmlns:xlrd2="http://schemas.microsoft.com/office/spreadsheetml/2017/richdata2" ref="B2:E360">
    <sortCondition ref="E2:E360"/>
  </sortState>
  <phoneticPr fontId="17" type="noConversion"/>
  <conditionalFormatting sqref="D169">
    <cfRule type="colorScale" priority="27">
      <colorScale>
        <cfvo type="min"/>
        <cfvo type="max"/>
        <color rgb="FFFCFCFF"/>
        <color rgb="FF63BE7B"/>
      </colorScale>
    </cfRule>
    <cfRule type="duplicateValues" dxfId="27" priority="28"/>
  </conditionalFormatting>
  <conditionalFormatting sqref="D170">
    <cfRule type="colorScale" priority="25">
      <colorScale>
        <cfvo type="min"/>
        <cfvo type="max"/>
        <color rgb="FFFCFCFF"/>
        <color rgb="FF63BE7B"/>
      </colorScale>
    </cfRule>
    <cfRule type="duplicateValues" dxfId="26" priority="26"/>
  </conditionalFormatting>
  <conditionalFormatting sqref="D253:D258 D278:D280 D266:D276 D282:D285 D260:D263">
    <cfRule type="colorScale" priority="23">
      <colorScale>
        <cfvo type="min"/>
        <cfvo type="max"/>
        <color rgb="FFFCFCFF"/>
        <color rgb="FF63BE7B"/>
      </colorScale>
    </cfRule>
    <cfRule type="duplicateValues" dxfId="25" priority="24"/>
  </conditionalFormatting>
  <conditionalFormatting sqref="D259">
    <cfRule type="colorScale" priority="13">
      <colorScale>
        <cfvo type="min"/>
        <cfvo type="max"/>
        <color rgb="FFFCFCFF"/>
        <color rgb="FF63BE7B"/>
      </colorScale>
    </cfRule>
    <cfRule type="duplicateValues" dxfId="24" priority="14"/>
  </conditionalFormatting>
  <conditionalFormatting sqref="D264">
    <cfRule type="colorScale" priority="11">
      <colorScale>
        <cfvo type="min"/>
        <cfvo type="max"/>
        <color rgb="FFFCFCFF"/>
        <color rgb="FF63BE7B"/>
      </colorScale>
    </cfRule>
    <cfRule type="duplicateValues" dxfId="23" priority="12"/>
  </conditionalFormatting>
  <conditionalFormatting sqref="D277">
    <cfRule type="colorScale" priority="19">
      <colorScale>
        <cfvo type="min"/>
        <cfvo type="max"/>
        <color rgb="FFFCFCFF"/>
        <color rgb="FF63BE7B"/>
      </colorScale>
    </cfRule>
    <cfRule type="duplicateValues" dxfId="22" priority="20"/>
  </conditionalFormatting>
  <conditionalFormatting sqref="D281">
    <cfRule type="colorScale" priority="15">
      <colorScale>
        <cfvo type="min"/>
        <cfvo type="max"/>
        <color rgb="FFFCFCFF"/>
        <color rgb="FF63BE7B"/>
      </colorScale>
    </cfRule>
    <cfRule type="duplicateValues" dxfId="21" priority="16"/>
  </conditionalFormatting>
  <conditionalFormatting sqref="D286">
    <cfRule type="colorScale" priority="17">
      <colorScale>
        <cfvo type="min"/>
        <cfvo type="max"/>
        <color rgb="FFFCFCFF"/>
        <color rgb="FF63BE7B"/>
      </colorScale>
    </cfRule>
    <cfRule type="duplicateValues" dxfId="20" priority="18"/>
  </conditionalFormatting>
  <conditionalFormatting sqref="D287:D288">
    <cfRule type="colorScale" priority="21">
      <colorScale>
        <cfvo type="min"/>
        <cfvo type="max"/>
        <color rgb="FFFCFCFF"/>
        <color rgb="FF63BE7B"/>
      </colorScale>
    </cfRule>
    <cfRule type="duplicateValues" dxfId="19" priority="22"/>
  </conditionalFormatting>
  <conditionalFormatting sqref="D310:D315 D289:D294 D296:D297 D299:D308 D317:D321">
    <cfRule type="colorScale" priority="9">
      <colorScale>
        <cfvo type="min"/>
        <cfvo type="max"/>
        <color rgb="FFFCFCFF"/>
        <color rgb="FF63BE7B"/>
      </colorScale>
    </cfRule>
    <cfRule type="duplicateValues" dxfId="18" priority="10"/>
  </conditionalFormatting>
  <conditionalFormatting sqref="D298">
    <cfRule type="colorScale" priority="3">
      <colorScale>
        <cfvo type="min"/>
        <cfvo type="max"/>
        <color rgb="FFFCFCFF"/>
        <color rgb="FF63BE7B"/>
      </colorScale>
    </cfRule>
    <cfRule type="duplicateValues" dxfId="17" priority="4"/>
  </conditionalFormatting>
  <conditionalFormatting sqref="D309">
    <cfRule type="colorScale" priority="5">
      <colorScale>
        <cfvo type="min"/>
        <cfvo type="max"/>
        <color rgb="FFFCFCFF"/>
        <color rgb="FF63BE7B"/>
      </colorScale>
    </cfRule>
    <cfRule type="duplicateValues" dxfId="16" priority="6"/>
  </conditionalFormatting>
  <conditionalFormatting sqref="D316">
    <cfRule type="colorScale" priority="1">
      <colorScale>
        <cfvo type="min"/>
        <cfvo type="max"/>
        <color rgb="FFFCFCFF"/>
        <color rgb="FF63BE7B"/>
      </colorScale>
    </cfRule>
    <cfRule type="duplicateValues" dxfId="15" priority="2"/>
  </conditionalFormatting>
  <conditionalFormatting sqref="D322:D324">
    <cfRule type="colorScale" priority="7">
      <colorScale>
        <cfvo type="min"/>
        <cfvo type="max"/>
        <color rgb="FFFCFCFF"/>
        <color rgb="FF63BE7B"/>
      </colorScale>
    </cfRule>
    <cfRule type="duplicateValues" dxfId="14" priority="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X-1</vt:lpstr>
      <vt:lpstr>X-2</vt:lpstr>
      <vt:lpstr>X-3</vt:lpstr>
      <vt:lpstr>X-4</vt:lpstr>
      <vt:lpstr>X-5</vt:lpstr>
      <vt:lpstr>X-6</vt:lpstr>
      <vt:lpstr>X-7</vt:lpstr>
      <vt:lpstr>X-8</vt:lpstr>
      <vt:lpstr>X-9</vt:lpstr>
      <vt:lpstr>X-10</vt:lpstr>
      <vt:lpstr>Sheet1</vt:lpstr>
      <vt:lpstr>'X-1'!Print_Area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PENK</dc:creator>
  <cp:lastModifiedBy>USER</cp:lastModifiedBy>
  <cp:lastPrinted>2026-07-14T02:40:03Z</cp:lastPrinted>
  <dcterms:created xsi:type="dcterms:W3CDTF">2024-07-03T23:40:51Z</dcterms:created>
  <dcterms:modified xsi:type="dcterms:W3CDTF">2026-07-15T03:11:16Z</dcterms:modified>
</cp:coreProperties>
</file>