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siswaan 2026\ABSENSI 26-27\"/>
    </mc:Choice>
  </mc:AlternateContent>
  <xr:revisionPtr revIDLastSave="0" documentId="13_ncr:1_{48BFD473-5A5C-4E26-95E8-29EC928FBA2D}" xr6:coauthVersionLast="46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XI-A1 " sheetId="2" r:id="rId1"/>
    <sheet name="XI-A2" sheetId="4" r:id="rId2"/>
    <sheet name="XI-A3" sheetId="5" r:id="rId3"/>
    <sheet name="XI-A4" sheetId="6" r:id="rId4"/>
    <sheet name="XI-A5" sheetId="7" r:id="rId5"/>
    <sheet name="XI-B" sheetId="8" r:id="rId6"/>
    <sheet name="XI-C" sheetId="9" r:id="rId7"/>
    <sheet name="XI-D" sheetId="10" r:id="rId8"/>
    <sheet name="XI-E" sheetId="11" r:id="rId9"/>
    <sheet name="XI-F" sheetId="12" r:id="rId10"/>
    <sheet name="Sheet3" sheetId="18" r:id="rId11"/>
    <sheet name="Sheet1" sheetId="14" r:id="rId12"/>
    <sheet name="Data Siswa" sheetId="1" r:id="rId13"/>
    <sheet name="IPS" sheetId="13" state="hidden" r:id="rId14"/>
    <sheet name="Wali Kelas" sheetId="3" state="hidden" r:id="rId15"/>
    <sheet name="INDUK" sheetId="15" state="hidden" r:id="rId16"/>
    <sheet name="Sheet2" sheetId="17" state="hidden" r:id="rId17"/>
  </sheets>
  <definedNames>
    <definedName name="_xlnm.Print_Area" localSheetId="0">'XI-A1 '!$A$1:$AB$47</definedName>
    <definedName name="_xlnm.Print_Area" localSheetId="1">'XI-A2'!$A$1:$AB$47</definedName>
    <definedName name="_xlnm.Print_Area" localSheetId="2">'XI-A3'!$A$1:$AB$47</definedName>
    <definedName name="_xlnm.Print_Area" localSheetId="3">'XI-A4'!$A$1:$AB$47</definedName>
    <definedName name="_xlnm.Print_Area" localSheetId="4">'XI-A5'!$A$1:$AB$49</definedName>
    <definedName name="_xlnm.Print_Area" localSheetId="5">'XI-B'!$A$1:$AB$47</definedName>
    <definedName name="_xlnm.Print_Area" localSheetId="6">'XI-C'!$A$1:$AB$47</definedName>
    <definedName name="_xlnm.Print_Area" localSheetId="7">'XI-D'!$A$1:$AC$47</definedName>
    <definedName name="_xlnm.Print_Area" localSheetId="8">'XI-E'!$A$1:$AC$47</definedName>
    <definedName name="_xlnm.Print_Area" localSheetId="9">'XI-F'!$A$1:$AB$46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" i="11" l="1"/>
  <c r="D46" i="11"/>
  <c r="AJ11" i="12"/>
  <c r="AJ12" i="12"/>
  <c r="AJ13" i="12"/>
  <c r="AJ14" i="12"/>
  <c r="AJ15" i="12"/>
  <c r="AJ16" i="12"/>
  <c r="AJ17" i="12"/>
  <c r="AJ18" i="12"/>
  <c r="AJ19" i="12"/>
  <c r="AJ20" i="12"/>
  <c r="AJ21" i="12"/>
  <c r="AJ22" i="12"/>
  <c r="AJ23" i="12"/>
  <c r="AJ24" i="12"/>
  <c r="AJ25" i="12"/>
  <c r="AJ26" i="12"/>
  <c r="AJ27" i="12"/>
  <c r="AJ28" i="12"/>
  <c r="AJ29" i="12"/>
  <c r="AJ30" i="12"/>
  <c r="AJ31" i="12"/>
  <c r="AJ32" i="12"/>
  <c r="AJ33" i="12"/>
  <c r="AJ34" i="12"/>
  <c r="AJ35" i="12"/>
  <c r="AJ36" i="12"/>
  <c r="AJ37" i="12"/>
  <c r="AJ38" i="12"/>
  <c r="AJ39" i="12"/>
  <c r="AJ41" i="12"/>
  <c r="AJ42" i="12"/>
  <c r="AJ10" i="12"/>
  <c r="D47" i="7"/>
  <c r="D46" i="7"/>
  <c r="D47" i="8" l="1"/>
  <c r="D46" i="8"/>
  <c r="D47" i="6"/>
  <c r="D46" i="6"/>
  <c r="D47" i="4" l="1"/>
  <c r="D46" i="4"/>
  <c r="D47" i="9"/>
  <c r="D46" i="9"/>
  <c r="D46" i="5"/>
  <c r="D47" i="5"/>
  <c r="D46" i="12"/>
  <c r="D45" i="12"/>
  <c r="D46" i="10"/>
  <c r="D47" i="10"/>
  <c r="D47" i="2"/>
  <c r="D46" i="2"/>
  <c r="D48" i="10" l="1"/>
  <c r="D48" i="6"/>
  <c r="D48" i="8"/>
  <c r="D48" i="4"/>
  <c r="D48" i="5"/>
  <c r="D48" i="2"/>
  <c r="D47" i="12"/>
  <c r="AK43" i="2" l="1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E361" i="15" l="1"/>
  <c r="E360" i="15"/>
  <c r="D48" i="9" l="1"/>
  <c r="D48" i="11" l="1"/>
  <c r="B3" i="18"/>
  <c r="D48" i="7"/>
  <c r="B2" i="18"/>
  <c r="B4" i="18" l="1"/>
</calcChain>
</file>

<file path=xl/sharedStrings.xml><?xml version="1.0" encoding="utf-8"?>
<sst xmlns="http://schemas.openxmlformats.org/spreadsheetml/2006/main" count="7878" uniqueCount="2314">
  <si>
    <t>0088504353</t>
  </si>
  <si>
    <t>ADITYA CATUR FIRMANSYAH</t>
  </si>
  <si>
    <t>IPA</t>
  </si>
  <si>
    <t>3). Kelas IPA - Ekonomi dan Geografi.</t>
  </si>
  <si>
    <t>SMPN 1 PAMEKASAN</t>
  </si>
  <si>
    <t>081216900245</t>
  </si>
  <si>
    <t>Zonasi</t>
  </si>
  <si>
    <t>0076107200</t>
  </si>
  <si>
    <t>ABDIA NABILA RAMADIANTI</t>
  </si>
  <si>
    <t>2).Kelas IPA - Ekonomi dan Sosiologi</t>
  </si>
  <si>
    <t>SMPN 2 PAMEKASAN</t>
  </si>
  <si>
    <t>Pretasi Akademik</t>
  </si>
  <si>
    <t>0082670481</t>
  </si>
  <si>
    <t>ACH ALIF RAHMAN</t>
  </si>
  <si>
    <t>IPS</t>
  </si>
  <si>
    <t>Kelas IPS - FISIKA DAN KIMIA</t>
  </si>
  <si>
    <t>081615689693</t>
  </si>
  <si>
    <t>0088967352</t>
  </si>
  <si>
    <t>ACHMAD ARYAPUTRA MAHARDIKA</t>
  </si>
  <si>
    <t>081232442196</t>
  </si>
  <si>
    <t>0079461775</t>
  </si>
  <si>
    <t>ACHMAD FAUZAN JAUZI</t>
  </si>
  <si>
    <t>087889868312</t>
  </si>
  <si>
    <t>0076719781</t>
  </si>
  <si>
    <t>SMPN 1 PADEMAWU</t>
  </si>
  <si>
    <t>082228832481</t>
  </si>
  <si>
    <t>0082830491</t>
  </si>
  <si>
    <t>ADITYA MAULANA SETIABUDI</t>
  </si>
  <si>
    <t>SMP PLUS NURUL HIKMAH</t>
  </si>
  <si>
    <t>082334177807</t>
  </si>
  <si>
    <t>Akademik/Rapor</t>
  </si>
  <si>
    <t>0079782785</t>
  </si>
  <si>
    <t>AFIF RAMADHANI ASAD</t>
  </si>
  <si>
    <t>SMPN 1 KADUR</t>
  </si>
  <si>
    <t>082332255543</t>
  </si>
  <si>
    <t>0081600622</t>
  </si>
  <si>
    <t>AFRA NAILA HIDAYATI</t>
  </si>
  <si>
    <t>1).Kelas IPA - Ekonomi dan Sastra Inggris</t>
  </si>
  <si>
    <t>SMPS SABILILLAH-KEC.SAMPANG-SAMPANG</t>
  </si>
  <si>
    <t>0088013010</t>
  </si>
  <si>
    <t>AGIL KURNIAWAN</t>
  </si>
  <si>
    <t>082230862452</t>
  </si>
  <si>
    <t>0071036796</t>
  </si>
  <si>
    <t>AGNES SETIAWAN</t>
  </si>
  <si>
    <t>MTSN 2 PAMEKASAN-KEC. PAMEKASAN</t>
  </si>
  <si>
    <t>0071282729</t>
  </si>
  <si>
    <t>AHMAD ALIEF MADANI</t>
  </si>
  <si>
    <t>087749402542</t>
  </si>
  <si>
    <t>0084204530</t>
  </si>
  <si>
    <t>AHMAD FAUZAN NABIL</t>
  </si>
  <si>
    <t>0081088918</t>
  </si>
  <si>
    <t>AHMAD NUR AMIN</t>
  </si>
  <si>
    <t>082228818335</t>
  </si>
  <si>
    <t>0078298156</t>
  </si>
  <si>
    <t>AILSA SAHASIKA IRENE HAFIZHAH</t>
  </si>
  <si>
    <t>0098766702</t>
  </si>
  <si>
    <t>AIRA NURFAJARINI</t>
  </si>
  <si>
    <t>081230402743</t>
  </si>
  <si>
    <t>0072933901</t>
  </si>
  <si>
    <t>AISYAH HUMAIRA PUTRI</t>
  </si>
  <si>
    <t>087849561255</t>
  </si>
  <si>
    <t>0085849572</t>
  </si>
  <si>
    <t>AISYAH MARWA NISHRINA</t>
  </si>
  <si>
    <t>MTS AL KAUTSAR-SUKODONO-SIDOARJO</t>
  </si>
  <si>
    <t>085236813350</t>
  </si>
  <si>
    <t>0089062483</t>
  </si>
  <si>
    <t>AISYAH RESCHA ANWAR</t>
  </si>
  <si>
    <t>082132051110</t>
  </si>
  <si>
    <t>0088963414</t>
  </si>
  <si>
    <t>AKEO ZADA MAHASIN</t>
  </si>
  <si>
    <t>Tenaga Medis/Covid-19</t>
  </si>
  <si>
    <t>0075158330</t>
  </si>
  <si>
    <t>085233434132</t>
  </si>
  <si>
    <t>0089703268</t>
  </si>
  <si>
    <t xml:space="preserve">ALDAFA RAJENDRA ASYIKIN </t>
  </si>
  <si>
    <t>081358754868</t>
  </si>
  <si>
    <t>0071187409</t>
  </si>
  <si>
    <t>ALEXANDRA MEILANI PUTRI</t>
  </si>
  <si>
    <t>082334174650</t>
  </si>
  <si>
    <t>0081072718</t>
  </si>
  <si>
    <t>ALFA ADITYA MAHYUDIN</t>
  </si>
  <si>
    <t>085330124402</t>
  </si>
  <si>
    <t>0074098675</t>
  </si>
  <si>
    <t>ALFAN NASHRULLAH IHSAN</t>
  </si>
  <si>
    <t>0088577993</t>
  </si>
  <si>
    <t>ALFARRA PUTRI SYAHIRA</t>
  </si>
  <si>
    <t>082338537890</t>
  </si>
  <si>
    <t>0079042877</t>
  </si>
  <si>
    <t>ALIA MEI ZALLINA</t>
  </si>
  <si>
    <t>Afirmasi/KIP/KIS/SKTM</t>
  </si>
  <si>
    <t>0077122113</t>
  </si>
  <si>
    <t>ALIEF KHALIFATUR OKTAVIAN</t>
  </si>
  <si>
    <t>082338537829</t>
  </si>
  <si>
    <t>0074906355</t>
  </si>
  <si>
    <t>ALISYA PUSPITA NADIN WULANSARI</t>
  </si>
  <si>
    <t>089698975967</t>
  </si>
  <si>
    <t>0072397887</t>
  </si>
  <si>
    <t>ALIYA NADAA MIRJAHAAN</t>
  </si>
  <si>
    <t>MTSN 3 PAMEKASAN-KEC. PAKONG</t>
  </si>
  <si>
    <t>081235384505</t>
  </si>
  <si>
    <t>0085581881</t>
  </si>
  <si>
    <t>ALKHALIFI BUMI MUHAJIRIN KURNIAWAN</t>
  </si>
  <si>
    <t>081330063441</t>
  </si>
  <si>
    <t>0098535169</t>
  </si>
  <si>
    <t>ALVIONISA RESTU RANIASYAH</t>
  </si>
  <si>
    <t>087885537997</t>
  </si>
  <si>
    <t>0073761218</t>
  </si>
  <si>
    <t>081230584131</t>
  </si>
  <si>
    <t>0095897175</t>
  </si>
  <si>
    <t>ALYSIA AURYN NAJMI</t>
  </si>
  <si>
    <t>082333162221</t>
  </si>
  <si>
    <t>0088106005</t>
  </si>
  <si>
    <t>AMANAH ALIFIA FEBRIYANTI</t>
  </si>
  <si>
    <t>Pretasi Non Akademik</t>
  </si>
  <si>
    <t>0077609580</t>
  </si>
  <si>
    <t>AMELIA LEGINA YUNIANTI P</t>
  </si>
  <si>
    <t>SMPN 2 LARANGAN</t>
  </si>
  <si>
    <t>0073545657</t>
  </si>
  <si>
    <t>AMELIA OKTA WIDIA SYAFITRI</t>
  </si>
  <si>
    <t>SMPN 1 LARANGAN</t>
  </si>
  <si>
    <t>087860023373</t>
  </si>
  <si>
    <t>0075602612</t>
  </si>
  <si>
    <t>AMELIA PUTRI SURYA KINANTI</t>
  </si>
  <si>
    <t>082335372619</t>
  </si>
  <si>
    <t>0073021803</t>
  </si>
  <si>
    <t>AMILA RAMADHANI</t>
  </si>
  <si>
    <t>085953768854</t>
  </si>
  <si>
    <t>0077961804</t>
  </si>
  <si>
    <t>AMILIA EKA SAFITRIH</t>
  </si>
  <si>
    <t>SMPN 5 PAMEKASAN</t>
  </si>
  <si>
    <t>081703496580</t>
  </si>
  <si>
    <t>0078199249</t>
  </si>
  <si>
    <t>AMORITA AZZAH</t>
  </si>
  <si>
    <t>0078811422</t>
  </si>
  <si>
    <t>ANA DEA KHOLY YASMIN</t>
  </si>
  <si>
    <t>082152863185</t>
  </si>
  <si>
    <t>0083254864</t>
  </si>
  <si>
    <t>ANDIKA KRISHNA DHARMAWAN</t>
  </si>
  <si>
    <t>088231021895</t>
  </si>
  <si>
    <t>0095615370</t>
  </si>
  <si>
    <t>ANDIKA MAGALI BACHTIAR</t>
  </si>
  <si>
    <t>082332079705</t>
  </si>
  <si>
    <t>0081953106</t>
  </si>
  <si>
    <t>0071094260</t>
  </si>
  <si>
    <t>ANGRAH LILA SALIM</t>
  </si>
  <si>
    <t>089514658950</t>
  </si>
  <si>
    <t>0087079791</t>
  </si>
  <si>
    <t>ANINDITA SAYLA SAFIRA</t>
  </si>
  <si>
    <t>0073732986</t>
  </si>
  <si>
    <t>ANNISA NUR RAMADHANI</t>
  </si>
  <si>
    <t>085334579891</t>
  </si>
  <si>
    <t>0078477006</t>
  </si>
  <si>
    <t>ANNISA RACHMANIAR</t>
  </si>
  <si>
    <t>Anak Guru</t>
  </si>
  <si>
    <t>0085998106</t>
  </si>
  <si>
    <t>SMP NEGERI 1 GALIS</t>
  </si>
  <si>
    <t>0085807122</t>
  </si>
  <si>
    <t>APRILLIYANI FADILAH</t>
  </si>
  <si>
    <t>087752422376</t>
  </si>
  <si>
    <t>0082848096</t>
  </si>
  <si>
    <t>ARDI FEBRIAN HIDAYATULLAH</t>
  </si>
  <si>
    <t>SMPN 8 PAMEKASAN</t>
  </si>
  <si>
    <t>085233458720</t>
  </si>
  <si>
    <t>0078275426</t>
  </si>
  <si>
    <t>ARI SYARIEF HIDAYATTULLAH WURYANTO</t>
  </si>
  <si>
    <t>085257372870</t>
  </si>
  <si>
    <t>0073030912</t>
  </si>
  <si>
    <t>ARINI KHOIRUNNISA</t>
  </si>
  <si>
    <t>081914772927</t>
  </si>
  <si>
    <t>0087196976</t>
  </si>
  <si>
    <t>ARINI NURUL HIDAYATI</t>
  </si>
  <si>
    <t>SMP NEGERI 32 SURABAYA-WONOKROMO-SURABAYA</t>
  </si>
  <si>
    <t>Pindah Tugas Orang Tua</t>
  </si>
  <si>
    <t>0078521825</t>
  </si>
  <si>
    <t>ARISMY AZZUHRA THAHIRA</t>
  </si>
  <si>
    <t>085648066575</t>
  </si>
  <si>
    <t>0073192449</t>
  </si>
  <si>
    <t>0088347197</t>
  </si>
  <si>
    <t>ARROW DAENG NAHYALOVA</t>
  </si>
  <si>
    <t>081217009023</t>
  </si>
  <si>
    <t>0076941228</t>
  </si>
  <si>
    <t>ARUNI FIANTIKA AGUSTINA</t>
  </si>
  <si>
    <t>085736018116</t>
  </si>
  <si>
    <t>0071592792</t>
  </si>
  <si>
    <t>ATTA SILVIA FIRYANANDA</t>
  </si>
  <si>
    <t>SMP NEGERI 1 GLENMORE-KAB. BANYUWANGI</t>
  </si>
  <si>
    <t>0073888493</t>
  </si>
  <si>
    <t>AULIA AZAHRA MUFIDA</t>
  </si>
  <si>
    <t>085954427076</t>
  </si>
  <si>
    <t>0074129852</t>
  </si>
  <si>
    <t>AULIA HARINA PUTRI</t>
  </si>
  <si>
    <t>085230985435</t>
  </si>
  <si>
    <t>0082931151</t>
  </si>
  <si>
    <t>AULIA RULGA</t>
  </si>
  <si>
    <t>082334213131</t>
  </si>
  <si>
    <t>0089813408</t>
  </si>
  <si>
    <t>081217003649</t>
  </si>
  <si>
    <t>0083577689</t>
  </si>
  <si>
    <t>AUREL SEPTIANA WAHYUDI</t>
  </si>
  <si>
    <t>082141156854</t>
  </si>
  <si>
    <t>0086377642</t>
  </si>
  <si>
    <t>AURELIA PUTRI FARADILLAH</t>
  </si>
  <si>
    <t>0087941878</t>
  </si>
  <si>
    <t>AURELLIA RULITA JACINDA</t>
  </si>
  <si>
    <t>085236418082</t>
  </si>
  <si>
    <t>0079416015</t>
  </si>
  <si>
    <t>AWRINTYA PUTRI ZAMAKHSYARI</t>
  </si>
  <si>
    <t>MTSN 1 PAMEKASAN-KEC. PADEMAWU</t>
  </si>
  <si>
    <t>082335037779</t>
  </si>
  <si>
    <t>0078387510</t>
  </si>
  <si>
    <t>AXL CHRISTIANO MULJADI</t>
  </si>
  <si>
    <t>0083864513</t>
  </si>
  <si>
    <t>AYU RAMADHANI</t>
  </si>
  <si>
    <t>0071105509</t>
  </si>
  <si>
    <t>0088187712</t>
  </si>
  <si>
    <t>MTsN 2 Jembrana-Kec.Mendoyo-BALI</t>
  </si>
  <si>
    <t>085935060944</t>
  </si>
  <si>
    <t>0075815011</t>
  </si>
  <si>
    <t>BALQIS ANNURY LUCKY MUKTI</t>
  </si>
  <si>
    <t>SMPS AL - ITTIHAD-CAMPLONG SAMPANG</t>
  </si>
  <si>
    <t>082333999805</t>
  </si>
  <si>
    <t>0082146902</t>
  </si>
  <si>
    <t>BELA PUTRI MELATI</t>
  </si>
  <si>
    <t>081935644424</t>
  </si>
  <si>
    <t>0079821526</t>
  </si>
  <si>
    <t>BERLIAN AZALIA NAJMI</t>
  </si>
  <si>
    <t>0071144960</t>
  </si>
  <si>
    <t>0895339371795</t>
  </si>
  <si>
    <t>0081342543</t>
  </si>
  <si>
    <t>BIAS IFTITA DEWANTARA</t>
  </si>
  <si>
    <t>081331905120</t>
  </si>
  <si>
    <t>0073143358</t>
  </si>
  <si>
    <t>BIMA MEIDIAN WISESA</t>
  </si>
  <si>
    <t>0086058659</t>
  </si>
  <si>
    <t>BINTANG WARADANA GALIH</t>
  </si>
  <si>
    <t>087850564252</t>
  </si>
  <si>
    <t>0082382615</t>
  </si>
  <si>
    <t>BRIGITHA AZZAHRA NADINE</t>
  </si>
  <si>
    <t>081217252393</t>
  </si>
  <si>
    <t>0079980451</t>
  </si>
  <si>
    <t>BUNGA VIRANTI SINAR LESTARI</t>
  </si>
  <si>
    <t>085231900840</t>
  </si>
  <si>
    <t>0075676926</t>
  </si>
  <si>
    <t>CHELZEA SAGITA PHATRIA LARASATI</t>
  </si>
  <si>
    <t>0088960830</t>
  </si>
  <si>
    <t>083853298351</t>
  </si>
  <si>
    <t>0075138736</t>
  </si>
  <si>
    <t>DAFINA ZAMIRA HERMAN</t>
  </si>
  <si>
    <t>082337631225</t>
  </si>
  <si>
    <t>0072854035</t>
  </si>
  <si>
    <t>DAYU AURANOV GRACE ZHERRA</t>
  </si>
  <si>
    <t>0086258824</t>
  </si>
  <si>
    <t>DEFTRIANTI MAYZA IZHAAMI</t>
  </si>
  <si>
    <t>0088052016</t>
  </si>
  <si>
    <t>0077576999</t>
  </si>
  <si>
    <t>SMPN 1 SUMENEP-KOTA SUMENEP-SUMENEP</t>
  </si>
  <si>
    <t>081357633141</t>
  </si>
  <si>
    <t>0087901503</t>
  </si>
  <si>
    <t>DESVITA INDRIANA SUKMAWATI</t>
  </si>
  <si>
    <t>SMPN 3 PAMEKASAN</t>
  </si>
  <si>
    <t>082334068163</t>
  </si>
  <si>
    <t>0071786198</t>
  </si>
  <si>
    <t>DESY NOVITA NINGRUM</t>
  </si>
  <si>
    <t>0071200854</t>
  </si>
  <si>
    <t>DHABIT QISTAN ZHILAL AL HAZMI</t>
  </si>
  <si>
    <t>081289463870</t>
  </si>
  <si>
    <t>0082850933</t>
  </si>
  <si>
    <t>DHIA NAURAH</t>
  </si>
  <si>
    <t>0086290021</t>
  </si>
  <si>
    <t>DHIMAM ABROR DJURAID</t>
  </si>
  <si>
    <t>082338915157</t>
  </si>
  <si>
    <t>0088831459</t>
  </si>
  <si>
    <t>DIKTA ROBIYANTO</t>
  </si>
  <si>
    <t>SMPN 1 TLANAKAN</t>
  </si>
  <si>
    <t>0076440321</t>
  </si>
  <si>
    <t>DINDA MELISA PUTRI</t>
  </si>
  <si>
    <t>0088136865</t>
  </si>
  <si>
    <t>DIVA TRI RUKMALA</t>
  </si>
  <si>
    <t>0082692266</t>
  </si>
  <si>
    <t>DONI PRASETYA HERLAMBANG</t>
  </si>
  <si>
    <t>082331658602</t>
  </si>
  <si>
    <t>0075865458</t>
  </si>
  <si>
    <t>DWI CAHYA NOVELINA</t>
  </si>
  <si>
    <t>082335511888</t>
  </si>
  <si>
    <t>0079613768</t>
  </si>
  <si>
    <t>DWI KURNIA RAMADHANI PUTRI</t>
  </si>
  <si>
    <t>085330229512</t>
  </si>
  <si>
    <t>0089335686</t>
  </si>
  <si>
    <t>DWI PUTRA AMRULLAH</t>
  </si>
  <si>
    <t>085330432368</t>
  </si>
  <si>
    <t>0082667791</t>
  </si>
  <si>
    <t>085901344149</t>
  </si>
  <si>
    <t>0084435462</t>
  </si>
  <si>
    <t>DWIANI NUR AULIA</t>
  </si>
  <si>
    <t>082336402105</t>
  </si>
  <si>
    <t>0076979307</t>
  </si>
  <si>
    <t>DYMAS NURTHA PALOBY</t>
  </si>
  <si>
    <t>081997608268</t>
  </si>
  <si>
    <t>0078761390</t>
  </si>
  <si>
    <t>DZAKWAN RADITYA AL BARI</t>
  </si>
  <si>
    <t>085331650002</t>
  </si>
  <si>
    <t>0074161809</t>
  </si>
  <si>
    <t>EDGINA CALLISTA NURANDIKA PUTRI</t>
  </si>
  <si>
    <t>087846830621</t>
  </si>
  <si>
    <t>0072400371</t>
  </si>
  <si>
    <t>EKA NURISKARDHANI</t>
  </si>
  <si>
    <t>082338971909</t>
  </si>
  <si>
    <t>0071579890</t>
  </si>
  <si>
    <t>EKA YUNI NAFISAH</t>
  </si>
  <si>
    <t>081271439680</t>
  </si>
  <si>
    <t>0078785381</t>
  </si>
  <si>
    <t>ELQIS SATRIA NUGRAHA</t>
  </si>
  <si>
    <t>089506088449</t>
  </si>
  <si>
    <t>0083649347</t>
  </si>
  <si>
    <t>ELSYA ANDITA KIRANA</t>
  </si>
  <si>
    <t>0082375914</t>
  </si>
  <si>
    <t>ENDAR SYAFIRA PUTRI MAHARANI</t>
  </si>
  <si>
    <t>08883888300</t>
  </si>
  <si>
    <t>0089117071</t>
  </si>
  <si>
    <t>ERFINA TRI MAULIDIA</t>
  </si>
  <si>
    <t>085233162352</t>
  </si>
  <si>
    <t>0071380969</t>
  </si>
  <si>
    <t>ERROS AKBAR KRESNA DUTA</t>
  </si>
  <si>
    <t>081326918189</t>
  </si>
  <si>
    <t>0084013963</t>
  </si>
  <si>
    <t>ERSYIRA DIARA PUTRI</t>
  </si>
  <si>
    <t>0079195061</t>
  </si>
  <si>
    <t>0078949694</t>
  </si>
  <si>
    <t>EVELYN NATHANIA</t>
  </si>
  <si>
    <t>SMPK SANTO THOMAS</t>
  </si>
  <si>
    <t>085257333902</t>
  </si>
  <si>
    <t>0086823037</t>
  </si>
  <si>
    <t>EZHAR AUFA BILLAH</t>
  </si>
  <si>
    <t>0088074831</t>
  </si>
  <si>
    <t>FACHENDA TSALASA NIBRAS SHABRI</t>
  </si>
  <si>
    <t>082337244465</t>
  </si>
  <si>
    <t>0089871473</t>
  </si>
  <si>
    <t>082332718378</t>
  </si>
  <si>
    <t>0086716562</t>
  </si>
  <si>
    <t>FAIQOTUL HIMMAH</t>
  </si>
  <si>
    <t>085233709678</t>
  </si>
  <si>
    <t>0072395681</t>
  </si>
  <si>
    <t>FAIRUSSYIFA IZZATI</t>
  </si>
  <si>
    <t>0083620304</t>
  </si>
  <si>
    <t>FARADINA FEBRIYANTI</t>
  </si>
  <si>
    <t>087866812349</t>
  </si>
  <si>
    <t>0071558157</t>
  </si>
  <si>
    <t>FARICCA SEFRINA TAUFAN</t>
  </si>
  <si>
    <t>081779345701</t>
  </si>
  <si>
    <t>0078698378</t>
  </si>
  <si>
    <t>FARIDATUR RAHMAH</t>
  </si>
  <si>
    <t>081222842950</t>
  </si>
  <si>
    <t>0081990472</t>
  </si>
  <si>
    <t>FARISHA FEBRIANA SHOLIHA</t>
  </si>
  <si>
    <t>0077944134</t>
  </si>
  <si>
    <t>FARIZ ISNAN PUTERA SULAIMAN</t>
  </si>
  <si>
    <t>085236274661</t>
  </si>
  <si>
    <t>0081743855</t>
  </si>
  <si>
    <t>FATHAN PRATAMA ARYANTO</t>
  </si>
  <si>
    <t>081216891437</t>
  </si>
  <si>
    <t>0087603353</t>
  </si>
  <si>
    <t xml:space="preserve">FATIH PRATAMA ROBBANI </t>
  </si>
  <si>
    <t>087712763464</t>
  </si>
  <si>
    <t>0084445986</t>
  </si>
  <si>
    <t>SMPIT AL HAROMAIN-KEC.PASEAN PAMEKASAN</t>
  </si>
  <si>
    <t>082330888419</t>
  </si>
  <si>
    <t>0084901963</t>
  </si>
  <si>
    <t>FAZHA YUNINTA ARISKA</t>
  </si>
  <si>
    <t>085732752378</t>
  </si>
  <si>
    <t>0085953862</t>
  </si>
  <si>
    <t>FEBRIMA WINDI NATASYA</t>
  </si>
  <si>
    <t>082334170109</t>
  </si>
  <si>
    <t>0078791027</t>
  </si>
  <si>
    <t>FELYSA PUTRI SYAHWANDA</t>
  </si>
  <si>
    <t>085236721549</t>
  </si>
  <si>
    <t>0089290867</t>
  </si>
  <si>
    <t>0073181086</t>
  </si>
  <si>
    <t>FINANDIA ARDWIYANTI MAHDIYAR</t>
  </si>
  <si>
    <t>087756256591</t>
  </si>
  <si>
    <t>0087081764</t>
  </si>
  <si>
    <t>FIRMAN ALDIANSYAH</t>
  </si>
  <si>
    <t>087888817218</t>
  </si>
  <si>
    <t>0074283130</t>
  </si>
  <si>
    <t>FITRIA SALSABILLA FATIMAH</t>
  </si>
  <si>
    <t>085331443884</t>
  </si>
  <si>
    <t>0076930724</t>
  </si>
  <si>
    <t>0088748725</t>
  </si>
  <si>
    <t>GABRIEL FIRMANSYAH ARIFIN</t>
  </si>
  <si>
    <t>085855662934</t>
  </si>
  <si>
    <t>0089351996</t>
  </si>
  <si>
    <t>GALANG ALMALIKI</t>
  </si>
  <si>
    <t>085232043443</t>
  </si>
  <si>
    <t>0084497200</t>
  </si>
  <si>
    <t>GALUH CHANDRA KIRANA</t>
  </si>
  <si>
    <t>082333337383</t>
  </si>
  <si>
    <t>0074662876</t>
  </si>
  <si>
    <t>GANESA PURNAMA PUTRI</t>
  </si>
  <si>
    <t>089530445987</t>
  </si>
  <si>
    <t>0072957671</t>
  </si>
  <si>
    <t>GELSY RHAINA SALWA</t>
  </si>
  <si>
    <t>085334290000</t>
  </si>
  <si>
    <t>0076923932</t>
  </si>
  <si>
    <t>GHAZY RASHIA NS</t>
  </si>
  <si>
    <t>0087757164</t>
  </si>
  <si>
    <t>GHEVIRA NUZULIS ARIFIN</t>
  </si>
  <si>
    <t>082140497813</t>
  </si>
  <si>
    <t>0077650662</t>
  </si>
  <si>
    <t>GHINA MAZAYA SALSABILA</t>
  </si>
  <si>
    <t>0085474277</t>
  </si>
  <si>
    <t>085230736506</t>
  </si>
  <si>
    <t>0075614462</t>
  </si>
  <si>
    <t>HAFISZ</t>
  </si>
  <si>
    <t>081249577907</t>
  </si>
  <si>
    <t>0084409608</t>
  </si>
  <si>
    <t>HAKAM ABDURRAHMAN</t>
  </si>
  <si>
    <t>0895345382424</t>
  </si>
  <si>
    <t>0089523993</t>
  </si>
  <si>
    <t>HANIFAH MARWA SUCIPTO</t>
  </si>
  <si>
    <t>0074089376</t>
  </si>
  <si>
    <t>HAQI MUHAMMAD SYAMSURRIDHO</t>
  </si>
  <si>
    <t>SMPN 4 PAMEKASAN</t>
  </si>
  <si>
    <t>0073780906</t>
  </si>
  <si>
    <t>HERA KUMALASARI</t>
  </si>
  <si>
    <t>085334862728</t>
  </si>
  <si>
    <t>0086236491</t>
  </si>
  <si>
    <t>IBHAM FARREL ZAIDAN</t>
  </si>
  <si>
    <t>081230414446</t>
  </si>
  <si>
    <t>0071531082</t>
  </si>
  <si>
    <t>IKA FERISSHA AMELIA</t>
  </si>
  <si>
    <t>085234465151</t>
  </si>
  <si>
    <t>0078248228</t>
  </si>
  <si>
    <t>IKA NOVITASARI</t>
  </si>
  <si>
    <t>082234394411</t>
  </si>
  <si>
    <t>0076192452</t>
  </si>
  <si>
    <t>IKHWAL MAULANA SYARIF</t>
  </si>
  <si>
    <t>MTSS BUSTANUL MUBTADIIN-KEC. PROPPO</t>
  </si>
  <si>
    <t>082132325151</t>
  </si>
  <si>
    <t>0077255760</t>
  </si>
  <si>
    <t>ILHAM SETYA BUDI</t>
  </si>
  <si>
    <t>082334177961</t>
  </si>
  <si>
    <t>0078583354</t>
  </si>
  <si>
    <t>IMELDA NOVITA WULANDARY</t>
  </si>
  <si>
    <t>0074684074</t>
  </si>
  <si>
    <t>IMRON HAKIKI</t>
  </si>
  <si>
    <t>082334097277</t>
  </si>
  <si>
    <t>0078742677</t>
  </si>
  <si>
    <t>INDRA BUDI SETIAWAN</t>
  </si>
  <si>
    <t>081803033495</t>
  </si>
  <si>
    <t>0087802803</t>
  </si>
  <si>
    <t>IQLIMA RAHADATUL AISY</t>
  </si>
  <si>
    <t>085236928728</t>
  </si>
  <si>
    <t>0072126048</t>
  </si>
  <si>
    <t>JANIRA RAMADHANI</t>
  </si>
  <si>
    <t>0072150233</t>
  </si>
  <si>
    <t xml:space="preserve">JASIR QADLIZAKA SAJID LASMONO </t>
  </si>
  <si>
    <t>082140613554</t>
  </si>
  <si>
    <t>0077677003</t>
  </si>
  <si>
    <t>JAZIRA NUR ISNAINI</t>
  </si>
  <si>
    <t>085924638676</t>
  </si>
  <si>
    <t>0076831015</t>
  </si>
  <si>
    <t>KALINDA ZAHIRA HAKIM</t>
  </si>
  <si>
    <t>0088484953</t>
  </si>
  <si>
    <t>KAYLA MAHARANI SETIAWAN</t>
  </si>
  <si>
    <t>08126790382</t>
  </si>
  <si>
    <t>0088338242</t>
  </si>
  <si>
    <t>081335125455</t>
  </si>
  <si>
    <t>0088029388</t>
  </si>
  <si>
    <t>KHAINUR GITARANI</t>
  </si>
  <si>
    <t>081259283812</t>
  </si>
  <si>
    <t>0086012301</t>
  </si>
  <si>
    <t>SMPN 3 SAMPANG-KEC.SAMPANG</t>
  </si>
  <si>
    <t>087750736665</t>
  </si>
  <si>
    <t>0081557501</t>
  </si>
  <si>
    <t>KINARA OCTAVIA MMOHAMMAD</t>
  </si>
  <si>
    <t>087865671597</t>
  </si>
  <si>
    <t>0077901124</t>
  </si>
  <si>
    <t>KINTAN AMILIA PUTRI</t>
  </si>
  <si>
    <t>085233355734</t>
  </si>
  <si>
    <t>0071234733</t>
  </si>
  <si>
    <t>LAILATUL JANNAH</t>
  </si>
  <si>
    <t>0078426850</t>
  </si>
  <si>
    <t>LAILATUL MUKARROMAH</t>
  </si>
  <si>
    <t>085235888133</t>
  </si>
  <si>
    <t>0093248308</t>
  </si>
  <si>
    <t>LAILATUN NIKMAH FEBRIYANTINI</t>
  </si>
  <si>
    <t>081233854726</t>
  </si>
  <si>
    <t>0085672984</t>
  </si>
  <si>
    <t>LIEVIAN AGUSTIN PRAYOGO</t>
  </si>
  <si>
    <t>082139223123</t>
  </si>
  <si>
    <t>0082459290</t>
  </si>
  <si>
    <t>LIFANYA FEBE NAYA WIBOWO</t>
  </si>
  <si>
    <t>081808468612</t>
  </si>
  <si>
    <t>0089056838</t>
  </si>
  <si>
    <t>LILA PUTRI RAMADHANI</t>
  </si>
  <si>
    <t>SMPN 1 OMBEN-OMBEN-SAMPANG</t>
  </si>
  <si>
    <t>0881036477165</t>
  </si>
  <si>
    <t>0088677884</t>
  </si>
  <si>
    <t>LUTHFI DWI JULIYANTO</t>
  </si>
  <si>
    <t>081333433627</t>
  </si>
  <si>
    <t>0071141459</t>
  </si>
  <si>
    <t>M  NUZULUL RIZKI RAMADHAN</t>
  </si>
  <si>
    <t>082228811682</t>
  </si>
  <si>
    <t>0079909792</t>
  </si>
  <si>
    <t>M DIKA TRI HARYANI</t>
  </si>
  <si>
    <t>087862336277</t>
  </si>
  <si>
    <t>0077991394</t>
  </si>
  <si>
    <t>M DIKI TRI HARYANI</t>
  </si>
  <si>
    <t>081259379574</t>
  </si>
  <si>
    <t>0087923752</t>
  </si>
  <si>
    <t>M HABIBULLAH PRADANA</t>
  </si>
  <si>
    <t>081217060933</t>
  </si>
  <si>
    <t>0079808271</t>
  </si>
  <si>
    <t>M NIBRAAS PUTRA ANJANU A</t>
  </si>
  <si>
    <t>085335870196</t>
  </si>
  <si>
    <t>0073650114</t>
  </si>
  <si>
    <t>087853152372</t>
  </si>
  <si>
    <t>0073506476</t>
  </si>
  <si>
    <t>MAHSA RUKMAMAYA</t>
  </si>
  <si>
    <t>087755000184</t>
  </si>
  <si>
    <t>0082804324</t>
  </si>
  <si>
    <t>MAIWAVIQ NUR LAILANA</t>
  </si>
  <si>
    <t>081717372701</t>
  </si>
  <si>
    <t>0082097943</t>
  </si>
  <si>
    <t>MAULANA YASIN AMRULLAH</t>
  </si>
  <si>
    <t>08520979942</t>
  </si>
  <si>
    <t>0083360786</t>
  </si>
  <si>
    <t>MAULIDINA APRILIA PRATIWI</t>
  </si>
  <si>
    <t>085856710160</t>
  </si>
  <si>
    <t>0075547059</t>
  </si>
  <si>
    <t>082331452536</t>
  </si>
  <si>
    <t>0083916095</t>
  </si>
  <si>
    <t>MELIANA ROSALINDA</t>
  </si>
  <si>
    <t>082228449722</t>
  </si>
  <si>
    <t>0071571291</t>
  </si>
  <si>
    <t>MILADIYA DWI SYAFFIRA IKMALA</t>
  </si>
  <si>
    <t>082228012450</t>
  </si>
  <si>
    <t>0076845151</t>
  </si>
  <si>
    <t>MOH ABDI LANGIT ARIFIN</t>
  </si>
  <si>
    <t>081916441003</t>
  </si>
  <si>
    <t>0076458144</t>
  </si>
  <si>
    <t>MOH ALFIN HARYANTO</t>
  </si>
  <si>
    <t>089530511640</t>
  </si>
  <si>
    <t>0069586255</t>
  </si>
  <si>
    <t>MOH ALI IMRON</t>
  </si>
  <si>
    <t>087865493588</t>
  </si>
  <si>
    <t>0063968673</t>
  </si>
  <si>
    <t>MOH DAFA</t>
  </si>
  <si>
    <t>SMP MUHAMMADIYAH PAMEKASAN</t>
  </si>
  <si>
    <t>085331241554</t>
  </si>
  <si>
    <t>0077738800</t>
  </si>
  <si>
    <t>MOH DANIEL FACHRILLAH</t>
  </si>
  <si>
    <t>SMPN 1 SAMPANG</t>
  </si>
  <si>
    <t>082387731355</t>
  </si>
  <si>
    <t>0084495436</t>
  </si>
  <si>
    <t>MOH FEBRIAN ZAKARIA</t>
  </si>
  <si>
    <t>085931077191</t>
  </si>
  <si>
    <t>0082275043</t>
  </si>
  <si>
    <t>MOH FERDINAN ALI AKBAR</t>
  </si>
  <si>
    <t>0895369926600</t>
  </si>
  <si>
    <t>0071446754</t>
  </si>
  <si>
    <t>MOH NADHIF APANDI</t>
  </si>
  <si>
    <t>0077775052</t>
  </si>
  <si>
    <t>MOH RADITYA PRATAMA</t>
  </si>
  <si>
    <t>0818900873</t>
  </si>
  <si>
    <t>0089367438</t>
  </si>
  <si>
    <t>MOH RAFFAEL SWAFRIL NURWAGIYANTO</t>
  </si>
  <si>
    <t>085335545273</t>
  </si>
  <si>
    <t>0089465242</t>
  </si>
  <si>
    <t>MOH RAIHAN ARDIANSYAH</t>
  </si>
  <si>
    <t>087847195334</t>
  </si>
  <si>
    <t>0083661007</t>
  </si>
  <si>
    <t>MOH ROMAN ASSHIDDIK</t>
  </si>
  <si>
    <t>082331233314</t>
  </si>
  <si>
    <t>0073160625</t>
  </si>
  <si>
    <t>MOH SAHIRUL ALIM ALFIKRIY</t>
  </si>
  <si>
    <t>MTSS AL-FALAH KEC. PASEAN PAMEKASAN</t>
  </si>
  <si>
    <t>085232030600</t>
  </si>
  <si>
    <t>0081655573</t>
  </si>
  <si>
    <t>MOHAMAD NUZUL RAIHAN</t>
  </si>
  <si>
    <t>0072618072</t>
  </si>
  <si>
    <t>MOHAMMAD</t>
  </si>
  <si>
    <t>082331094419</t>
  </si>
  <si>
    <t>0073007613</t>
  </si>
  <si>
    <t>MOHAMMAD HAIKAL BAIDHOWI</t>
  </si>
  <si>
    <t>089513776929</t>
  </si>
  <si>
    <t>0087297403</t>
  </si>
  <si>
    <t>MOHAMMAD JANU PUTRA SATRIA</t>
  </si>
  <si>
    <t>087883796885</t>
  </si>
  <si>
    <t>0082618851</t>
  </si>
  <si>
    <t>MOHAMMAD REYHAN FIRMANSYAH</t>
  </si>
  <si>
    <t>085233000611</t>
  </si>
  <si>
    <t>0087355309</t>
  </si>
  <si>
    <t>MUFIDAH RAISA GHAISANI</t>
  </si>
  <si>
    <t>082264302123</t>
  </si>
  <si>
    <t>0084226995</t>
  </si>
  <si>
    <t>MUH ROFIQI DAUD</t>
  </si>
  <si>
    <t>0081439772</t>
  </si>
  <si>
    <t>MUHAMAD RAFIF NURANDRA</t>
  </si>
  <si>
    <t>082141935759</t>
  </si>
  <si>
    <t>0085520252</t>
  </si>
  <si>
    <t>MUHAMMAD ALI PASHA</t>
  </si>
  <si>
    <t>0089248308</t>
  </si>
  <si>
    <t>MUHAMMAD MIRZA ALVIAN NUR</t>
  </si>
  <si>
    <t>081217008940</t>
  </si>
  <si>
    <t>0083224043</t>
  </si>
  <si>
    <t>MUHAMMAD NUR IHSAN</t>
  </si>
  <si>
    <t>085330765297</t>
  </si>
  <si>
    <t>0073918757</t>
  </si>
  <si>
    <t>MUHAMMAD RAFI FAUZIE</t>
  </si>
  <si>
    <t>082331013134</t>
  </si>
  <si>
    <t>0072957492</t>
  </si>
  <si>
    <t>MUTIARA KIRANA ISNAINI</t>
  </si>
  <si>
    <t>081703764777</t>
  </si>
  <si>
    <t>0085339799</t>
  </si>
  <si>
    <t>085955294822</t>
  </si>
  <si>
    <t>0088968266</t>
  </si>
  <si>
    <t>NABIL WALIYUDDIN</t>
  </si>
  <si>
    <t>085259995844</t>
  </si>
  <si>
    <t>0072380570</t>
  </si>
  <si>
    <t>NABILA DWI MULYANINGTIAS</t>
  </si>
  <si>
    <t>082330444303</t>
  </si>
  <si>
    <t>0087026420</t>
  </si>
  <si>
    <t>NABILA PUTRI NUR AINI</t>
  </si>
  <si>
    <t>085225328683</t>
  </si>
  <si>
    <t>0077408366</t>
  </si>
  <si>
    <t>088231005731</t>
  </si>
  <si>
    <t>0071506434</t>
  </si>
  <si>
    <t>NABILAH EFFENDI</t>
  </si>
  <si>
    <t>082332983743</t>
  </si>
  <si>
    <t>0071697138</t>
  </si>
  <si>
    <t>NABILATUL UNSIYAH</t>
  </si>
  <si>
    <t>0077613920</t>
  </si>
  <si>
    <t>NABILLA ISNAINI HIDAYAT</t>
  </si>
  <si>
    <t>087861182304</t>
  </si>
  <si>
    <t>0077712884</t>
  </si>
  <si>
    <t>NADIA RAMADANI SYAHRONDI</t>
  </si>
  <si>
    <t>082335466399</t>
  </si>
  <si>
    <t>0075437227</t>
  </si>
  <si>
    <t>NADIRA RACHMA ARTANTI</t>
  </si>
  <si>
    <t>0088817223</t>
  </si>
  <si>
    <t>NADIYAH NURIL FIRDAUSY</t>
  </si>
  <si>
    <t>085236709220</t>
  </si>
  <si>
    <t>0086175902</t>
  </si>
  <si>
    <t>NAFILA MAYSHIERA ZAHRA</t>
  </si>
  <si>
    <t>0077394028</t>
  </si>
  <si>
    <t>NAGITA SABILA AFANI</t>
  </si>
  <si>
    <t>089518822067</t>
  </si>
  <si>
    <t>0089367449</t>
  </si>
  <si>
    <t>NAILA TAZKIA ANANDA FIRDAUSYA</t>
  </si>
  <si>
    <t>082331701781</t>
  </si>
  <si>
    <t>0076238625</t>
  </si>
  <si>
    <t>NAJLA FAJRIA ADIYANTO</t>
  </si>
  <si>
    <t>085231664020</t>
  </si>
  <si>
    <t>0073085327</t>
  </si>
  <si>
    <t>NAJWA FARADISA SAYLA</t>
  </si>
  <si>
    <t>0073279122</t>
  </si>
  <si>
    <t>NAJWA FAYZA AROFI</t>
  </si>
  <si>
    <t>085334272707</t>
  </si>
  <si>
    <t>0087842910</t>
  </si>
  <si>
    <t>NAJWA SYABILA FAQIH</t>
  </si>
  <si>
    <t>SMP MAARIF 4 PAMEKASAN-KEC. PAMEKASAN</t>
  </si>
  <si>
    <t>081945825406</t>
  </si>
  <si>
    <t>0086340453</t>
  </si>
  <si>
    <t>NANANG CHOSIM MAULIDI</t>
  </si>
  <si>
    <t>0082836094</t>
  </si>
  <si>
    <t>NANDA MUTIA AMORETE FATIMAH</t>
  </si>
  <si>
    <t>081357818484</t>
  </si>
  <si>
    <t>0048643340</t>
  </si>
  <si>
    <t>NARESWARI HUWAIDA SYAKILL</t>
  </si>
  <si>
    <t>085236541410</t>
  </si>
  <si>
    <t>0076528607</t>
  </si>
  <si>
    <t>NATASYA AMELIA RAMADANI</t>
  </si>
  <si>
    <t>082334177930</t>
  </si>
  <si>
    <t>0082684771</t>
  </si>
  <si>
    <t>NAUFAL BHARIGH SHAABIR</t>
  </si>
  <si>
    <t>0081600623</t>
  </si>
  <si>
    <t>NAUFAL PUTRA ASSAMSYAH</t>
  </si>
  <si>
    <t>081230369772</t>
  </si>
  <si>
    <t>0076141670</t>
  </si>
  <si>
    <t>NAURA PUTRI FAKHRIYA</t>
  </si>
  <si>
    <t>081335394003</t>
  </si>
  <si>
    <t>0087669842</t>
  </si>
  <si>
    <t>NAYLA HALWA FARADISA</t>
  </si>
  <si>
    <t>MTSS 1 PUTRI ANNUQAYAH-GULUK GULUK-SMNP</t>
  </si>
  <si>
    <t>081703120806</t>
  </si>
  <si>
    <t>0083074349</t>
  </si>
  <si>
    <t>NAYLA MUTIARA IZDIHAR</t>
  </si>
  <si>
    <t>0075619901</t>
  </si>
  <si>
    <t>NAYLA ZAHRATUS SHITA</t>
  </si>
  <si>
    <t>089687599376</t>
  </si>
  <si>
    <t>0085890243</t>
  </si>
  <si>
    <t>NAZMIYYA SALWA MUFIDA</t>
  </si>
  <si>
    <t>081291034785</t>
  </si>
  <si>
    <t>0073986780</t>
  </si>
  <si>
    <t>NEINDYRA ALTAREINA</t>
  </si>
  <si>
    <t>082330685100</t>
  </si>
  <si>
    <t>0079520953</t>
  </si>
  <si>
    <t>NIBRAS ABDILLAH HASMI</t>
  </si>
  <si>
    <t>085958062027</t>
  </si>
  <si>
    <t>0076844608</t>
  </si>
  <si>
    <t>NICHOLAS KALASNICHOV</t>
  </si>
  <si>
    <t>0083195140</t>
  </si>
  <si>
    <t>NISRINA KAYYISA</t>
  </si>
  <si>
    <t>081937373437</t>
  </si>
  <si>
    <t>0089099741</t>
  </si>
  <si>
    <t>NORA BIDAH ASSAMIYAH AGUSTIN</t>
  </si>
  <si>
    <t>082335643019</t>
  </si>
  <si>
    <t>0086213213</t>
  </si>
  <si>
    <t>NOVIA PUTERI PERMATASARI</t>
  </si>
  <si>
    <t>085924977681</t>
  </si>
  <si>
    <t>0089905968</t>
  </si>
  <si>
    <t>NUR AISYAH EKASARI JUNIANTI</t>
  </si>
  <si>
    <t>081217005489</t>
  </si>
  <si>
    <t>0081273295</t>
  </si>
  <si>
    <t>NUR SEVIA ANGGRAINI</t>
  </si>
  <si>
    <t>081973611784</t>
  </si>
  <si>
    <t>0088986107</t>
  </si>
  <si>
    <t>NURI MAULIDIYA FITRIA</t>
  </si>
  <si>
    <t>0079724488</t>
  </si>
  <si>
    <t>NURIZA AMRUL FAHMI</t>
  </si>
  <si>
    <t>085236813636</t>
  </si>
  <si>
    <t>0079599634</t>
  </si>
  <si>
    <t>0088596387</t>
  </si>
  <si>
    <t>NURRAFIE IQBAL DHIYAULRAHMAN</t>
  </si>
  <si>
    <t>081938764169</t>
  </si>
  <si>
    <t>0084010171</t>
  </si>
  <si>
    <t>NURSA BAITY JANNATY</t>
  </si>
  <si>
    <t>0086024702</t>
  </si>
  <si>
    <t>0084403528</t>
  </si>
  <si>
    <t>PRABU ARYA SYAHPUTRA</t>
  </si>
  <si>
    <t>081247039925</t>
  </si>
  <si>
    <t>0075273231</t>
  </si>
  <si>
    <t>PUTRI ANDINI NUGRAHA</t>
  </si>
  <si>
    <t>081217006281</t>
  </si>
  <si>
    <t>0071373857</t>
  </si>
  <si>
    <t>PUTRI AVINA SYAFARINA</t>
  </si>
  <si>
    <t>087752305147</t>
  </si>
  <si>
    <t>0076554368</t>
  </si>
  <si>
    <t>PUTRI FARADISKA PRATIWI</t>
  </si>
  <si>
    <t>081334237077</t>
  </si>
  <si>
    <t>0074566263</t>
  </si>
  <si>
    <t>PUTRI NUR ANISYAH</t>
  </si>
  <si>
    <t>085236423292</t>
  </si>
  <si>
    <t>0074170297</t>
  </si>
  <si>
    <t>QONITA NATHANIELA NOFALIA</t>
  </si>
  <si>
    <t>SMPN 1 WARU</t>
  </si>
  <si>
    <t>085330777278</t>
  </si>
  <si>
    <t>0078935066</t>
  </si>
  <si>
    <t>R KHARISMA TEGAR KUSUMAWARDANA</t>
  </si>
  <si>
    <t>0895345390108</t>
  </si>
  <si>
    <t>0078444643</t>
  </si>
  <si>
    <t>087750697577</t>
  </si>
  <si>
    <t>0074838875</t>
  </si>
  <si>
    <t>RACHEIL ATIKA MARIES</t>
  </si>
  <si>
    <t>082334340351</t>
  </si>
  <si>
    <t>0071589953</t>
  </si>
  <si>
    <t>RADHITYA IVAN NUGRAHA</t>
  </si>
  <si>
    <t>081380670583</t>
  </si>
  <si>
    <t>0071667089</t>
  </si>
  <si>
    <t>087747795884</t>
  </si>
  <si>
    <t>0072349460</t>
  </si>
  <si>
    <t>RADITYA PASHA PANDU SUSANTO</t>
  </si>
  <si>
    <t>081234199943</t>
  </si>
  <si>
    <t>0072770601</t>
  </si>
  <si>
    <t>RAFAEL YUGI ARMANDO</t>
  </si>
  <si>
    <t>085822362960</t>
  </si>
  <si>
    <t>0084424602</t>
  </si>
  <si>
    <t>RAFLI ARYANATTA SYAHBANA</t>
  </si>
  <si>
    <t>081288482952</t>
  </si>
  <si>
    <t>0081320135</t>
  </si>
  <si>
    <t>RAFLY PRATAMA HUDZAIFAH AL SYAHBANI</t>
  </si>
  <si>
    <t>089523534113</t>
  </si>
  <si>
    <t>0074878799</t>
  </si>
  <si>
    <t>RAIHANI ISNA NUR MAGHRIBI</t>
  </si>
  <si>
    <t>085231198141</t>
  </si>
  <si>
    <t>0072876380</t>
  </si>
  <si>
    <t>RAINA DZAKIYYAH AMARA</t>
  </si>
  <si>
    <t>087874906015</t>
  </si>
  <si>
    <t>0089226050</t>
  </si>
  <si>
    <t>RAISYA RADINHA</t>
  </si>
  <si>
    <t>0074355293</t>
  </si>
  <si>
    <t>RAMADHIAN ARTIKA WARDHANI</t>
  </si>
  <si>
    <t>0081896766</t>
  </si>
  <si>
    <t>RAMEYZA ALYA MUKHBITA</t>
  </si>
  <si>
    <t>0078867533</t>
  </si>
  <si>
    <t>RAMZI AHMAD MAULADI</t>
  </si>
  <si>
    <t>0083925714</t>
  </si>
  <si>
    <t>RANGGA RHAMADANI FEBRIYANSYAH</t>
  </si>
  <si>
    <t>085234819896</t>
  </si>
  <si>
    <t>0086628133</t>
  </si>
  <si>
    <t>RASLINA AZALIA SYAKIRAH</t>
  </si>
  <si>
    <t>082338219204</t>
  </si>
  <si>
    <t>0074133069</t>
  </si>
  <si>
    <t>RASYA ARIEZA ADITYA PRATAMA</t>
  </si>
  <si>
    <t>085232502200</t>
  </si>
  <si>
    <t>0074650274</t>
  </si>
  <si>
    <t>RASYA RAFI AZIS</t>
  </si>
  <si>
    <t>087844167431</t>
  </si>
  <si>
    <t>0087152671</t>
  </si>
  <si>
    <t>RATIH NASYANINGRUM</t>
  </si>
  <si>
    <t>SMP NEGERI 15 DEPOK-KEC.CIMANGGIS</t>
  </si>
  <si>
    <t>0081954312</t>
  </si>
  <si>
    <t>RAYYA ANISA SYABANI UTOMO</t>
  </si>
  <si>
    <t>082334340501</t>
  </si>
  <si>
    <t>0071910039</t>
  </si>
  <si>
    <t>REDECHA LAURA DIANY</t>
  </si>
  <si>
    <t>085230447242</t>
  </si>
  <si>
    <t>0079311621</t>
  </si>
  <si>
    <t>RENDHY MAULANA FIRDAUZ</t>
  </si>
  <si>
    <t>089530466072</t>
  </si>
  <si>
    <t>0074305834</t>
  </si>
  <si>
    <t>REVANDRA MIRZA ISLAMY</t>
  </si>
  <si>
    <t>087811600022</t>
  </si>
  <si>
    <t>0078715302</t>
  </si>
  <si>
    <t>REZHA OKTAVIAN DWI RAMDANI</t>
  </si>
  <si>
    <t>0072869505</t>
  </si>
  <si>
    <t>RICO DWIWANGSA</t>
  </si>
  <si>
    <t>082132776160</t>
  </si>
  <si>
    <t>0085790111</t>
  </si>
  <si>
    <t>RINDA YUNITA S</t>
  </si>
  <si>
    <t>085954094893</t>
  </si>
  <si>
    <t>0082740349</t>
  </si>
  <si>
    <t>RISKA AMELIA AGUSTIN</t>
  </si>
  <si>
    <t>MTSS MATSARATUL HUDA-KEC. PAMEKASAN</t>
  </si>
  <si>
    <t>0088385333</t>
  </si>
  <si>
    <t>RISKA ANGGRAINI MUFIDAH</t>
  </si>
  <si>
    <t>0075957041</t>
  </si>
  <si>
    <t>RISMA GITA NINGTYAS</t>
  </si>
  <si>
    <t>0083842961</t>
  </si>
  <si>
    <t>RIZAL AL FARRAS SABIBI</t>
  </si>
  <si>
    <t>081217716678</t>
  </si>
  <si>
    <t>0074052913</t>
  </si>
  <si>
    <t>RIZKA VIANZA PUTRI</t>
  </si>
  <si>
    <t>082333710008</t>
  </si>
  <si>
    <t>0083751394</t>
  </si>
  <si>
    <t>RIZKI ADRIAN FIRMANSYAH</t>
  </si>
  <si>
    <t>087857344241</t>
  </si>
  <si>
    <t>0075085736</t>
  </si>
  <si>
    <t>RIZKI DWI YULIAWAN</t>
  </si>
  <si>
    <t>082335939525</t>
  </si>
  <si>
    <t>0075332404</t>
  </si>
  <si>
    <t>RIZQUNA RAIHAN ABDILLAH</t>
  </si>
  <si>
    <t>082331272760</t>
  </si>
  <si>
    <t>0084617654</t>
  </si>
  <si>
    <t>082132784445</t>
  </si>
  <si>
    <t>0077166801</t>
  </si>
  <si>
    <t>RORO ZABRINA ANUGRAH NURRAMANIYA</t>
  </si>
  <si>
    <t>081917370903</t>
  </si>
  <si>
    <t>0083357008</t>
  </si>
  <si>
    <t>SABRINA BALQIS TRIANSARI</t>
  </si>
  <si>
    <t>081259801261</t>
  </si>
  <si>
    <t>0075913920</t>
  </si>
  <si>
    <t>SAFIRA</t>
  </si>
  <si>
    <t>0083600916</t>
  </si>
  <si>
    <t>SALSABILA SETIA BUDI</t>
  </si>
  <si>
    <t>0072460235</t>
  </si>
  <si>
    <t>SALWA CINDY QINTARA</t>
  </si>
  <si>
    <t>085330423250</t>
  </si>
  <si>
    <t>0086874695</t>
  </si>
  <si>
    <t>SANGDANG RAFIULLAH SANJAYA</t>
  </si>
  <si>
    <t>085230824176</t>
  </si>
  <si>
    <t>0079121669</t>
  </si>
  <si>
    <t>SANTIKA MAHARANI</t>
  </si>
  <si>
    <t>081232205092</t>
  </si>
  <si>
    <t>0089748358</t>
  </si>
  <si>
    <t>085230833044</t>
  </si>
  <si>
    <t>0077702888</t>
  </si>
  <si>
    <t>SELVIA MISTI AJI RUKMANA</t>
  </si>
  <si>
    <t>082336562973</t>
  </si>
  <si>
    <t>0072975083</t>
  </si>
  <si>
    <t>SEPTIAN RAMADANI WILDANANTA AR</t>
  </si>
  <si>
    <t>082132776356</t>
  </si>
  <si>
    <t>0085828049</t>
  </si>
  <si>
    <t>SHERLY FARISTIYANA</t>
  </si>
  <si>
    <t>087814955591</t>
  </si>
  <si>
    <t>0077696571</t>
  </si>
  <si>
    <t>SHINTA PRANATA</t>
  </si>
  <si>
    <t>082143291885</t>
  </si>
  <si>
    <t>0076484535</t>
  </si>
  <si>
    <t>SIGIT INDRA TRI WIBOWO</t>
  </si>
  <si>
    <t>085334256267</t>
  </si>
  <si>
    <t>0081934030</t>
  </si>
  <si>
    <t>SILMY NABILA</t>
  </si>
  <si>
    <t>081232439973</t>
  </si>
  <si>
    <t>0087156345</t>
  </si>
  <si>
    <t>SISKA DWI JULIANTI</t>
  </si>
  <si>
    <t>0086595148</t>
  </si>
  <si>
    <t>SITI AISYAH RISKIYANTI AR</t>
  </si>
  <si>
    <t>0082116927</t>
  </si>
  <si>
    <t>0077882289</t>
  </si>
  <si>
    <t>SITI YULIATUL LAILI</t>
  </si>
  <si>
    <t>081249559368</t>
  </si>
  <si>
    <t>0082319923</t>
  </si>
  <si>
    <t>SUNNITA ABADILA</t>
  </si>
  <si>
    <t>081234898091</t>
  </si>
  <si>
    <t>0084128682</t>
  </si>
  <si>
    <t>SYABIL RAFIF NABIL FADLILLAH</t>
  </si>
  <si>
    <t>085945615456</t>
  </si>
  <si>
    <t>0081418396</t>
  </si>
  <si>
    <t>SYAFINA AFRA AMATULLAH</t>
  </si>
  <si>
    <t>081913745751</t>
  </si>
  <si>
    <t>0087718568</t>
  </si>
  <si>
    <t>SYAFIRA LULUK JAILANI</t>
  </si>
  <si>
    <t>081907785482</t>
  </si>
  <si>
    <t>0082896230</t>
  </si>
  <si>
    <t>SYAKIRA AZIZATURRAHMA ABDILLAH</t>
  </si>
  <si>
    <t>085331610066</t>
  </si>
  <si>
    <t>0077457454</t>
  </si>
  <si>
    <t>081818136030</t>
  </si>
  <si>
    <t>0086653397</t>
  </si>
  <si>
    <t>SYITA NISRINA NAURA</t>
  </si>
  <si>
    <t>085236544403</t>
  </si>
  <si>
    <t>0084301022</t>
  </si>
  <si>
    <t>08175099444</t>
  </si>
  <si>
    <t>0072003148</t>
  </si>
  <si>
    <t>TALITHA ATHALIA MULIAWAN</t>
  </si>
  <si>
    <t>085233010324</t>
  </si>
  <si>
    <t>0075394346</t>
  </si>
  <si>
    <t>TALITHA SALSABILA SY</t>
  </si>
  <si>
    <t>081917371884</t>
  </si>
  <si>
    <t>0087501570</t>
  </si>
  <si>
    <t>081252894646</t>
  </si>
  <si>
    <t>0071832060</t>
  </si>
  <si>
    <t>THARIQ ZIYAD AHMAD ALGIFARI WIDYADI</t>
  </si>
  <si>
    <t>082331659954</t>
  </si>
  <si>
    <t>0083033021</t>
  </si>
  <si>
    <t>0078774440</t>
  </si>
  <si>
    <t>UBAIDILLAH HASYIM</t>
  </si>
  <si>
    <t>081359083762</t>
  </si>
  <si>
    <t>0072804793</t>
  </si>
  <si>
    <t>UMMU KULTSUM</t>
  </si>
  <si>
    <t>085932121942</t>
  </si>
  <si>
    <t>0076503247</t>
  </si>
  <si>
    <t>UZAILATUS SYAMSIAH HIDAYAT</t>
  </si>
  <si>
    <t>085171616024</t>
  </si>
  <si>
    <t>0087603781</t>
  </si>
  <si>
    <t>VALENSI ALROUUF UTAMA</t>
  </si>
  <si>
    <t>0081005212</t>
  </si>
  <si>
    <t>VANIA IZZATIZ ZAHRAH</t>
  </si>
  <si>
    <t>082228383414</t>
  </si>
  <si>
    <t>0086960654</t>
  </si>
  <si>
    <t>VERRILL IHSANUL UBAID</t>
  </si>
  <si>
    <t>081916398857</t>
  </si>
  <si>
    <t>0089226103</t>
  </si>
  <si>
    <t>0077198038</t>
  </si>
  <si>
    <t>VIRANDA QURROTUL AINI SISWANTO</t>
  </si>
  <si>
    <t>082143029209</t>
  </si>
  <si>
    <t>0089910901</t>
  </si>
  <si>
    <t>WIDYA SUKMA HAYYU MAHRETA</t>
  </si>
  <si>
    <t>0071714060</t>
  </si>
  <si>
    <t>WILDAN DWIKA AFRIANSYAH</t>
  </si>
  <si>
    <t>0081338675</t>
  </si>
  <si>
    <t>WINDY AWALINA</t>
  </si>
  <si>
    <t>0895395869988</t>
  </si>
  <si>
    <t>0088668043</t>
  </si>
  <si>
    <t>YOGA MARENDRA DWI PUTRA SUTANTO</t>
  </si>
  <si>
    <t>081216917530</t>
  </si>
  <si>
    <t>0079255797</t>
  </si>
  <si>
    <t>YULI</t>
  </si>
  <si>
    <t>0077070596</t>
  </si>
  <si>
    <t>YUNITA PUAN AJENG PRATIWI</t>
  </si>
  <si>
    <t>087847077818</t>
  </si>
  <si>
    <t>0073908078</t>
  </si>
  <si>
    <t>ZABRINA SAFIRA PUTRI YUNIAR</t>
  </si>
  <si>
    <t>0089139214</t>
  </si>
  <si>
    <t>ZAHFARINA BERYL ACALANANTHA</t>
  </si>
  <si>
    <t>087815545927</t>
  </si>
  <si>
    <t>0074109063</t>
  </si>
  <si>
    <t>ZAHIROH SIVA DINAYAH</t>
  </si>
  <si>
    <t>082338473009</t>
  </si>
  <si>
    <t>0088068238</t>
  </si>
  <si>
    <t>ZAHWA SYAIKHAH EFFENDI</t>
  </si>
  <si>
    <t>0082364032</t>
  </si>
  <si>
    <t>ZAIDAN RIZKI PRATAMA</t>
  </si>
  <si>
    <t>081249402984</t>
  </si>
  <si>
    <t>0076747562</t>
  </si>
  <si>
    <t>ZAINAL MUHED ABDULLAH</t>
  </si>
  <si>
    <t>085335909877</t>
  </si>
  <si>
    <t>0082775857</t>
  </si>
  <si>
    <t>ZALFA MAULIDINA ZAHRO</t>
  </si>
  <si>
    <t>0085959941</t>
  </si>
  <si>
    <t>ZAVIRA AGUSTYNA PUTRI HIDAYAT</t>
  </si>
  <si>
    <t>0072708263</t>
  </si>
  <si>
    <t>ZULAEKHA NASYWA HARTONO</t>
  </si>
  <si>
    <t>085392074447</t>
  </si>
  <si>
    <t>0078205270</t>
  </si>
  <si>
    <t>ZULFA SALSABILA RIZQI ROMADHAN</t>
  </si>
  <si>
    <t>0881036384389</t>
  </si>
  <si>
    <t>0078407936</t>
  </si>
  <si>
    <t>ZULVIA ZAKIYATI</t>
  </si>
  <si>
    <t>085717194215</t>
  </si>
  <si>
    <t>No</t>
  </si>
  <si>
    <t>NISN</t>
  </si>
  <si>
    <t>Nama Siswa</t>
  </si>
  <si>
    <t>L/P</t>
  </si>
  <si>
    <t>Wali Kelas :</t>
  </si>
  <si>
    <t>NIP :</t>
  </si>
  <si>
    <t>Paraf</t>
  </si>
  <si>
    <t>Guru</t>
  </si>
  <si>
    <t>L :</t>
  </si>
  <si>
    <t>P :</t>
  </si>
  <si>
    <t>L</t>
  </si>
  <si>
    <t>P</t>
  </si>
  <si>
    <t xml:space="preserve"> </t>
  </si>
  <si>
    <t>FAHRIS SHIYAM S.Pd.I</t>
  </si>
  <si>
    <t>199004082020122000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</si>
  <si>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</si>
  <si>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</si>
  <si>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</si>
  <si>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</si>
  <si>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</si>
  <si>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</si>
  <si>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</si>
  <si>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</si>
  <si>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</si>
  <si>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</si>
  <si>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UKHIDAH YULIANI M.Pd</t>
  </si>
  <si>
    <t>197807012006042025</t>
  </si>
  <si>
    <t>JUWAIRIYAH S.Pd,</t>
  </si>
  <si>
    <t>FATIMATUS ZAHRAH S.Pd,</t>
  </si>
  <si>
    <t>196811301996032003</t>
  </si>
  <si>
    <t>TRIANA AGUSTIN S. Pd.</t>
  </si>
  <si>
    <t>199408172022212019</t>
  </si>
  <si>
    <t>197701062006042013</t>
  </si>
  <si>
    <t>EKA JUWITA WIJDANIYAH S.Pd.</t>
  </si>
  <si>
    <t>199501282020122020</t>
  </si>
  <si>
    <t>PURNAMAWATI S.Pd., M.Pd.</t>
  </si>
  <si>
    <t>197207252006042015</t>
  </si>
  <si>
    <t>KHAIRUN NISAK S.Pd</t>
  </si>
  <si>
    <t>198505082022212040</t>
  </si>
  <si>
    <t>NUR HIDAYAT M.Pd.</t>
  </si>
  <si>
    <t>196708151989011003</t>
  </si>
  <si>
    <t>DWI SEPTIANA LIAN S, M.Pd.</t>
  </si>
  <si>
    <t>ACHMAD HASBI RAMADAN</t>
  </si>
  <si>
    <t>ALAIK NASRULLAH</t>
  </si>
  <si>
    <t>ALWAAN ARENDRA JAILANI</t>
  </si>
  <si>
    <t>ANGGA DEWANZA</t>
  </si>
  <si>
    <t>ANNISA WILDANIA</t>
  </si>
  <si>
    <t>AROFATUL JENNAH</t>
  </si>
  <si>
    <t>AULIA SHAFIRA RAMADHANI</t>
  </si>
  <si>
    <t>AYUNINDYA RAISYA FADARISMAN</t>
  </si>
  <si>
    <t>AZARIA ALTHAFUNNISA RUSLAN</t>
  </si>
  <si>
    <t>BERRYAN NOURIS SALAM</t>
  </si>
  <si>
    <t>CINTA MULYA SYAKIRA</t>
  </si>
  <si>
    <t>DENISHA FEBRIYANTI SANTOSO</t>
  </si>
  <si>
    <t>DESTALIA DANIELLA RAHMAN</t>
  </si>
  <si>
    <t>DWI SAFIROH ELKHOIRIYAH</t>
  </si>
  <si>
    <t>ERYKA AMBARWATI ZIHNI SYAHID</t>
  </si>
  <si>
    <t>FADIA CAHYANI ALMUGHIRAH</t>
  </si>
  <si>
    <t>FAWNIA AURANISA WIBAWA</t>
  </si>
  <si>
    <t>FIDELA FULCA CHAIRUDDIN</t>
  </si>
  <si>
    <t>FITRYAH ISMYATUL INDIANA</t>
  </si>
  <si>
    <t>GUSTYA RACHMA SASMITA</t>
  </si>
  <si>
    <t>KAYLA SHEEVA NOERALIZA</t>
  </si>
  <si>
    <t>KHOIROTUN NISA</t>
  </si>
  <si>
    <t>M WILDAN ARIFIN</t>
  </si>
  <si>
    <t xml:space="preserve">MAULIEDYNA FADILAH </t>
  </si>
  <si>
    <t>NAADHIR FIRAS AMRULLAH</t>
  </si>
  <si>
    <t>NABILA TSULTSA WAFIRA</t>
  </si>
  <si>
    <t>NURMALA DEVITA SARI</t>
  </si>
  <si>
    <t>NURUL HUSNAWATI</t>
  </si>
  <si>
    <t>RA ZUBAIDAH PUTRI ZAINAL ALIM</t>
  </si>
  <si>
    <t>RADITYA DIANDRA KAYANA</t>
  </si>
  <si>
    <t>RODHOTUL FARIHAH</t>
  </si>
  <si>
    <t>SATRIA MAULANA PUTRA</t>
  </si>
  <si>
    <t>SITI KHALIDA YASMIN</t>
  </si>
  <si>
    <t>SYARAFINA NUR DAMAYANTI</t>
  </si>
  <si>
    <t>TALITHA ALYSIA NURIMAN</t>
  </si>
  <si>
    <t>TALITHA SALWA</t>
  </si>
  <si>
    <t>TSAMARAH QIAMULAILIZZA AR</t>
  </si>
  <si>
    <t>VIOLETTA AMARILLIS BRESSILIANE</t>
  </si>
  <si>
    <t xml:space="preserve">  </t>
  </si>
  <si>
    <t>NO</t>
  </si>
  <si>
    <t>NIS</t>
  </si>
  <si>
    <t>NAMA</t>
  </si>
  <si>
    <t>KLAS</t>
  </si>
  <si>
    <t>MOHAMMAD AKHDAN MAULADI</t>
  </si>
  <si>
    <t>NAFISA NISFU SYABANA</t>
  </si>
  <si>
    <t>0108382917</t>
  </si>
  <si>
    <t>SYARIFATUL AISYAH</t>
  </si>
  <si>
    <t>93.11</t>
  </si>
  <si>
    <t>0094137933</t>
  </si>
  <si>
    <t>NAJWAS SHYFA</t>
  </si>
  <si>
    <t>89.58</t>
  </si>
  <si>
    <t>0093576020</t>
  </si>
  <si>
    <t>ALYA MUKHBITA</t>
  </si>
  <si>
    <t>88.78</t>
  </si>
  <si>
    <t>0101166292</t>
  </si>
  <si>
    <t>UKHTI FARATINA NUR AFINY</t>
  </si>
  <si>
    <t>88.03</t>
  </si>
  <si>
    <t>0098447991</t>
  </si>
  <si>
    <t>IZZA BUNGA FAIRUZIA</t>
  </si>
  <si>
    <t>87.58</t>
  </si>
  <si>
    <t>0103080501</t>
  </si>
  <si>
    <t>87.30</t>
  </si>
  <si>
    <t>0108584503</t>
  </si>
  <si>
    <t>86.80</t>
  </si>
  <si>
    <t>0093782050</t>
  </si>
  <si>
    <t>86.51</t>
  </si>
  <si>
    <t>0099668691</t>
  </si>
  <si>
    <t>MILDY PRIO RUBIANTO</t>
  </si>
  <si>
    <t>85.97</t>
  </si>
  <si>
    <t>0095384163</t>
  </si>
  <si>
    <t>85.21</t>
  </si>
  <si>
    <t>0103741538</t>
  </si>
  <si>
    <t>84.56</t>
  </si>
  <si>
    <t>0095467404</t>
  </si>
  <si>
    <t>ROBIATUL WAHIDIYAH AL AMIR PUTRI</t>
  </si>
  <si>
    <t>83.74</t>
  </si>
  <si>
    <t>0093003989</t>
  </si>
  <si>
    <t>AZZAHRA ARIF DAMAYANTI</t>
  </si>
  <si>
    <t>83.31</t>
  </si>
  <si>
    <t>0101733365</t>
  </si>
  <si>
    <t>AGUNG MULYA PRATAMA</t>
  </si>
  <si>
    <t>83.03</t>
  </si>
  <si>
    <t>0096843896</t>
  </si>
  <si>
    <t>NAJWA ACHMAD</t>
  </si>
  <si>
    <t>82.13</t>
  </si>
  <si>
    <t>0094839217</t>
  </si>
  <si>
    <t>SHAFWAN AQILA GUSFA</t>
  </si>
  <si>
    <t>0101428911</t>
  </si>
  <si>
    <t>AZKA DAHISY AMIN</t>
  </si>
  <si>
    <t>0101950178</t>
  </si>
  <si>
    <t>SHAFA AZIYAH PUTRI</t>
  </si>
  <si>
    <t>0105311993</t>
  </si>
  <si>
    <t>ASYRAF KHAIRULLAH PRATAMA</t>
  </si>
  <si>
    <t>0094915611</t>
  </si>
  <si>
    <t>ABDU DAKAIL FATHON</t>
  </si>
  <si>
    <t>0094840732</t>
  </si>
  <si>
    <t>0094814338</t>
  </si>
  <si>
    <t>NILA SARI AMINARTI</t>
  </si>
  <si>
    <t>0097811869</t>
  </si>
  <si>
    <t>NADIF ABDILLAH</t>
  </si>
  <si>
    <t>0103426345</t>
  </si>
  <si>
    <t>UMAMAH</t>
  </si>
  <si>
    <t>86.39</t>
  </si>
  <si>
    <t>MOHAMMAD RIZKY RAFIF TAMAM</t>
  </si>
  <si>
    <t>86.06</t>
  </si>
  <si>
    <t>MOH NABIL KHUROZIM FANDY</t>
  </si>
  <si>
    <t>85.3</t>
  </si>
  <si>
    <t>ROBITH IMANI BILLAH</t>
  </si>
  <si>
    <t>84.81</t>
  </si>
  <si>
    <t>ASYIFA PUTRI AZIZAH</t>
  </si>
  <si>
    <t>84.49</t>
  </si>
  <si>
    <t>HASNA ALGHINA RACHMAN</t>
  </si>
  <si>
    <t>84.21</t>
  </si>
  <si>
    <t>RAFIIF ALLAAM AS SARIY</t>
  </si>
  <si>
    <t>83.85</t>
  </si>
  <si>
    <t>RANIAH</t>
  </si>
  <si>
    <t>83.49</t>
  </si>
  <si>
    <t>NINDY SAFIRA MAHARANI</t>
  </si>
  <si>
    <t>82.88</t>
  </si>
  <si>
    <t>AHMAD RAFA RAMADANI</t>
  </si>
  <si>
    <t>80.78</t>
  </si>
  <si>
    <t>0091436068</t>
  </si>
  <si>
    <t>QUEEN TSABITA WIBOWO</t>
  </si>
  <si>
    <t>91.77</t>
  </si>
  <si>
    <t>0106124368</t>
  </si>
  <si>
    <t>NENSI MELANI PUTRI</t>
  </si>
  <si>
    <t>89.51</t>
  </si>
  <si>
    <t>0094061017</t>
  </si>
  <si>
    <t>PRADITYA IHSAN NIZAR</t>
  </si>
  <si>
    <t>88.74</t>
  </si>
  <si>
    <t>0102283509</t>
  </si>
  <si>
    <t>Dzaky Almair El Rafif</t>
  </si>
  <si>
    <t>88.02</t>
  </si>
  <si>
    <t>0091060910</t>
  </si>
  <si>
    <t>Zarqa Syafiq Zimrani</t>
  </si>
  <si>
    <t>87.51</t>
  </si>
  <si>
    <t>0106832560</t>
  </si>
  <si>
    <t>RAJA ALFARONI PAHING</t>
  </si>
  <si>
    <t>85.86</t>
  </si>
  <si>
    <t>0099209612</t>
  </si>
  <si>
    <t>NUR JANNATUR RAHMAN</t>
  </si>
  <si>
    <t>85.16</t>
  </si>
  <si>
    <t>0101780275</t>
  </si>
  <si>
    <t>FINDY WAHYUNI</t>
  </si>
  <si>
    <t>0106501012</t>
  </si>
  <si>
    <t>NAJWA IZDAHARA RIZALDI</t>
  </si>
  <si>
    <t>87.28</t>
  </si>
  <si>
    <t>0103841370</t>
  </si>
  <si>
    <t>AISYAH FEBRIYANTI RIDWAN</t>
  </si>
  <si>
    <t>86.49</t>
  </si>
  <si>
    <t>0099606551</t>
  </si>
  <si>
    <t>IZZA AULIA SHOFA</t>
  </si>
  <si>
    <t>0095885819</t>
  </si>
  <si>
    <t>BILQIS AL ARIF</t>
  </si>
  <si>
    <t>83.63</t>
  </si>
  <si>
    <t>0092553825</t>
  </si>
  <si>
    <t>DESWITAPUTRI DAYANTI</t>
  </si>
  <si>
    <t>83.30</t>
  </si>
  <si>
    <t>0094963582</t>
  </si>
  <si>
    <t>SURYA HADI WIJAYA</t>
  </si>
  <si>
    <t>0102088023</t>
  </si>
  <si>
    <t>SITTI RISQI ISNAINI</t>
  </si>
  <si>
    <t>82.09</t>
  </si>
  <si>
    <t>0094361909</t>
  </si>
  <si>
    <t>ALIF PIRATA MUHAMMAD</t>
  </si>
  <si>
    <t>0096041224</t>
  </si>
  <si>
    <t>RAKA TARUNA PERMANA</t>
  </si>
  <si>
    <t>0119779058</t>
  </si>
  <si>
    <t>BALQIS MAULIDIA AZHAR</t>
  </si>
  <si>
    <t>MAQFIROH FITRIYAH</t>
  </si>
  <si>
    <t>0103673401</t>
  </si>
  <si>
    <t>AUDREY BELVA PUTRI PURNAMA</t>
  </si>
  <si>
    <t>0106880225</t>
  </si>
  <si>
    <t>NUR ZAHIRA ANSORULLAH</t>
  </si>
  <si>
    <t>0109681159</t>
  </si>
  <si>
    <t>IQON ARICTA KHAIRANI</t>
  </si>
  <si>
    <t>0099410638</t>
  </si>
  <si>
    <t>ZALFA AULIA GAMILA</t>
  </si>
  <si>
    <t>0103417543</t>
  </si>
  <si>
    <t>ZAHIERA YASMIN IMANI</t>
  </si>
  <si>
    <t>86.36</t>
  </si>
  <si>
    <t>SYADID AULIA FAIZAL</t>
  </si>
  <si>
    <t>86.04</t>
  </si>
  <si>
    <t>ROFIENDRA ZACKY AHMAD</t>
  </si>
  <si>
    <t>SYAFANIA KIRANA PUTRI S</t>
  </si>
  <si>
    <t>84.79</t>
  </si>
  <si>
    <t>AULIA SHAFAURA ALAM</t>
  </si>
  <si>
    <t>84.47</t>
  </si>
  <si>
    <t>NUR ARINI ISLAWATI</t>
  </si>
  <si>
    <t>84.13</t>
  </si>
  <si>
    <t>M SEPTYAN DAFI RAMADHAN</t>
  </si>
  <si>
    <t>83.83</t>
  </si>
  <si>
    <t>CILA ADINDA SUDIBYO</t>
  </si>
  <si>
    <t>83.48</t>
  </si>
  <si>
    <t>Oktavia Kirana Dewi</t>
  </si>
  <si>
    <t>82.84</t>
  </si>
  <si>
    <t>JIMLY ARAFAT ASSIDDIQIE</t>
  </si>
  <si>
    <t>80.31</t>
  </si>
  <si>
    <t>LINDA YOHANA MAULINA</t>
  </si>
  <si>
    <t>NAZRIL RADITYA ABDI</t>
  </si>
  <si>
    <t>QUINSHA MEISITA RUBIANTI</t>
  </si>
  <si>
    <t>87.49</t>
  </si>
  <si>
    <t>NAJWA NAYLA NURRAMADHANI</t>
  </si>
  <si>
    <t>YUSUF ALVIS ABABIL</t>
  </si>
  <si>
    <t>SYIFA NURFADHILA RAMADHANI</t>
  </si>
  <si>
    <t>ANDINI CLARESTA PUTRI WAHYUDI</t>
  </si>
  <si>
    <t>IMROATUL AZIZAH</t>
  </si>
  <si>
    <t>SITTI SHOFIA</t>
  </si>
  <si>
    <t>ACHMAD WILDAN CAHYA SANUBARI</t>
  </si>
  <si>
    <t>TANTRA AUFAREZKA MULIAWAN</t>
  </si>
  <si>
    <t>0109950311</t>
  </si>
  <si>
    <t>Anisa Amilia Azzahra</t>
  </si>
  <si>
    <t>90.86</t>
  </si>
  <si>
    <t>0107631527</t>
  </si>
  <si>
    <t>M GHIBRAN IMAS SYAHPUTRA</t>
  </si>
  <si>
    <t>89.37</t>
  </si>
  <si>
    <t>0092836765</t>
  </si>
  <si>
    <t>BRILLIAN HADE PAMUNGKAS</t>
  </si>
  <si>
    <t>88.48</t>
  </si>
  <si>
    <t>0099405271</t>
  </si>
  <si>
    <t>HARYA PANDU ELYANTA PIO</t>
  </si>
  <si>
    <t>87.82</t>
  </si>
  <si>
    <t>0103191587</t>
  </si>
  <si>
    <t>NUR ASHFA AZKIYAH SISWAJI</t>
  </si>
  <si>
    <t>0099679063</t>
  </si>
  <si>
    <t>Clarissa Azzahra Putri</t>
  </si>
  <si>
    <t>87.25</t>
  </si>
  <si>
    <t>0103920766</t>
  </si>
  <si>
    <t>WIHDA DZIKRIA AYUNI</t>
  </si>
  <si>
    <t>86.69</t>
  </si>
  <si>
    <t>0099202101</t>
  </si>
  <si>
    <t>OKTAVIA AYU NINGTIYAS</t>
  </si>
  <si>
    <t>86.35</t>
  </si>
  <si>
    <t>0092807579</t>
  </si>
  <si>
    <t>Aura Dieva Bilquizt</t>
  </si>
  <si>
    <t>85.71</t>
  </si>
  <si>
    <t>NAZWA NURAISYAH</t>
  </si>
  <si>
    <t>85.12</t>
  </si>
  <si>
    <t>0094659446</t>
  </si>
  <si>
    <t>Rumania Salsabila</t>
  </si>
  <si>
    <t>84.39</t>
  </si>
  <si>
    <t>0098967601</t>
  </si>
  <si>
    <t>AYUDITA SANTINOVA SETIAWAN</t>
  </si>
  <si>
    <t>83.57</t>
  </si>
  <si>
    <t>0104805741</t>
  </si>
  <si>
    <t>APRILIA NURISTIGFARAH ARIFIN</t>
  </si>
  <si>
    <t>83.25</t>
  </si>
  <si>
    <t>0096139555</t>
  </si>
  <si>
    <t>MARIA SALSABILA HUDA</t>
  </si>
  <si>
    <t>82.82</t>
  </si>
  <si>
    <t>0107357333</t>
  </si>
  <si>
    <t>AULIA DIKKRI SHAFIALLAH</t>
  </si>
  <si>
    <t>78.66</t>
  </si>
  <si>
    <t>0107938836</t>
  </si>
  <si>
    <t>ANA ALTHAFUNNISA HIDAYATI</t>
  </si>
  <si>
    <t>90.54</t>
  </si>
  <si>
    <t>0107765646</t>
  </si>
  <si>
    <t>RANIA DWI AMYRA PUTRI</t>
  </si>
  <si>
    <t>89.34</t>
  </si>
  <si>
    <t>0092760546</t>
  </si>
  <si>
    <t>FIDELA SUCI RAMADHANI</t>
  </si>
  <si>
    <t>88.37</t>
  </si>
  <si>
    <t>0091669818</t>
  </si>
  <si>
    <t>IBRAHIM AZZAHEDY</t>
  </si>
  <si>
    <t>87.72</t>
  </si>
  <si>
    <t>0096561228</t>
  </si>
  <si>
    <t>NAURAH AMBAR LAILA</t>
  </si>
  <si>
    <t>87.48</t>
  </si>
  <si>
    <t>0107040234</t>
  </si>
  <si>
    <t>RATU KAYYISAH YAMANIYYAH BUDIARTA</t>
  </si>
  <si>
    <t>87.15</t>
  </si>
  <si>
    <t>0093334062</t>
  </si>
  <si>
    <t>Cantika Putri Oktaviana</t>
  </si>
  <si>
    <t>86.66</t>
  </si>
  <si>
    <t>0106779710</t>
  </si>
  <si>
    <t>MOH ZULFIKAR MASA BAKTI</t>
  </si>
  <si>
    <t>86.26</t>
  </si>
  <si>
    <t>0169517134</t>
  </si>
  <si>
    <t>DIAYU ALUNA HANY</t>
  </si>
  <si>
    <t>85.65</t>
  </si>
  <si>
    <t>0098648558</t>
  </si>
  <si>
    <t>MOH RADITYA PRATAMA PUTRA</t>
  </si>
  <si>
    <t>85.07</t>
  </si>
  <si>
    <t>0104385803</t>
  </si>
  <si>
    <t>AZIZA CAHYA NING TIAS</t>
  </si>
  <si>
    <t>84.26</t>
  </si>
  <si>
    <t>0106569429</t>
  </si>
  <si>
    <t>MOH AFIFUR RIZAL</t>
  </si>
  <si>
    <t>83.56</t>
  </si>
  <si>
    <t>0096593023</t>
  </si>
  <si>
    <t>NAUREHAL PASAI</t>
  </si>
  <si>
    <t>83.18</t>
  </si>
  <si>
    <t>0099738844</t>
  </si>
  <si>
    <t>MOH SAHLAN</t>
  </si>
  <si>
    <t>82.66</t>
  </si>
  <si>
    <t>0098138581</t>
  </si>
  <si>
    <t>ZATRYA WAHYU PRATAMA</t>
  </si>
  <si>
    <t>90.11</t>
  </si>
  <si>
    <t>0107912441</t>
  </si>
  <si>
    <t>FRITZI RAFA ADITYA DHANA</t>
  </si>
  <si>
    <t>89.29</t>
  </si>
  <si>
    <t>0102160338</t>
  </si>
  <si>
    <t>Walidatul Istianah Mannan</t>
  </si>
  <si>
    <t>88.34</t>
  </si>
  <si>
    <t>0095090304</t>
  </si>
  <si>
    <t>ARYATAMA REZA RAFAYENDRA</t>
  </si>
  <si>
    <t>87.69</t>
  </si>
  <si>
    <t>0098060781</t>
  </si>
  <si>
    <t>DHIYA SYAHIRA ATIKA RIZKY</t>
  </si>
  <si>
    <t>87.43</t>
  </si>
  <si>
    <t>0098735792</t>
  </si>
  <si>
    <t>Muh Arjuna Rifqi Oktavian</t>
  </si>
  <si>
    <t>87.09</t>
  </si>
  <si>
    <t>0104230146</t>
  </si>
  <si>
    <t>MUHAMMAD KHAN</t>
  </si>
  <si>
    <t>86.64</t>
  </si>
  <si>
    <t>0095532922</t>
  </si>
  <si>
    <t>KANZA NABILA KHAIRANI IMRAN</t>
  </si>
  <si>
    <t>86.18</t>
  </si>
  <si>
    <t>0111441132</t>
  </si>
  <si>
    <t>MIRANDA PURNAMA DEWI</t>
  </si>
  <si>
    <t>85.64</t>
  </si>
  <si>
    <t>0108325753</t>
  </si>
  <si>
    <t>INDAH MAULIDIYA</t>
  </si>
  <si>
    <t>84.91</t>
  </si>
  <si>
    <t>0094490553</t>
  </si>
  <si>
    <t>MOH GHAZY ARYADHANA</t>
  </si>
  <si>
    <t>84.20</t>
  </si>
  <si>
    <t>0094659505</t>
  </si>
  <si>
    <t>NOVEL ALFIAN</t>
  </si>
  <si>
    <t>83.51</t>
  </si>
  <si>
    <t>0098425168</t>
  </si>
  <si>
    <t>ZAHRA NURANI FARIZA</t>
  </si>
  <si>
    <t>0101495303</t>
  </si>
  <si>
    <t>WILDA FAGARINA</t>
  </si>
  <si>
    <t>82.58</t>
  </si>
  <si>
    <t>0109850534</t>
  </si>
  <si>
    <t>MAULANI CHAIMI MOCHSIM</t>
  </si>
  <si>
    <t>0105465852</t>
  </si>
  <si>
    <t>BALQIS KIRANA LARASATI</t>
  </si>
  <si>
    <t>89.26</t>
  </si>
  <si>
    <t>0099599176</t>
  </si>
  <si>
    <t>NURIL AKMAL FIRDAUS</t>
  </si>
  <si>
    <t>0092118447</t>
  </si>
  <si>
    <t>Indah Mailatus Syafa</t>
  </si>
  <si>
    <t>87.66</t>
  </si>
  <si>
    <t>0102393499</t>
  </si>
  <si>
    <t>RONA BARIZAH NAFISAH SALSABILA</t>
  </si>
  <si>
    <t>87.41</t>
  </si>
  <si>
    <t>0107129633</t>
  </si>
  <si>
    <t>CHIKA NANDA FEBRIO</t>
  </si>
  <si>
    <t>86.92</t>
  </si>
  <si>
    <t>0093742373</t>
  </si>
  <si>
    <t>ALVINA NIKMATUR RAIFA</t>
  </si>
  <si>
    <t>86.58</t>
  </si>
  <si>
    <t>0103239495</t>
  </si>
  <si>
    <t>SULTAN KAFA RASTRA SUGIANTO</t>
  </si>
  <si>
    <t>0091987933</t>
  </si>
  <si>
    <t>WILDA AFRILIA</t>
  </si>
  <si>
    <t>85.63</t>
  </si>
  <si>
    <t>0094505361</t>
  </si>
  <si>
    <t>HUMAIRA INDA NALA ZULFA</t>
  </si>
  <si>
    <t>84.87</t>
  </si>
  <si>
    <t>0094950484</t>
  </si>
  <si>
    <t>Enza Sabrina Heryanto</t>
  </si>
  <si>
    <t>84.11</t>
  </si>
  <si>
    <t>0093953878</t>
  </si>
  <si>
    <t>KHANSA VITA HARIJATNO</t>
  </si>
  <si>
    <t>0092933531</t>
  </si>
  <si>
    <t>SALWA RAHMA MYLINDA</t>
  </si>
  <si>
    <t>83.17</t>
  </si>
  <si>
    <t>0093872317</t>
  </si>
  <si>
    <t>SHANDHY AULIYA LESTARY</t>
  </si>
  <si>
    <t>82.57</t>
  </si>
  <si>
    <t>0095005653</t>
  </si>
  <si>
    <t>AULIYATUL RAZNI AMALIYA</t>
  </si>
  <si>
    <t>897.59</t>
  </si>
  <si>
    <t>0095576452</t>
  </si>
  <si>
    <t>NAYLA NAZHIRANUHA</t>
  </si>
  <si>
    <t>89.18</t>
  </si>
  <si>
    <t>0105382139</t>
  </si>
  <si>
    <t>Bilqis Fathiya Martha D</t>
  </si>
  <si>
    <t>88.14</t>
  </si>
  <si>
    <t>0092822070</t>
  </si>
  <si>
    <t>AZARINE BELVINA WAHYUDI</t>
  </si>
  <si>
    <t>87.64</t>
  </si>
  <si>
    <t>0102988393</t>
  </si>
  <si>
    <t>ALFINA DIAH ANGGRAINI</t>
  </si>
  <si>
    <t>87.38</t>
  </si>
  <si>
    <t>0099058533</t>
  </si>
  <si>
    <t>ACH ALFIANSYA SEPTEO RAMADHANI</t>
  </si>
  <si>
    <t>0109410681</t>
  </si>
  <si>
    <t>ARLKA WISNU WARDANA</t>
  </si>
  <si>
    <t>86.53</t>
  </si>
  <si>
    <t>0105111329</t>
  </si>
  <si>
    <t>NESYALIENA ALIFIA RASYIDI</t>
  </si>
  <si>
    <t>0096183358</t>
  </si>
  <si>
    <t>EKA PUTRI INDAH AYU LESTARI</t>
  </si>
  <si>
    <t>85.50</t>
  </si>
  <si>
    <t>0109273017</t>
  </si>
  <si>
    <t>Ratnadewati Fredlina Putri</t>
  </si>
  <si>
    <t>84.05</t>
  </si>
  <si>
    <t>0097758689</t>
  </si>
  <si>
    <t>NABILA OKTAVIANI REFTI</t>
  </si>
  <si>
    <t>83.45</t>
  </si>
  <si>
    <t>0107399996</t>
  </si>
  <si>
    <t>MOH BAGUS AKBAR</t>
  </si>
  <si>
    <t>83.14</t>
  </si>
  <si>
    <t>0098021802</t>
  </si>
  <si>
    <t>MOH RAFI NUR HIDAYAT</t>
  </si>
  <si>
    <t>82.47</t>
  </si>
  <si>
    <t>0109462096</t>
  </si>
  <si>
    <t>KHANSA APRILIA FILZAH</t>
  </si>
  <si>
    <t>89.97</t>
  </si>
  <si>
    <t>0094399729</t>
  </si>
  <si>
    <t>Moh Refan Daniyal Arif</t>
  </si>
  <si>
    <t>89.12</t>
  </si>
  <si>
    <t>0096480979</t>
  </si>
  <si>
    <t>FIQRI ZULKIFLI ROFIQIN SYAH</t>
  </si>
  <si>
    <t>0096310303</t>
  </si>
  <si>
    <t>LAILY RIZQIYATIN EFENDY</t>
  </si>
  <si>
    <t>87.62</t>
  </si>
  <si>
    <t>0106844824</t>
  </si>
  <si>
    <t>ORIBEL ALMIRA AZ ZAHRA</t>
  </si>
  <si>
    <t>87.37</t>
  </si>
  <si>
    <t>0099801880</t>
  </si>
  <si>
    <t>Nabily Rizky Rahmadani</t>
  </si>
  <si>
    <t>86.91</t>
  </si>
  <si>
    <t>0094523803</t>
  </si>
  <si>
    <t>QURRATUL AINI ANNISAK</t>
  </si>
  <si>
    <t>0097533193</t>
  </si>
  <si>
    <t>RANITA DWI CAHYANI</t>
  </si>
  <si>
    <t>86.00</t>
  </si>
  <si>
    <t>0094213234</t>
  </si>
  <si>
    <t>Marsya Yulia Putri</t>
  </si>
  <si>
    <t>85.45</t>
  </si>
  <si>
    <t>0099087085</t>
  </si>
  <si>
    <t>Mohammad Reza Prayoga</t>
  </si>
  <si>
    <t>84.71</t>
  </si>
  <si>
    <t>0091308783</t>
  </si>
  <si>
    <t>IZZA AULIA SHOFI</t>
  </si>
  <si>
    <t>83.91</t>
  </si>
  <si>
    <t>0105010332</t>
  </si>
  <si>
    <t>SAFRINA MADELIA IMTIAZ</t>
  </si>
  <si>
    <t>83.44</t>
  </si>
  <si>
    <t>LAILA FITRIANA ALIMI</t>
  </si>
  <si>
    <t>83.13</t>
  </si>
  <si>
    <t>0096329996</t>
  </si>
  <si>
    <t>AULIA AGUSTINING TIYAS SUMANTRI</t>
  </si>
  <si>
    <t>82.31</t>
  </si>
  <si>
    <t>0101455019</t>
  </si>
  <si>
    <t>RAFA ALCANDER AZKARASHYA</t>
  </si>
  <si>
    <t>89.62</t>
  </si>
  <si>
    <t>0091889511</t>
  </si>
  <si>
    <t>Erina Balqis Sabita</t>
  </si>
  <si>
    <t>88.94</t>
  </si>
  <si>
    <t>0108261287</t>
  </si>
  <si>
    <t>NASYWA</t>
  </si>
  <si>
    <t>88.09</t>
  </si>
  <si>
    <t>0106246139</t>
  </si>
  <si>
    <t>Ahmad Najibul Khair</t>
  </si>
  <si>
    <t>SABRINA RAMADHANI</t>
  </si>
  <si>
    <t>87.36</t>
  </si>
  <si>
    <t>0115565645</t>
  </si>
  <si>
    <t>NURI JANUARITA PUTRI</t>
  </si>
  <si>
    <t>86.82</t>
  </si>
  <si>
    <t>0096939540</t>
  </si>
  <si>
    <t>ARISTA DWI SHABRINA</t>
  </si>
  <si>
    <t>0097537767</t>
  </si>
  <si>
    <t>Najwa Malaika Nur Shafa</t>
  </si>
  <si>
    <t>MUHAMMAD JAVIER AL QORNI</t>
  </si>
  <si>
    <t>0105498897</t>
  </si>
  <si>
    <t>laura Nurmaulidatul Febriani</t>
  </si>
  <si>
    <t>84.70</t>
  </si>
  <si>
    <t>0092924660</t>
  </si>
  <si>
    <t>BHAGAS TAQDIR RIFSYAHBANA</t>
  </si>
  <si>
    <t>0101774043</t>
  </si>
  <si>
    <t>ARTI QURROTUL HASANAH</t>
  </si>
  <si>
    <t>83.39</t>
  </si>
  <si>
    <t>0107171042</t>
  </si>
  <si>
    <t>RENITA TRIHAPSARI</t>
  </si>
  <si>
    <t>0092986195</t>
  </si>
  <si>
    <t>Fieda Sari Nur Hidayah</t>
  </si>
  <si>
    <t>82.29</t>
  </si>
  <si>
    <t>0101227457</t>
  </si>
  <si>
    <t>REGINA KIRANA LARASATI</t>
  </si>
  <si>
    <t>0106042238</t>
  </si>
  <si>
    <t>AURA PRIYA GANGGA PRAKUSYA</t>
  </si>
  <si>
    <t>0107810106</t>
  </si>
  <si>
    <t>Ratih Pratidina Ishak</t>
  </si>
  <si>
    <t>0102316553</t>
  </si>
  <si>
    <t>SYIFA ATI RATNADUHITA WIJAYANTI</t>
  </si>
  <si>
    <t>0092469073</t>
  </si>
  <si>
    <t>MOH SYAFRUDIN SYAFRI AZIZ</t>
  </si>
  <si>
    <t>0106159891</t>
  </si>
  <si>
    <t>SHAKILA AYODYA</t>
  </si>
  <si>
    <t>0094658320</t>
  </si>
  <si>
    <t>REYHAN DWI PUTRA WAHYUDI</t>
  </si>
  <si>
    <t>0106063120</t>
  </si>
  <si>
    <t>NIKEISHA RAYYA SANDRICA</t>
  </si>
  <si>
    <t>0098974704</t>
  </si>
  <si>
    <t>REZKY RADHITYA RAMADHAN</t>
  </si>
  <si>
    <t>0094332428</t>
  </si>
  <si>
    <t>MOHAMMAD AQIL RAYHAN AL ARIF</t>
  </si>
  <si>
    <t>0098345910</t>
  </si>
  <si>
    <t>Aura Suci Ramadhani</t>
  </si>
  <si>
    <t>0103293275</t>
  </si>
  <si>
    <t>ASHYLA NURI ADISTY</t>
  </si>
  <si>
    <t>0102661592</t>
  </si>
  <si>
    <t>FAKHIRA INAS</t>
  </si>
  <si>
    <t>0104297817</t>
  </si>
  <si>
    <t>RANINDEA PUTRI ARIFIN</t>
  </si>
  <si>
    <t>0098686172</t>
  </si>
  <si>
    <t>FRISKA AULIA PUTRI</t>
  </si>
  <si>
    <t>0093756454</t>
  </si>
  <si>
    <t>DENIEL CAHYA RAHMAN PRATAMA</t>
  </si>
  <si>
    <t>0101068410</t>
  </si>
  <si>
    <t>MOHAMMAD RAMA ADITYA PRATAMA</t>
  </si>
  <si>
    <t>0106556562</t>
  </si>
  <si>
    <t>AHMAD KUSWANDI</t>
  </si>
  <si>
    <t>0099364614</t>
  </si>
  <si>
    <t>Azriel Sabilillah Arkana</t>
  </si>
  <si>
    <t>0092041781</t>
  </si>
  <si>
    <t>KHANZA HUMAIRA AZZAHWA</t>
  </si>
  <si>
    <t>0108858362</t>
  </si>
  <si>
    <t>REZA ACHMAD PASHA ISLAMI</t>
  </si>
  <si>
    <t>0108074622</t>
  </si>
  <si>
    <t>VINDYANA INDIRA OCTAVIA</t>
  </si>
  <si>
    <t>0101240753</t>
  </si>
  <si>
    <t>M SAFARIL IDHOM</t>
  </si>
  <si>
    <t>0108350178</t>
  </si>
  <si>
    <t>JANUAR RAFI GUNAWAN</t>
  </si>
  <si>
    <t>0102322274</t>
  </si>
  <si>
    <t>AYU RIZKI PUJI LESTARI</t>
  </si>
  <si>
    <t>0107213872</t>
  </si>
  <si>
    <t>NURIN ALAMSYAH</t>
  </si>
  <si>
    <t>0109363761</t>
  </si>
  <si>
    <t>Fakhira Maulida Algifari</t>
  </si>
  <si>
    <t>0094556159</t>
  </si>
  <si>
    <t>AUFA NADHIF</t>
  </si>
  <si>
    <t>0095982980</t>
  </si>
  <si>
    <t>Ahmad Rayhan Wicaksono</t>
  </si>
  <si>
    <t>0098990180</t>
  </si>
  <si>
    <t>RChelsyana Ramadhani J</t>
  </si>
  <si>
    <t>0106425839</t>
  </si>
  <si>
    <t>DEWI ARDHANARESWARI P</t>
  </si>
  <si>
    <t>0101141245</t>
  </si>
  <si>
    <t>NAJMIA ISNAINI APRILIA</t>
  </si>
  <si>
    <t>0109277278</t>
  </si>
  <si>
    <t>SAFA NUR AQILAH RAHMAN</t>
  </si>
  <si>
    <t>0096040095</t>
  </si>
  <si>
    <t>Finza Ayu Gusti Arini Putri S</t>
  </si>
  <si>
    <t>0091486816</t>
  </si>
  <si>
    <t>ALIYYA WAHYU SHOFIYANI</t>
  </si>
  <si>
    <t>0099550894</t>
  </si>
  <si>
    <t>ALMIRAH DISTI NAURA</t>
  </si>
  <si>
    <t>0096415363</t>
  </si>
  <si>
    <t>AFIA ZAFIRAH</t>
  </si>
  <si>
    <t>0091417231</t>
  </si>
  <si>
    <t>Nayaka Aulia Hariyanto</t>
  </si>
  <si>
    <t>0092206920</t>
  </si>
  <si>
    <t>NAFIL FAYYADH NAZHIFILLAH</t>
  </si>
  <si>
    <t>0107029603</t>
  </si>
  <si>
    <t>Wilbert Wang</t>
  </si>
  <si>
    <t>0093599464</t>
  </si>
  <si>
    <t>MOH ALFAREZA BASUKI</t>
  </si>
  <si>
    <t>0109297123</t>
  </si>
  <si>
    <t>APRILIYA ANGELICA CAHYANI</t>
  </si>
  <si>
    <t>0109931684</t>
  </si>
  <si>
    <t>Raka Febrianto Chairul Putra</t>
  </si>
  <si>
    <t>0092754004</t>
  </si>
  <si>
    <t>ISNATA MALA ABRARA</t>
  </si>
  <si>
    <t>0102616675</t>
  </si>
  <si>
    <t>EKA AGUSTINA ANGGRAINI</t>
  </si>
  <si>
    <t>0094586702</t>
  </si>
  <si>
    <t>NADYA ALFAIDA</t>
  </si>
  <si>
    <t>0097947151</t>
  </si>
  <si>
    <t>AIDAN LUTFAN RAMADAN IDOFI</t>
  </si>
  <si>
    <t>0091345116</t>
  </si>
  <si>
    <t>AVISA DWI AURELIA</t>
  </si>
  <si>
    <t>0101930964</t>
  </si>
  <si>
    <t>Irdha Andini Islami</t>
  </si>
  <si>
    <t>0095324478</t>
  </si>
  <si>
    <t>NABILA HASNA IZZATY EFENDY</t>
  </si>
  <si>
    <t>0093300658</t>
  </si>
  <si>
    <t>Khairil Firdaus Alfarisi</t>
  </si>
  <si>
    <t>0092687403</t>
  </si>
  <si>
    <t>KHALILA DHIA SYARAFANA</t>
  </si>
  <si>
    <t>0093620132</t>
  </si>
  <si>
    <t>Mierelda Virginia Utami</t>
  </si>
  <si>
    <t>0093921653</t>
  </si>
  <si>
    <t>SILVI AGUSTIANA</t>
  </si>
  <si>
    <t>0117501391</t>
  </si>
  <si>
    <t>fikri akmal asyrofi</t>
  </si>
  <si>
    <t>REYNATA SAHIFA ALKALIFI</t>
  </si>
  <si>
    <t>0091251777</t>
  </si>
  <si>
    <t>Amirah Dhiya Hanun</t>
  </si>
  <si>
    <t>0107735504</t>
  </si>
  <si>
    <t>GADIS OKTAVIANA WAHYUDI</t>
  </si>
  <si>
    <t>0109018947</t>
  </si>
  <si>
    <t>IKSYA ALFIALFUN AZKA ALIMI</t>
  </si>
  <si>
    <t>DEVI TAZKIYATUNNAFSI HADI</t>
  </si>
  <si>
    <t>0093664932</t>
  </si>
  <si>
    <t>NAYLA ZAGITA NURELIZA</t>
  </si>
  <si>
    <t>0092307178</t>
  </si>
  <si>
    <t>TSURAYA SHINTA RAMADHANI</t>
  </si>
  <si>
    <t>0099585326</t>
  </si>
  <si>
    <t>Septia Ramadina Nursyamsi</t>
  </si>
  <si>
    <t>MOHAMMAD ULUL AZMI</t>
  </si>
  <si>
    <t>NAURA ASTILA BELINDA</t>
  </si>
  <si>
    <t>YUSRIZAL TAUFIQ ABDILLAH</t>
  </si>
  <si>
    <t>MIEZA ARDANIA LINNAS</t>
  </si>
  <si>
    <t>SABRINA FADILA BAHRI</t>
  </si>
  <si>
    <t>AURELIA FIRMANSYAH</t>
  </si>
  <si>
    <t>NIDYA RAMADITA</t>
  </si>
  <si>
    <t>SAADATUDDARAINI</t>
  </si>
  <si>
    <t>AZELIA EZAR ADHYASTA</t>
  </si>
  <si>
    <t>84.74</t>
  </si>
  <si>
    <t>BELA DWIGINA AFRILIA</t>
  </si>
  <si>
    <t>SYIRIN</t>
  </si>
  <si>
    <t>NAJMA KHUMAIROH RIYADI</t>
  </si>
  <si>
    <t>SAFITRI OKTAVIANI</t>
  </si>
  <si>
    <t>NURUS SAFIROTUR ROHMAH</t>
  </si>
  <si>
    <t>NADA SYAHRIA THALLIB</t>
  </si>
  <si>
    <t>86.27</t>
  </si>
  <si>
    <t>MOHAMAD SYAUQII AL FALAH</t>
  </si>
  <si>
    <t>85.94</t>
  </si>
  <si>
    <t>JANEETA IZZAH INSYIRAH</t>
  </si>
  <si>
    <t>85.09</t>
  </si>
  <si>
    <t>BUNGA MAULIDIA</t>
  </si>
  <si>
    <t>Syahdienda Meizyra Maskur</t>
  </si>
  <si>
    <t>84.37</t>
  </si>
  <si>
    <t>SILVINA APRILIANI</t>
  </si>
  <si>
    <t>83.99</t>
  </si>
  <si>
    <t>NUR AFNI MARISA HENDRI</t>
  </si>
  <si>
    <t>83.75</t>
  </si>
  <si>
    <t>ALDAFA ZACKY AGUSTIAN</t>
  </si>
  <si>
    <t>83.42</t>
  </si>
  <si>
    <t>AURIZKIAN WIDAD ALIM PRANATA</t>
  </si>
  <si>
    <t>82.55</t>
  </si>
  <si>
    <t>FIKI PUTRA RAMADHON</t>
  </si>
  <si>
    <t>79.09</t>
  </si>
  <si>
    <t>ROZITA AMALINA DINI</t>
  </si>
  <si>
    <t>86.17</t>
  </si>
  <si>
    <t>ALF HAAFIZ AKBAR</t>
  </si>
  <si>
    <t>85.89</t>
  </si>
  <si>
    <t>Ach Ramzi Arifandi Habibullah</t>
  </si>
  <si>
    <t>85.06</t>
  </si>
  <si>
    <t>TALITA LUQYANA AISYAH</t>
  </si>
  <si>
    <t>84.73</t>
  </si>
  <si>
    <t>SURYA DAFFA MAHARDHIKA ALY</t>
  </si>
  <si>
    <t>84.34</t>
  </si>
  <si>
    <t>AISYAH DWIANA PRIYUDHA</t>
  </si>
  <si>
    <t>83.95</t>
  </si>
  <si>
    <t>ALMIRA CINTA CAHYADEWI</t>
  </si>
  <si>
    <t>83.72</t>
  </si>
  <si>
    <t>BERLIAN CALLISTA MAHERA</t>
  </si>
  <si>
    <t>KHARISMA SALSABILA IZZATI</t>
  </si>
  <si>
    <t>82.46</t>
  </si>
  <si>
    <t>YORIS APRILIA NINGTYAS</t>
  </si>
  <si>
    <t>86.15</t>
  </si>
  <si>
    <t>SEPTIAZHA BILQIST PUTRI LILYANA</t>
  </si>
  <si>
    <t>85.84</t>
  </si>
  <si>
    <t>NAURA SYAWALIA AZMI</t>
  </si>
  <si>
    <t>85.02</t>
  </si>
  <si>
    <t>RIVA ARRIDHO MAULANA</t>
  </si>
  <si>
    <t>84.72</t>
  </si>
  <si>
    <t>FIRSYA RAMANSYAH PUTRI R</t>
  </si>
  <si>
    <t>84.29</t>
  </si>
  <si>
    <t>SERLIN MARWAH AYUNINGTYAS</t>
  </si>
  <si>
    <t>83.93</t>
  </si>
  <si>
    <t>AURA ZAHRIMA SALSABILA</t>
  </si>
  <si>
    <t>83.68</t>
  </si>
  <si>
    <t>BARA PRAMUDYA PUTRA NUGRAHA</t>
  </si>
  <si>
    <t>83.41</t>
  </si>
  <si>
    <t>AHMAD IRFAN AMRULLAH</t>
  </si>
  <si>
    <t>82.33</t>
  </si>
  <si>
    <t>Rafi Adi Cahyono</t>
  </si>
  <si>
    <t>86.12</t>
  </si>
  <si>
    <t>PUTRI AGUSTINA MAHARDIKA</t>
  </si>
  <si>
    <t>85.81</t>
  </si>
  <si>
    <t>Rameyza Chayyira</t>
  </si>
  <si>
    <t>84.97</t>
  </si>
  <si>
    <t>LADY HARI KHADIJAH</t>
  </si>
  <si>
    <t>84.61</t>
  </si>
  <si>
    <t>EKA SUSANTI</t>
  </si>
  <si>
    <t>84.27</t>
  </si>
  <si>
    <t>AHMAD GHATAN AS SALAFI</t>
  </si>
  <si>
    <t>83.92</t>
  </si>
  <si>
    <t>RIO INDRA PRATAMA</t>
  </si>
  <si>
    <t>AULIA KASIH MAULIDATURROHMAH</t>
  </si>
  <si>
    <t>83.2</t>
  </si>
  <si>
    <t>GESTA NOVANDA PUTRA GS</t>
  </si>
  <si>
    <t>82.01</t>
  </si>
  <si>
    <t>HUGA ZAMRONI AJI</t>
  </si>
  <si>
    <t>86.1</t>
  </si>
  <si>
    <t>SYIFA ANISATUL AMALIYA</t>
  </si>
  <si>
    <t>85.62</t>
  </si>
  <si>
    <t>INTAN NOVI DWIARINI</t>
  </si>
  <si>
    <t>84.92</t>
  </si>
  <si>
    <t>SHAFIRA HAMID</t>
  </si>
  <si>
    <t>CAMILIA LUQYANA ZULFA</t>
  </si>
  <si>
    <t>AURELIA RAISSA APRIANDYTA</t>
  </si>
  <si>
    <t>83.9</t>
  </si>
  <si>
    <t>IVA NUR AULYANA REZA</t>
  </si>
  <si>
    <t>83.65</t>
  </si>
  <si>
    <t>MAULIDYA DWI MAHARANI</t>
  </si>
  <si>
    <t>MUSDALIFAH</t>
  </si>
  <si>
    <t>81.84</t>
  </si>
  <si>
    <t>Fathan Athaya Infaner</t>
  </si>
  <si>
    <t>86.08</t>
  </si>
  <si>
    <t>RACHMANISYA APRILYA</t>
  </si>
  <si>
    <t>85.43</t>
  </si>
  <si>
    <t>HASSYA KANAYA TSABITAH</t>
  </si>
  <si>
    <t>84.83</t>
  </si>
  <si>
    <t>ANIN WIDIA PUTRI</t>
  </si>
  <si>
    <t>AHMAD FAHRI</t>
  </si>
  <si>
    <t>84.24</t>
  </si>
  <si>
    <t>TRIANA AYU DIYA SAFITRI</t>
  </si>
  <si>
    <t>AINUR FADYLA</t>
  </si>
  <si>
    <t>83.59</t>
  </si>
  <si>
    <t>MOH MAULANA IBRAHIM</t>
  </si>
  <si>
    <t>83.16</t>
  </si>
  <si>
    <t>Mohammad Hasan</t>
  </si>
  <si>
    <t>80.95</t>
  </si>
  <si>
    <t>M Zulfan Fahlevi</t>
  </si>
  <si>
    <t>KHANSA NUR FARITA</t>
  </si>
  <si>
    <t>85.36</t>
  </si>
  <si>
    <t>HAFIZA HUMAIRA WACHDIN</t>
  </si>
  <si>
    <t>84.82</t>
  </si>
  <si>
    <t>SHAFA AQILAH WAHYUDI</t>
  </si>
  <si>
    <t>84.52</t>
  </si>
  <si>
    <t>MUHAMMAD ROYHAN ABRORI</t>
  </si>
  <si>
    <t>Alissya Imaniar Ridho</t>
  </si>
  <si>
    <t>Nayla Khanza Syaztian</t>
  </si>
  <si>
    <t>83.54</t>
  </si>
  <si>
    <t>ZAKA PRAMADANI ABDILLAH</t>
  </si>
  <si>
    <t>82.96</t>
  </si>
  <si>
    <t>MOH RIFAL UKROMULLAH</t>
  </si>
  <si>
    <t>80.83</t>
  </si>
  <si>
    <t>p</t>
  </si>
  <si>
    <t>M DELFIAN ARIF PRATAMA</t>
  </si>
  <si>
    <t>ANGELINA SYIFAAUR RAHMAH</t>
  </si>
  <si>
    <t>DHAFINA PUTRI ARIFIN</t>
  </si>
  <si>
    <t>NUR FAIRATUR RAHMAN</t>
  </si>
  <si>
    <t>GEVAN DANIEL APRADINATA</t>
  </si>
  <si>
    <t>CANTIKA SAFITRI WIJAYANTI</t>
  </si>
  <si>
    <t>ALFIANA UTAMI PUTRI</t>
  </si>
  <si>
    <t>82.93</t>
  </si>
  <si>
    <t>ASYAM ABQARI</t>
  </si>
  <si>
    <t>81.23</t>
  </si>
  <si>
    <t>RAFA SYAFRIYANDI</t>
  </si>
  <si>
    <t>79.15</t>
  </si>
  <si>
    <t>ABDANIAR REGA PRATAMA</t>
  </si>
  <si>
    <t>KEVIN PUTRA NIRWANA</t>
  </si>
  <si>
    <t>81.05</t>
  </si>
  <si>
    <t>MOH YARDAN XAFIER</t>
  </si>
  <si>
    <t>78.74</t>
  </si>
  <si>
    <t>ARSYA DAYU AZAHRA</t>
  </si>
  <si>
    <t>GUSTI SATRIO PRATAMA FAJAR</t>
  </si>
  <si>
    <t>NADHIFIA AZZAHRA ANUGRAINI</t>
  </si>
  <si>
    <t>ROSA AYU WANDIRA</t>
  </si>
  <si>
    <t>82.36</t>
  </si>
  <si>
    <t>MOH NAZRUL PRAMANA</t>
  </si>
  <si>
    <t>80.44</t>
  </si>
  <si>
    <t>Akbar Maulana</t>
  </si>
  <si>
    <t>78.28</t>
  </si>
  <si>
    <t>DIAH KANZA NAILA</t>
  </si>
  <si>
    <t>82.34</t>
  </si>
  <si>
    <t>MUHAMMAD AFDHAN SYAQURO</t>
  </si>
  <si>
    <t>80.35</t>
  </si>
  <si>
    <t>Keyrani Larasati Ningrum</t>
  </si>
  <si>
    <t>SEPTIAN CAHYA RAMADHAN</t>
  </si>
  <si>
    <t>80.23</t>
  </si>
  <si>
    <t>AR RASYA YAHYA HUDAYA</t>
  </si>
  <si>
    <t>81.98</t>
  </si>
  <si>
    <t>ASYRAF ABDILLAH MOHALLIS</t>
  </si>
  <si>
    <t>80.17</t>
  </si>
  <si>
    <t>ALI RIDHO FATHORRAHMAN</t>
  </si>
  <si>
    <t>81.88</t>
  </si>
  <si>
    <t>WIRA REDIKA PRATAMA</t>
  </si>
  <si>
    <t>80.15</t>
  </si>
  <si>
    <t>ALYSA TUNGGA PRATIWI</t>
  </si>
  <si>
    <t>81.73</t>
  </si>
  <si>
    <t>SATRIA ZETA PUTRA ARDYANZAH</t>
  </si>
  <si>
    <t>80.06</t>
  </si>
  <si>
    <t>RAIHAN AZZAMI PUTRA ARMANDA</t>
  </si>
  <si>
    <t>81.36</t>
  </si>
  <si>
    <t>M GIBRAN OKTAVIANO TAHER</t>
  </si>
  <si>
    <t>79.49</t>
  </si>
  <si>
    <t>ENZA SABRINA HERYANTO</t>
  </si>
  <si>
    <t>RAFI ADI CAHYONO</t>
  </si>
  <si>
    <t>NAJWA MALAIKA NUR SHAFA</t>
  </si>
  <si>
    <t>NAYAKA AULIA HARIYANTO</t>
  </si>
  <si>
    <t>CANTIKA PUTRI OKTAVIANA</t>
  </si>
  <si>
    <t>IRDHA ANDINI ISLAMI</t>
  </si>
  <si>
    <t>AMIRAH DHIYA HANUN</t>
  </si>
  <si>
    <t>CLARISSA AZZAHRA PUTRI</t>
  </si>
  <si>
    <t>FIKRI AKMAL ASYROFI</t>
  </si>
  <si>
    <t>ULIN NIAMI</t>
  </si>
  <si>
    <t>ZIYADATU NAJAHATIN</t>
  </si>
  <si>
    <t>OKTAVIA KIRANA DEWI</t>
  </si>
  <si>
    <t>BILQIS FATHIYA MARTHA D</t>
  </si>
  <si>
    <t>AURA SUCI RAMADHANI</t>
  </si>
  <si>
    <t>MOHAMMAD REZA PRAYOGA</t>
  </si>
  <si>
    <t>NABILY RIZKY RAHMADANI</t>
  </si>
  <si>
    <t>FIEDA SARI NUR HIDAYAH</t>
  </si>
  <si>
    <t>LAURA NURMAULIDATUL FEBRIANI</t>
  </si>
  <si>
    <t xml:space="preserve">NIP : </t>
  </si>
  <si>
    <t>MOH. NABIL KHUROZIM FANDY</t>
  </si>
  <si>
    <t>MOH. RIFAL UKROMULLAH</t>
  </si>
  <si>
    <t>MOH. ALFAREZA BASUKI</t>
  </si>
  <si>
    <t>MOH. GHAZY ARYADHANA</t>
  </si>
  <si>
    <t>AULIA AGUSTININGTIYAS SUMANTRI</t>
  </si>
  <si>
    <t>M. SEPTYAN DAFI RAMADHAN</t>
  </si>
  <si>
    <t>M. DELFIAN ARIF PRATAMA</t>
  </si>
  <si>
    <t>M. SAFARIL IDHOM</t>
  </si>
  <si>
    <t>SYIFA ANISATUL AMALIYA SATAR</t>
  </si>
  <si>
    <t>0094915611 / 14951</t>
  </si>
  <si>
    <t>0101733365 / 14958</t>
  </si>
  <si>
    <t>0099620577 / 14964</t>
  </si>
  <si>
    <t>0094618904 / 14973</t>
  </si>
  <si>
    <t>0093576020 / 14982</t>
  </si>
  <si>
    <t>0108584503 / 14987</t>
  </si>
  <si>
    <t>0105301544 / 14999</t>
  </si>
  <si>
    <t>0104677265 / 15000</t>
  </si>
  <si>
    <t>0105311993 / 15002</t>
  </si>
  <si>
    <t>0101428911 / 15024</t>
  </si>
  <si>
    <t>0093003989 / 15026</t>
  </si>
  <si>
    <t>0094840732 / 15039</t>
  </si>
  <si>
    <t>Cantika Safitri Wijayanti</t>
  </si>
  <si>
    <t>0093782050 / 15048</t>
  </si>
  <si>
    <t>0103741538 / 15073</t>
  </si>
  <si>
    <t>Gevan Daniel Apradinata</t>
  </si>
  <si>
    <t>0095217817 / 15077</t>
  </si>
  <si>
    <t>0098447991 / 15094</t>
  </si>
  <si>
    <t>0099668691 / 15127</t>
  </si>
  <si>
    <t>3104234462 / 15151</t>
  </si>
  <si>
    <t>0097811869 / 15164</t>
  </si>
  <si>
    <t>0096843896 / 15170</t>
  </si>
  <si>
    <t>0094814338 / 15190</t>
  </si>
  <si>
    <t>0091793849 / 15191</t>
  </si>
  <si>
    <t>0095384163 / 15196</t>
  </si>
  <si>
    <t>0106880225 / 15198</t>
  </si>
  <si>
    <t>0108367839 / 15213</t>
  </si>
  <si>
    <t>0105266191 / 15215</t>
  </si>
  <si>
    <t>RAFIIF 'ALLAAM AS-SARIY</t>
  </si>
  <si>
    <t>0099080907 / 15222</t>
  </si>
  <si>
    <t>0095467404 / 15237</t>
  </si>
  <si>
    <t>ROBIATUL WAHIDIYAH AL-AMIR PUTRI</t>
  </si>
  <si>
    <t>0105240233 / 15238</t>
  </si>
  <si>
    <t>0092933531 / 15250</t>
  </si>
  <si>
    <t>0101950178 / 15257</t>
  </si>
  <si>
    <t>0094839217 / 15259</t>
  </si>
  <si>
    <t>0093872317 / 15261</t>
  </si>
  <si>
    <t>0108382917 / 15272</t>
  </si>
  <si>
    <t>0101166292 / 15281</t>
  </si>
  <si>
    <t>0103426345 / 15283</t>
  </si>
  <si>
    <t>0096571728 / 14950</t>
  </si>
  <si>
    <t>0103841370 / 14969</t>
  </si>
  <si>
    <t>0094361909 / 14976</t>
  </si>
  <si>
    <t>0103673401 / 15003</t>
  </si>
  <si>
    <t>0106949166 / 15008</t>
  </si>
  <si>
    <t>0098598715 / 15013</t>
  </si>
  <si>
    <t>0095885819 / 15033</t>
  </si>
  <si>
    <t>BILQIS AL-ARIF</t>
  </si>
  <si>
    <t>0109075817 / 15041</t>
  </si>
  <si>
    <t>0092553825 / 15045</t>
  </si>
  <si>
    <t>0102283509 / 15052</t>
  </si>
  <si>
    <t>0101780275 / 15065</t>
  </si>
  <si>
    <t>0109681159 / 15087</t>
  </si>
  <si>
    <t>0109511029 / 15097</t>
  </si>
  <si>
    <t>0104825564 / 15099</t>
  </si>
  <si>
    <t>0098740585 / 15117</t>
  </si>
  <si>
    <t>0092179048 / 15121</t>
  </si>
  <si>
    <t>0097013302 / 15143</t>
  </si>
  <si>
    <t>0107990597 / 15167</t>
  </si>
  <si>
    <t>0106501012 / 15171</t>
  </si>
  <si>
    <t>0094137933 / 15174</t>
  </si>
  <si>
    <t>0106124368 / 15186</t>
  </si>
  <si>
    <t>0093601353 / 15194</t>
  </si>
  <si>
    <t>0099209612 / 15197</t>
  </si>
  <si>
    <t>0091509133 / 15204</t>
  </si>
  <si>
    <t>0094061017 / 15206</t>
  </si>
  <si>
    <t>0091436068 / 15208</t>
  </si>
  <si>
    <t>0106832560 / 15217</t>
  </si>
  <si>
    <t>0096041224 / 15219</t>
  </si>
  <si>
    <t>0098500710 / 15239</t>
  </si>
  <si>
    <t>0097580240 / 15248</t>
  </si>
  <si>
    <t>0102088023 / 15264</t>
  </si>
  <si>
    <t>0094963582 / 15268</t>
  </si>
  <si>
    <t>0093167720 / 15269</t>
  </si>
  <si>
    <t>0096046595 / 15270</t>
  </si>
  <si>
    <t>SYAFANIA KIRANA PUTRI S.</t>
  </si>
  <si>
    <t>0099410638 / 15297</t>
  </si>
  <si>
    <t>0091060910 / 15298</t>
  </si>
  <si>
    <t>0107138272 / 14953</t>
  </si>
  <si>
    <t>ACH. ILHAM ROFIQI</t>
  </si>
  <si>
    <t>0103387807 / 14955</t>
  </si>
  <si>
    <t>0093442626 / 14986</t>
  </si>
  <si>
    <t>0104665288 / 14995</t>
  </si>
  <si>
    <t>0094556159 / 15004</t>
  </si>
  <si>
    <t>0098648934 / 15017</t>
  </si>
  <si>
    <t>3103175403 / 15022</t>
  </si>
  <si>
    <t>0105865356 / 15030</t>
  </si>
  <si>
    <t>0097930617 / 15074</t>
  </si>
  <si>
    <t>0099513497 / 15083</t>
  </si>
  <si>
    <t>0098798782 / 15112</t>
  </si>
  <si>
    <t>0099246425 / 15115</t>
  </si>
  <si>
    <t>M. GIBRAN OKTAVIANO TAHER</t>
  </si>
  <si>
    <t>0106158006 / 15124</t>
  </si>
  <si>
    <t>0102330056 / 15126</t>
  </si>
  <si>
    <t>0093877127 / 15133</t>
  </si>
  <si>
    <t>Moh. Gilang Erlangga</t>
  </si>
  <si>
    <t>0101099158 / 15152</t>
  </si>
  <si>
    <t>0104230146 / 15156</t>
  </si>
  <si>
    <t>0106600416 / 15163</t>
  </si>
  <si>
    <t>0109049440 / 15173</t>
  </si>
  <si>
    <t>0093300159 / 15176</t>
  </si>
  <si>
    <t>0096593023 / 15179</t>
  </si>
  <si>
    <t>0092003280 / 15184</t>
  </si>
  <si>
    <t>0094659505 / 15192</t>
  </si>
  <si>
    <t>0095712895 / 15202</t>
  </si>
  <si>
    <t>3093378753 / 15209</t>
  </si>
  <si>
    <t>0095784779 / 15216</t>
  </si>
  <si>
    <t>0102391972 / 15245</t>
  </si>
  <si>
    <t>0096615983 / 15265</t>
  </si>
  <si>
    <t>0092880263 / 15275</t>
  </si>
  <si>
    <t>0096659826 / 15276</t>
  </si>
  <si>
    <t>0108698195 / 15278</t>
  </si>
  <si>
    <t>0093642477 / 15282</t>
  </si>
  <si>
    <t>0095661548 / 15293</t>
  </si>
  <si>
    <t>0101261269 / 15300</t>
  </si>
  <si>
    <t>0101958421 / 14970</t>
  </si>
  <si>
    <t>0102964984 / 14971</t>
  </si>
  <si>
    <t>0091251777 / 14984</t>
  </si>
  <si>
    <t>0109950311 / 14989</t>
  </si>
  <si>
    <t>0104805741 / 14990</t>
  </si>
  <si>
    <t>0107357333 / 15006</t>
  </si>
  <si>
    <t>3102130692 / 15016</t>
  </si>
  <si>
    <t>0098967601 / 15020</t>
  </si>
  <si>
    <t>0092836765 / 15035</t>
  </si>
  <si>
    <t>0109534778 / 15036</t>
  </si>
  <si>
    <t>0099679063 / 15042</t>
  </si>
  <si>
    <t>0106940001 / 15046</t>
  </si>
  <si>
    <t>0117501391 / 15064</t>
  </si>
  <si>
    <t>0107735504 / 15071</t>
  </si>
  <si>
    <t>0099405271 / 15076</t>
  </si>
  <si>
    <t>0109018947 / 15082</t>
  </si>
  <si>
    <t>0117862295 / 15095</t>
  </si>
  <si>
    <t>0107631527 / 15114</t>
  </si>
  <si>
    <t>M. GHIBRAN IMAS SYAHPUTRA</t>
  </si>
  <si>
    <t>0096139555 / 15119</t>
  </si>
  <si>
    <t>0107743638 / 15136</t>
  </si>
  <si>
    <t>MOH. NAZRUL PRAMANA</t>
  </si>
  <si>
    <t>0103586895 / 15145</t>
  </si>
  <si>
    <t>0105787747 / 15148</t>
  </si>
  <si>
    <t>0096668989 / 15162</t>
  </si>
  <si>
    <t>0093664932 / 15183</t>
  </si>
  <si>
    <t>0103191587 / 15195</t>
  </si>
  <si>
    <t>0099202101 / 15203</t>
  </si>
  <si>
    <t>3095038031 / 15232</t>
  </si>
  <si>
    <t>0093702483 / 15241</t>
  </si>
  <si>
    <t>0094659446 / 15243</t>
  </si>
  <si>
    <t>0099585326 / 15252</t>
  </si>
  <si>
    <t>0092876045 / 15254</t>
  </si>
  <si>
    <t>0101345533 / 15263</t>
  </si>
  <si>
    <t>0102567048 / 15271</t>
  </si>
  <si>
    <t>0092307178 / 15280</t>
  </si>
  <si>
    <t>0103920766 / 15286</t>
  </si>
  <si>
    <t>WIHDA DZIKRIA A'YUNI</t>
  </si>
  <si>
    <t>0103417543 / 15294</t>
  </si>
  <si>
    <t>0106096923 / 14954</t>
  </si>
  <si>
    <t>0097947151 / 14966</t>
  </si>
  <si>
    <t>0101534636 / 14968</t>
  </si>
  <si>
    <t>0109722078 / 14972</t>
  </si>
  <si>
    <t>0106420698 / 14979</t>
  </si>
  <si>
    <t>0107938836 / 14985</t>
  </si>
  <si>
    <t>0091345116 / 15018</t>
  </si>
  <si>
    <t>0104385803 / 15023</t>
  </si>
  <si>
    <t>0095911412 / 15031</t>
  </si>
  <si>
    <t>0093334062 / 15038</t>
  </si>
  <si>
    <t>0109089490 / 15050</t>
  </si>
  <si>
    <t>0169517134 / 15051</t>
  </si>
  <si>
    <t>0092760546 / 15061</t>
  </si>
  <si>
    <t>0091669818 / 15081</t>
  </si>
  <si>
    <t>0101930964 / 15088</t>
  </si>
  <si>
    <t>0093300658 / 15101</t>
  </si>
  <si>
    <t>0092687403 / 15102</t>
  </si>
  <si>
    <t>0092101230 / 15107</t>
  </si>
  <si>
    <t>0093620132 / 15125</t>
  </si>
  <si>
    <t>0106569429 / 15129</t>
  </si>
  <si>
    <t>MOH. AFIFUR RIZAL</t>
  </si>
  <si>
    <t>0098648558 / 15137</t>
  </si>
  <si>
    <t>MOH. RADITYA PRATAMA PUTRA</t>
  </si>
  <si>
    <t>0099738844 / 15141</t>
  </si>
  <si>
    <t>MOH. SAHLAN</t>
  </si>
  <si>
    <t>0106779710 / 15144</t>
  </si>
  <si>
    <t>MOH. ZULFIKAR MASA BAKTI</t>
  </si>
  <si>
    <t>0098252155 / 15154</t>
  </si>
  <si>
    <t>0095324478 / 15159</t>
  </si>
  <si>
    <t>0094586702 / 15165</t>
  </si>
  <si>
    <t>0096561228 / 15178</t>
  </si>
  <si>
    <t>3098293614 / 15185</t>
  </si>
  <si>
    <t>0096501202 / 15193</t>
  </si>
  <si>
    <t>0107765646 / 15221</t>
  </si>
  <si>
    <t>0107040234 / 15227</t>
  </si>
  <si>
    <t>0103816414 / 15242</t>
  </si>
  <si>
    <t>0093921653 / 15262</t>
  </si>
  <si>
    <t>0096256266 / 15267</t>
  </si>
  <si>
    <t>0106598961 / 15277</t>
  </si>
  <si>
    <t>0103002672 / 15292</t>
  </si>
  <si>
    <t>0096415363 / 14957</t>
  </si>
  <si>
    <t>0102753361 / 14961</t>
  </si>
  <si>
    <t>0109297123 / 14991</t>
  </si>
  <si>
    <t>0095090304 / 14997</t>
  </si>
  <si>
    <t>0095005653 / 15009</t>
  </si>
  <si>
    <t>0092807579 / 15010</t>
  </si>
  <si>
    <t>0119779058 / 15028</t>
  </si>
  <si>
    <t>0097582178 / 15029</t>
  </si>
  <si>
    <t>0098060781 / 15049</t>
  </si>
  <si>
    <t>0102616675 / 15053</t>
  </si>
  <si>
    <t>0102498373 / 15068</t>
  </si>
  <si>
    <t>0107912441 / 15070</t>
  </si>
  <si>
    <t>0108325753 / 15085</t>
  </si>
  <si>
    <t>0092754004 / 15090</t>
  </si>
  <si>
    <t>0095532922 / 15098</t>
  </si>
  <si>
    <t>0095739171 / 15100</t>
  </si>
  <si>
    <t>0111441132 / 15128</t>
  </si>
  <si>
    <t>0093599464 / 15130</t>
  </si>
  <si>
    <t>0094490553 / 15132</t>
  </si>
  <si>
    <t>0098735792 / 15153</t>
  </si>
  <si>
    <t>0097758689 / 15160</t>
  </si>
  <si>
    <t>0092206920 / 15166</t>
  </si>
  <si>
    <t>0097537767 / 15172</t>
  </si>
  <si>
    <t>0094576750 / 15177</t>
  </si>
  <si>
    <t>0091417231 / 15180</t>
  </si>
  <si>
    <t>0109931684 / 15218</t>
  </si>
  <si>
    <t>0101073797 / 15236</t>
  </si>
  <si>
    <t>0097996968 / 15253</t>
  </si>
  <si>
    <t>0106287537 / 15255</t>
  </si>
  <si>
    <t>0102160338 / 15285</t>
  </si>
  <si>
    <t>0107029603 / 15287</t>
  </si>
  <si>
    <t>0101495303 / 15289</t>
  </si>
  <si>
    <t>0097549501 / 15291</t>
  </si>
  <si>
    <t>YORIS APRILIA NING TYAS</t>
  </si>
  <si>
    <t>0098425168 / 15295</t>
  </si>
  <si>
    <t>0098138581 / 15299</t>
  </si>
  <si>
    <t>0098497655 / 14956</t>
  </si>
  <si>
    <t>0093002126 / 14960</t>
  </si>
  <si>
    <t>0095982980 / 14965</t>
  </si>
  <si>
    <t>0091486816 / 14978</t>
  </si>
  <si>
    <t>0099550894 / 14980</t>
  </si>
  <si>
    <t>0093742373 / 14981</t>
  </si>
  <si>
    <t>0097551688 / 14992</t>
  </si>
  <si>
    <t>0106587992 / 15001</t>
  </si>
  <si>
    <t>0109396702 / 15007</t>
  </si>
  <si>
    <t>0107129633 / 15040</t>
  </si>
  <si>
    <t>0106425839 / 15047</t>
  </si>
  <si>
    <t>0091699738 / 15055</t>
  </si>
  <si>
    <t>0094950484 / 15056</t>
  </si>
  <si>
    <t>0096040095 / 15066</t>
  </si>
  <si>
    <t>0104756008 / 15072</t>
  </si>
  <si>
    <t>0094505361 / 15080</t>
  </si>
  <si>
    <t>0092118447 / 15084</t>
  </si>
  <si>
    <t>0093953878 / 15105</t>
  </si>
  <si>
    <t>0094683167 / 15108</t>
  </si>
  <si>
    <t>0109850534 / 15122</t>
  </si>
  <si>
    <t>0102122050 / 15135</t>
  </si>
  <si>
    <t>0091890772 / 15146</t>
  </si>
  <si>
    <t>0101141245 / 15169</t>
  </si>
  <si>
    <t>0099599176 / 15200</t>
  </si>
  <si>
    <t>0095654087 / 15207</t>
  </si>
  <si>
    <t>0098990180 / 15228</t>
  </si>
  <si>
    <t>0104164486 / 15214</t>
  </si>
  <si>
    <t>0102676748 / 15220</t>
  </si>
  <si>
    <t>0094577372 / 15235</t>
  </si>
  <si>
    <t>0102393499 / 15240</t>
  </si>
  <si>
    <t>0109277278 / 15247</t>
  </si>
  <si>
    <t>0103239495 / 15266</t>
  </si>
  <si>
    <t>0091987933 / 15288</t>
  </si>
  <si>
    <t>0099058533 / 14952</t>
  </si>
  <si>
    <t>0102988393 / 14974</t>
  </si>
  <si>
    <t>0094851511 / 14975</t>
  </si>
  <si>
    <t>0109410681 / 14994</t>
  </si>
  <si>
    <t>0101272695 / 15014</t>
  </si>
  <si>
    <t>0105174754 / 15015</t>
  </si>
  <si>
    <t>0102322274 / 15019</t>
  </si>
  <si>
    <t>0092822070 / 15021</t>
  </si>
  <si>
    <t>0099364614 / 15025</t>
  </si>
  <si>
    <t>0105382139 / 15034</t>
  </si>
  <si>
    <t>0096559029 / 15037</t>
  </si>
  <si>
    <t>0109363761 / 15059</t>
  </si>
  <si>
    <t>0103496356 / 15079</t>
  </si>
  <si>
    <t>0098243995 / 15086</t>
  </si>
  <si>
    <t>0094023023 / 15091</t>
  </si>
  <si>
    <t>0108350178 / 15096</t>
  </si>
  <si>
    <t>0092041781 / 15106</t>
  </si>
  <si>
    <t>0103080501 / 15113</t>
  </si>
  <si>
    <t>0101240753 / 15116</t>
  </si>
  <si>
    <t>0106391246 / 15123</t>
  </si>
  <si>
    <t>0107399996 / 15131</t>
  </si>
  <si>
    <t>MOH. BAGUS AKBAR</t>
  </si>
  <si>
    <t>0108486609 / 15158</t>
  </si>
  <si>
    <t>0095576452 / 15182</t>
  </si>
  <si>
    <t>0105111329 / 15187</t>
  </si>
  <si>
    <t>0107213872 / 15201</t>
  </si>
  <si>
    <t>0109273017 / 15226</t>
  </si>
  <si>
    <t>0108858362 / 15233</t>
  </si>
  <si>
    <t>0094493950 / 15258</t>
  </si>
  <si>
    <t>0097450728 / 15273</t>
  </si>
  <si>
    <t>0108074622 / 15284</t>
  </si>
  <si>
    <t>0108323553 / 15290</t>
  </si>
  <si>
    <t>0095345053 / 14959</t>
  </si>
  <si>
    <t>0106556562 / 14962</t>
  </si>
  <si>
    <t>0108003625 / 14967</t>
  </si>
  <si>
    <t>0099897605 / 14983</t>
  </si>
  <si>
    <t>0094292240 / 14988</t>
  </si>
  <si>
    <t>0103293275 / 14998</t>
  </si>
  <si>
    <t>0096329996 / 15005</t>
  </si>
  <si>
    <t>0098345910 / 15012</t>
  </si>
  <si>
    <t>0093756454 / 15043</t>
  </si>
  <si>
    <t>0102661592 / 15058</t>
  </si>
  <si>
    <t>0103019259 / 15060</t>
  </si>
  <si>
    <t>0096480979 / 15067</t>
  </si>
  <si>
    <t>0098686172 / 15069</t>
  </si>
  <si>
    <t>0107815195 / 15078</t>
  </si>
  <si>
    <t>0091308783 / 15093</t>
  </si>
  <si>
    <t>0109462096 / 15103</t>
  </si>
  <si>
    <t>0096310303 / 15110</t>
  </si>
  <si>
    <t>0094213234 / 15120</t>
  </si>
  <si>
    <t>0094399729 / 15139</t>
  </si>
  <si>
    <t>0094332428 / 15147</t>
  </si>
  <si>
    <t>MOHAMMAD AQIL RAYHAN AL-ARIF</t>
  </si>
  <si>
    <t>0101068410 / 15149</t>
  </si>
  <si>
    <t>0099087085 / 15150</t>
  </si>
  <si>
    <t>0099801880 / 15161</t>
  </si>
  <si>
    <t>0106844824 / 15205</t>
  </si>
  <si>
    <t>0094523803 / 15210</t>
  </si>
  <si>
    <t>0097120646 / 15211</t>
  </si>
  <si>
    <t>0104297817 / 15223</t>
  </si>
  <si>
    <t>0097533193 / 15224</t>
  </si>
  <si>
    <t>0105010332 / 15249</t>
  </si>
  <si>
    <t>0106201622 / 15251</t>
  </si>
  <si>
    <t>0104393513 / 15256</t>
  </si>
  <si>
    <t>0104446871 / 15279</t>
  </si>
  <si>
    <t>0106246139 / 14963</t>
  </si>
  <si>
    <t>0092945205 / 14977</t>
  </si>
  <si>
    <t>0096939540 / 14993</t>
  </si>
  <si>
    <t>0101774043 / 14996</t>
  </si>
  <si>
    <t>0106042238 / 15011</t>
  </si>
  <si>
    <t>0092924660 / 15032</t>
  </si>
  <si>
    <t>0091889511 / 15057</t>
  </si>
  <si>
    <t>0092986195 / 15062</t>
  </si>
  <si>
    <t>0092564881 / 15063</t>
  </si>
  <si>
    <t>0105049596 / 15075</t>
  </si>
  <si>
    <t>0099606551 / 15092</t>
  </si>
  <si>
    <t>0092295934 / 15104</t>
  </si>
  <si>
    <t>0105498897 / 15111</t>
  </si>
  <si>
    <t>0106819845 / 15118</t>
  </si>
  <si>
    <t>0098777177 / 15140</t>
  </si>
  <si>
    <t>0092469073 / 15142</t>
  </si>
  <si>
    <t>MOH. SYAFRUDIN SYAFRI AZIZ</t>
  </si>
  <si>
    <t>0092249058 / 15155</t>
  </si>
  <si>
    <t>0093475325 / 15157</t>
  </si>
  <si>
    <t>0105675978 / 15168</t>
  </si>
  <si>
    <t>0108261287 / 15175</t>
  </si>
  <si>
    <t>0093307160 / 15181</t>
  </si>
  <si>
    <t>0107423174 / 15188</t>
  </si>
  <si>
    <t>0106063120 / 15189</t>
  </si>
  <si>
    <t>0115565645 / 15199</t>
  </si>
  <si>
    <t>0101455019 / 15212</t>
  </si>
  <si>
    <t>0107810106 / 15225</t>
  </si>
  <si>
    <t>0101227457 / 15229</t>
  </si>
  <si>
    <t>0107171042 / 15230</t>
  </si>
  <si>
    <t>0094658320 / 15231</t>
  </si>
  <si>
    <t>0098974704 / 15234</t>
  </si>
  <si>
    <t>3092351249 / 15246</t>
  </si>
  <si>
    <t>0106159891 / 15260</t>
  </si>
  <si>
    <t>0102316553 / 15274</t>
  </si>
  <si>
    <t>0093154478 / 15296</t>
  </si>
  <si>
    <t>ada di nomor29</t>
  </si>
  <si>
    <t>rolling ke no 27</t>
  </si>
  <si>
    <t>NISN / NIS</t>
  </si>
  <si>
    <t>NISN/ NIS</t>
  </si>
  <si>
    <t>NISN  / NIS</t>
  </si>
  <si>
    <t>0106969520 / 15305</t>
  </si>
  <si>
    <t>MAHREZA RIZQI MAULANA</t>
  </si>
  <si>
    <t>3092769358 / 15306</t>
  </si>
  <si>
    <t>ACH. SHIDQI RAMADHANI</t>
  </si>
  <si>
    <t>0094231988 / 15307</t>
  </si>
  <si>
    <t>MUTIA FAHRUNNISA</t>
  </si>
  <si>
    <t>0108025210 / 15308</t>
  </si>
  <si>
    <t>PUTRI AMELIA LAUDANIA</t>
  </si>
  <si>
    <t>0096346576 / 15309</t>
  </si>
  <si>
    <t>DIMAS SYAFIQY AFDILLAH</t>
  </si>
  <si>
    <t>0091386648 / 15310</t>
  </si>
  <si>
    <t>GHILAN AL DIMIZYQY</t>
  </si>
  <si>
    <t>0101127479 / 15311</t>
  </si>
  <si>
    <t>KARIMAH NAJLA SHABIRA</t>
  </si>
  <si>
    <t>0095917604 / 15312</t>
  </si>
  <si>
    <t>NIKEN DWI PUJI HASTUTI</t>
  </si>
  <si>
    <t>0105465852 / 15027</t>
  </si>
  <si>
    <t>Tahun Pelajaran 2026 / 2027</t>
  </si>
  <si>
    <t>X.A</t>
  </si>
  <si>
    <t>X.F</t>
  </si>
  <si>
    <t>X.H</t>
  </si>
  <si>
    <t>X.C</t>
  </si>
  <si>
    <t>X.E</t>
  </si>
  <si>
    <t>X.D</t>
  </si>
  <si>
    <t>X.I</t>
  </si>
  <si>
    <t>DZAKY ALMAIR EL-RAFIF</t>
  </si>
  <si>
    <t>X.B</t>
  </si>
  <si>
    <t>X.G</t>
  </si>
  <si>
    <t>MOH. REFAN DANIYAL ARIF</t>
  </si>
  <si>
    <t>'ADLY ROSYID PRATAMA</t>
  </si>
  <si>
    <t>X.J</t>
  </si>
  <si>
    <t>R.CHELSYANA RAMADHANI J</t>
  </si>
  <si>
    <t>M. ZULFAN FAHLEVI</t>
  </si>
  <si>
    <t>RATIH PRATIDINA ISHAK</t>
  </si>
  <si>
    <t>FAKHIRA MAULIDA ALGIFARI</t>
  </si>
  <si>
    <t>WILBERT WANG</t>
  </si>
  <si>
    <t>AURA DIEVA BILQUIZT</t>
  </si>
  <si>
    <t>FATHAN ATHAYA INFANER</t>
  </si>
  <si>
    <t>AZRIEL SABILILLAH ARKANA</t>
  </si>
  <si>
    <t>RATNADEWATI FREDLINA PUTRI</t>
  </si>
  <si>
    <t>ALISSYA IMANIAR RIDHO</t>
  </si>
  <si>
    <t>AKBAR MAULANA</t>
  </si>
  <si>
    <t>AHMAD NAJIBUL KHAIR</t>
  </si>
  <si>
    <t>AHMAD RAYHAN WICAKSONO</t>
  </si>
  <si>
    <t>MARSYA YULIA PUTRI</t>
  </si>
  <si>
    <t>MOH. GILANG ERLANGGA</t>
  </si>
  <si>
    <t>ACH RAMZI ARIFANDI HABIBULLAH</t>
  </si>
  <si>
    <t>ANISA AMILIA AZZAHRA</t>
  </si>
  <si>
    <t>'0105586723 / 15089</t>
  </si>
  <si>
    <t>ISMA AMALINA</t>
  </si>
  <si>
    <t>AURYN NUR ANABELA</t>
  </si>
  <si>
    <t>ERINA BALQIS SABITA</t>
  </si>
  <si>
    <t>INDAH MAILATUS SYAFA</t>
  </si>
  <si>
    <t>KEYRANI LARASATI NINGRUM</t>
  </si>
  <si>
    <t>KHAIRIL FIRDAUS ALFARISI</t>
  </si>
  <si>
    <t>MUH. ARJUNA RIFQI OKTAVIAN</t>
  </si>
  <si>
    <t>NAYLA KHANZA SYAZTIAN</t>
  </si>
  <si>
    <t>SEPTIA RAMADINA NURSYAMSI</t>
  </si>
  <si>
    <t>WALIDATUL ISTI'ANAH MANNAN</t>
  </si>
  <si>
    <t>FINZA AYU GUSTI ARINI PUTRI S</t>
  </si>
  <si>
    <t>MIERELDA VIRGINIA UTAMI</t>
  </si>
  <si>
    <t>RAKA FEBRIANTO CHAIRUL PUTRA</t>
  </si>
  <si>
    <t>RAMEYZA CHAYYIRA</t>
  </si>
  <si>
    <t>SYAHDIENDA MEIZYRA MASKUR</t>
  </si>
  <si>
    <t>ZARQA SYAFIQ ZIMRANI</t>
  </si>
  <si>
    <t>'0098021802 / 15138</t>
  </si>
  <si>
    <t>MEYSITA PUTRI YANTO</t>
  </si>
  <si>
    <t>MOHAMMAD HASAN</t>
  </si>
  <si>
    <t>RUMANIA SALSABILA</t>
  </si>
  <si>
    <t>DESWITA PUTRI DAYANTI</t>
  </si>
  <si>
    <t>0095485235 / 1524</t>
  </si>
  <si>
    <t>TABRIZ CHELEBY RAYRAZIN</t>
  </si>
  <si>
    <t>RAFI NUR RAHMAN</t>
  </si>
  <si>
    <t xml:space="preserve">0108722965 / </t>
  </si>
  <si>
    <t xml:space="preserve">0109726731 / </t>
  </si>
  <si>
    <t xml:space="preserve">0101346044 / </t>
  </si>
  <si>
    <t>NAJWA APRILIA FADILAH</t>
  </si>
  <si>
    <t>YUSMIATI, S.Pd.</t>
  </si>
  <si>
    <t>198708112024212000</t>
  </si>
  <si>
    <t>IRVAN RIZKANA YULIANTO, S.Pd</t>
  </si>
  <si>
    <t>198007222024211006</t>
  </si>
  <si>
    <t>EKA JUWITA WIJDANIYAH, S.Pd</t>
  </si>
  <si>
    <t>HENNY FITRIYANTI, S.Pd</t>
  </si>
  <si>
    <t>198506232022212035</t>
  </si>
  <si>
    <t>Tanggal</t>
  </si>
  <si>
    <t>AGUNG TRI PRASETYO, ST</t>
  </si>
  <si>
    <t>198101042024211006</t>
  </si>
  <si>
    <t>UMARUL FARUQ, S.Pd</t>
  </si>
  <si>
    <t>RIZKY SAPUTRA MARIYONO, M.Pd</t>
  </si>
  <si>
    <t>199403262025211098</t>
  </si>
  <si>
    <t>RACHMI SYAFARIN, S.Pd</t>
  </si>
  <si>
    <t>MISNADI, S.Pd.I</t>
  </si>
  <si>
    <t>197310012024211002</t>
  </si>
  <si>
    <t>ABDULLAH ABBAS, S.Pd</t>
  </si>
  <si>
    <t>199312192024211001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</si>
</sst>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555555"/>
      <name val="Arial"/>
      <family val="2"/>
    </font>
    <font>
      <sz val="9"/>
      <color rgb="FF000000"/>
      <name val="Calibri"/>
      <family val="2"/>
    </font>
    <font>
      <sz val="16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Arial Black"/>
      <family val="2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sz val="10"/>
      <color rgb="FF333333"/>
      <name val="Open Sans"/>
      <family val="2"/>
    </font>
    <font>
      <sz val="10"/>
      <color theme="1"/>
      <name val="Open Sans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sz val="12"/>
      <color rgb="FF000000"/>
      <name val="Arial"/>
      <family val="2"/>
    </font>
    <font>
      <b/>
      <sz val="20"/>
      <color rgb="FF000000"/>
      <name val="Calibri"/>
      <family val="2"/>
    </font>
    <font>
      <sz val="20"/>
      <color rgb="FF000000"/>
      <name val="Calibri"/>
      <family val="2"/>
    </font>
    <font>
      <sz val="11"/>
      <color indexed="8"/>
      <name val="Calibri"/>
      <family val="2"/>
      <charset val="1"/>
    </font>
    <font>
      <sz val="10"/>
      <color indexed="8"/>
      <name val="Calibri"/>
      <family val="2"/>
      <charset val="1"/>
    </font>
    <font>
      <sz val="12"/>
      <color indexed="8"/>
      <name val="Arial"/>
      <family val="2"/>
    </font>
    <font>
      <sz val="10"/>
      <color rgb="FF000000"/>
      <name val="Arial Black"/>
      <family val="2"/>
    </font>
    <font>
      <b/>
      <sz val="11"/>
      <color rgb="FF000000"/>
      <name val="Arial Black"/>
      <family val="2"/>
    </font>
    <font>
      <b/>
      <sz val="8"/>
      <color rgb="FF000000"/>
      <name val="Arial Black"/>
      <family val="2"/>
    </font>
    <font>
      <b/>
      <sz val="12"/>
      <color rgb="FF000000"/>
      <name val="Arial"/>
      <family val="2"/>
    </font>
    <font>
      <sz val="12"/>
      <color rgb="FF388600"/>
      <name val="Arial"/>
      <family val="2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</borders>
  <cellStyleXfs count="3">
    <xf numFmtId="0" fontId="0" fillId="0" borderId="0"/>
    <xf numFmtId="0" fontId="13" fillId="0" borderId="0"/>
    <xf numFmtId="0" fontId="27" fillId="0" borderId="0"/>
  </cellStyleXfs>
  <cellXfs count="22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2" borderId="0" xfId="0" applyFill="1"/>
    <xf numFmtId="0" fontId="9" fillId="0" borderId="0" xfId="0" applyFont="1"/>
    <xf numFmtId="0" fontId="9" fillId="0" borderId="0" xfId="0" quotePrefix="1" applyFont="1"/>
    <xf numFmtId="0" fontId="0" fillId="0" borderId="0" xfId="0" quotePrefix="1"/>
    <xf numFmtId="0" fontId="9" fillId="3" borderId="5" xfId="0" applyFont="1" applyFill="1" applyBorder="1" applyAlignment="1">
      <alignment vertical="top" wrapText="1"/>
    </xf>
    <xf numFmtId="0" fontId="9" fillId="3" borderId="6" xfId="0" applyFont="1" applyFill="1" applyBorder="1" applyAlignment="1">
      <alignment vertical="top" wrapText="1"/>
    </xf>
    <xf numFmtId="0" fontId="9" fillId="3" borderId="5" xfId="0" quotePrefix="1" applyFont="1" applyFill="1" applyBorder="1" applyAlignment="1">
      <alignment vertical="top" wrapText="1"/>
    </xf>
    <xf numFmtId="0" fontId="10" fillId="0" borderId="1" xfId="0" applyFont="1" applyBorder="1" applyAlignment="1">
      <alignment horizontal="left" vertical="top" wrapText="1"/>
    </xf>
    <xf numFmtId="0" fontId="5" fillId="2" borderId="1" xfId="0" applyFont="1" applyFill="1" applyBorder="1"/>
    <xf numFmtId="0" fontId="3" fillId="2" borderId="1" xfId="0" applyFont="1" applyFill="1" applyBorder="1"/>
    <xf numFmtId="0" fontId="0" fillId="2" borderId="1" xfId="0" quotePrefix="1" applyFill="1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4" borderId="1" xfId="0" applyFill="1" applyBorder="1"/>
    <xf numFmtId="0" fontId="0" fillId="0" borderId="7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16" fillId="0" borderId="1" xfId="0" applyFont="1" applyBorder="1"/>
    <xf numFmtId="0" fontId="16" fillId="0" borderId="1" xfId="0" applyFont="1" applyBorder="1" applyAlignment="1">
      <alignment horizontal="center" vertical="center"/>
    </xf>
    <xf numFmtId="0" fontId="15" fillId="0" borderId="9" xfId="0" applyFont="1" applyBorder="1"/>
    <xf numFmtId="0" fontId="17" fillId="0" borderId="1" xfId="1" applyFont="1" applyBorder="1"/>
    <xf numFmtId="0" fontId="17" fillId="0" borderId="1" xfId="0" applyFont="1" applyBorder="1" applyAlignment="1">
      <alignment vertical="center"/>
    </xf>
    <xf numFmtId="0" fontId="17" fillId="3" borderId="1" xfId="0" applyFont="1" applyFill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17" fillId="0" borderId="1" xfId="1" applyFont="1" applyBorder="1" applyAlignment="1">
      <alignment horizontal="left"/>
    </xf>
    <xf numFmtId="0" fontId="17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center"/>
    </xf>
    <xf numFmtId="0" fontId="18" fillId="3" borderId="1" xfId="0" applyFont="1" applyFill="1" applyBorder="1" applyAlignment="1">
      <alignment horizontal="left"/>
    </xf>
    <xf numFmtId="0" fontId="17" fillId="3" borderId="8" xfId="0" applyFont="1" applyFill="1" applyBorder="1" applyAlignment="1">
      <alignment horizontal="left"/>
    </xf>
    <xf numFmtId="0" fontId="16" fillId="0" borderId="8" xfId="0" applyFont="1" applyBorder="1" applyAlignment="1">
      <alignment horizontal="left"/>
    </xf>
    <xf numFmtId="3" fontId="18" fillId="3" borderId="1" xfId="0" applyNumberFormat="1" applyFont="1" applyFill="1" applyBorder="1"/>
    <xf numFmtId="0" fontId="17" fillId="5" borderId="1" xfId="0" applyFont="1" applyFill="1" applyBorder="1"/>
    <xf numFmtId="0" fontId="0" fillId="0" borderId="0" xfId="0" applyAlignment="1">
      <alignment horizontal="left"/>
    </xf>
    <xf numFmtId="0" fontId="17" fillId="5" borderId="1" xfId="0" applyFont="1" applyFill="1" applyBorder="1" applyAlignment="1">
      <alignment horizontal="left"/>
    </xf>
    <xf numFmtId="0" fontId="12" fillId="0" borderId="1" xfId="1" applyFont="1" applyBorder="1"/>
    <xf numFmtId="0" fontId="12" fillId="0" borderId="1" xfId="0" applyFont="1" applyBorder="1" applyAlignment="1">
      <alignment vertical="center"/>
    </xf>
    <xf numFmtId="0" fontId="12" fillId="0" borderId="1" xfId="0" applyFont="1" applyBorder="1"/>
    <xf numFmtId="0" fontId="12" fillId="0" borderId="0" xfId="0" applyFont="1"/>
    <xf numFmtId="0" fontId="20" fillId="0" borderId="1" xfId="0" applyFont="1" applyBorder="1"/>
    <xf numFmtId="0" fontId="20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1" xfId="1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17" fillId="3" borderId="1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2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9" fillId="3" borderId="1" xfId="0" applyFont="1" applyFill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 vertical="center"/>
    </xf>
    <xf numFmtId="0" fontId="14" fillId="3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3" fontId="19" fillId="3" borderId="1" xfId="0" applyNumberFormat="1" applyFont="1" applyFill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20" fillId="3" borderId="1" xfId="0" applyFont="1" applyFill="1" applyBorder="1" applyAlignment="1">
      <alignment horizontal="left"/>
    </xf>
    <xf numFmtId="0" fontId="20" fillId="5" borderId="1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22" fillId="0" borderId="1" xfId="0" applyFont="1" applyBorder="1"/>
    <xf numFmtId="0" fontId="23" fillId="0" borderId="1" xfId="0" applyFont="1" applyBorder="1"/>
    <xf numFmtId="0" fontId="21" fillId="2" borderId="1" xfId="0" applyFont="1" applyFill="1" applyBorder="1"/>
    <xf numFmtId="0" fontId="0" fillId="0" borderId="4" xfId="0" applyBorder="1"/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right"/>
    </xf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22" fillId="0" borderId="4" xfId="0" applyFont="1" applyBorder="1"/>
    <xf numFmtId="0" fontId="0" fillId="0" borderId="10" xfId="0" applyBorder="1" applyAlignment="1">
      <alignment horizontal="center"/>
    </xf>
    <xf numFmtId="0" fontId="25" fillId="0" borderId="0" xfId="0" applyFont="1"/>
    <xf numFmtId="0" fontId="26" fillId="0" borderId="0" xfId="0" applyFont="1"/>
    <xf numFmtId="1" fontId="7" fillId="0" borderId="9" xfId="0" applyNumberFormat="1" applyFont="1" applyBorder="1"/>
    <xf numFmtId="1" fontId="7" fillId="0" borderId="12" xfId="0" applyNumberFormat="1" applyFont="1" applyBorder="1"/>
    <xf numFmtId="0" fontId="7" fillId="0" borderId="10" xfId="0" applyFont="1" applyBorder="1"/>
    <xf numFmtId="0" fontId="28" fillId="0" borderId="13" xfId="2" applyFont="1" applyBorder="1" applyAlignment="1">
      <alignment horizontal="center" vertical="center"/>
    </xf>
    <xf numFmtId="0" fontId="28" fillId="6" borderId="13" xfId="2" applyFont="1" applyFill="1" applyBorder="1" applyAlignment="1">
      <alignment horizontal="center" vertical="center"/>
    </xf>
    <xf numFmtId="1" fontId="29" fillId="0" borderId="13" xfId="0" quotePrefix="1" applyNumberFormat="1" applyFont="1" applyBorder="1" applyAlignment="1">
      <alignment horizontal="left"/>
    </xf>
    <xf numFmtId="0" fontId="19" fillId="2" borderId="13" xfId="0" applyFont="1" applyFill="1" applyBorder="1" applyAlignment="1">
      <alignment horizontal="left" vertical="top"/>
    </xf>
    <xf numFmtId="0" fontId="19" fillId="0" borderId="13" xfId="0" applyFont="1" applyBorder="1" applyAlignment="1">
      <alignment horizontal="center" vertical="top"/>
    </xf>
    <xf numFmtId="0" fontId="24" fillId="0" borderId="1" xfId="0" applyFont="1" applyBorder="1" applyAlignment="1">
      <alignment horizontal="center"/>
    </xf>
    <xf numFmtId="0" fontId="19" fillId="0" borderId="13" xfId="0" applyFont="1" applyBorder="1" applyAlignment="1">
      <alignment horizontal="left" vertical="top"/>
    </xf>
    <xf numFmtId="1" fontId="29" fillId="2" borderId="13" xfId="0" quotePrefix="1" applyNumberFormat="1" applyFont="1" applyFill="1" applyBorder="1" applyAlignment="1">
      <alignment horizontal="left"/>
    </xf>
    <xf numFmtId="0" fontId="16" fillId="0" borderId="8" xfId="0" applyFont="1" applyBorder="1" applyAlignment="1">
      <alignment horizontal="left" vertical="center"/>
    </xf>
    <xf numFmtId="0" fontId="0" fillId="2" borderId="4" xfId="0" applyFill="1" applyBorder="1"/>
    <xf numFmtId="0" fontId="0" fillId="0" borderId="2" xfId="0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0" fillId="7" borderId="2" xfId="0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 wrapText="1"/>
    </xf>
    <xf numFmtId="0" fontId="0" fillId="8" borderId="2" xfId="0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vertical="top" wrapText="1"/>
    </xf>
    <xf numFmtId="0" fontId="15" fillId="4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0" fillId="7" borderId="14" xfId="0" applyFill="1" applyBorder="1" applyAlignment="1">
      <alignment horizontal="left" vertical="center"/>
    </xf>
    <xf numFmtId="0" fontId="15" fillId="7" borderId="7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1" fillId="0" borderId="0" xfId="1" applyFont="1" applyAlignment="1">
      <alignment horizontal="left"/>
    </xf>
    <xf numFmtId="0" fontId="0" fillId="0" borderId="12" xfId="0" applyBorder="1"/>
    <xf numFmtId="0" fontId="0" fillId="0" borderId="8" xfId="0" applyBorder="1"/>
    <xf numFmtId="1" fontId="29" fillId="0" borderId="13" xfId="0" quotePrefix="1" applyNumberFormat="1" applyFont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0" fontId="19" fillId="0" borderId="13" xfId="0" applyFont="1" applyBorder="1" applyAlignment="1">
      <alignment horizontal="center" vertical="center"/>
    </xf>
    <xf numFmtId="0" fontId="19" fillId="2" borderId="13" xfId="0" applyFont="1" applyFill="1" applyBorder="1" applyAlignment="1">
      <alignment horizontal="left" vertical="center"/>
    </xf>
    <xf numFmtId="0" fontId="31" fillId="0" borderId="1" xfId="0" applyFont="1" applyBorder="1"/>
    <xf numFmtId="0" fontId="33" fillId="0" borderId="1" xfId="0" applyFont="1" applyBorder="1" applyAlignment="1">
      <alignment horizontal="right"/>
    </xf>
    <xf numFmtId="0" fontId="24" fillId="0" borderId="0" xfId="0" applyFont="1" applyAlignment="1">
      <alignment horizontal="center"/>
    </xf>
    <xf numFmtId="0" fontId="24" fillId="0" borderId="0" xfId="0" applyFont="1"/>
    <xf numFmtId="0" fontId="11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0" borderId="10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10" xfId="0" applyFont="1" applyBorder="1" applyAlignment="1">
      <alignment horizontal="right"/>
    </xf>
    <xf numFmtId="0" fontId="33" fillId="0" borderId="1" xfId="0" applyFont="1" applyBorder="1" applyAlignment="1">
      <alignment horizontal="center"/>
    </xf>
    <xf numFmtId="1" fontId="29" fillId="2" borderId="13" xfId="0" quotePrefix="1" applyNumberFormat="1" applyFont="1" applyFill="1" applyBorder="1" applyAlignment="1">
      <alignment horizontal="left" vertical="center"/>
    </xf>
    <xf numFmtId="0" fontId="24" fillId="0" borderId="1" xfId="0" applyFont="1" applyBorder="1"/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8" xfId="0" applyFont="1" applyBorder="1" applyAlignment="1">
      <alignment horizontal="center" vertical="center"/>
    </xf>
    <xf numFmtId="0" fontId="33" fillId="0" borderId="10" xfId="0" applyFont="1" applyBorder="1" applyAlignment="1">
      <alignment horizontal="right" vertical="center"/>
    </xf>
    <xf numFmtId="0" fontId="24" fillId="0" borderId="10" xfId="0" applyFont="1" applyBorder="1" applyAlignment="1">
      <alignment horizontal="center" vertical="center"/>
    </xf>
    <xf numFmtId="0" fontId="24" fillId="0" borderId="4" xfId="0" applyFont="1" applyBorder="1"/>
    <xf numFmtId="0" fontId="24" fillId="2" borderId="1" xfId="0" applyFont="1" applyFill="1" applyBorder="1"/>
    <xf numFmtId="1" fontId="29" fillId="0" borderId="16" xfId="0" quotePrefix="1" applyNumberFormat="1" applyFont="1" applyBorder="1" applyAlignment="1">
      <alignment horizontal="left" vertical="center"/>
    </xf>
    <xf numFmtId="0" fontId="19" fillId="0" borderId="16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17" fillId="3" borderId="0" xfId="0" applyFont="1" applyFill="1" applyAlignment="1">
      <alignment horizontal="left"/>
    </xf>
    <xf numFmtId="0" fontId="17" fillId="3" borderId="0" xfId="0" applyFont="1" applyFill="1"/>
    <xf numFmtId="3" fontId="18" fillId="3" borderId="0" xfId="0" applyNumberFormat="1" applyFont="1" applyFill="1"/>
    <xf numFmtId="0" fontId="16" fillId="0" borderId="0" xfId="0" applyFont="1"/>
    <xf numFmtId="0" fontId="19" fillId="0" borderId="20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" fontId="29" fillId="0" borderId="19" xfId="0" quotePrefix="1" applyNumberFormat="1" applyFont="1" applyBorder="1" applyAlignment="1">
      <alignment horizontal="left" vertical="center"/>
    </xf>
    <xf numFmtId="0" fontId="33" fillId="0" borderId="1" xfId="0" applyFont="1" applyBorder="1" applyAlignment="1">
      <alignment vertical="center"/>
    </xf>
    <xf numFmtId="0" fontId="33" fillId="0" borderId="10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1" fontId="29" fillId="0" borderId="0" xfId="0" quotePrefix="1" applyNumberFormat="1" applyFont="1" applyAlignment="1">
      <alignment horizontal="left" vertical="center"/>
    </xf>
    <xf numFmtId="1" fontId="19" fillId="0" borderId="13" xfId="0" quotePrefix="1" applyNumberFormat="1" applyFont="1" applyBorder="1" applyAlignment="1">
      <alignment horizontal="left" vertical="center"/>
    </xf>
    <xf numFmtId="0" fontId="34" fillId="0" borderId="13" xfId="0" applyFont="1" applyBorder="1" applyAlignment="1">
      <alignment horizontal="center" vertical="center"/>
    </xf>
    <xf numFmtId="0" fontId="24" fillId="0" borderId="13" xfId="0" quotePrefix="1" applyFont="1" applyBorder="1" applyAlignment="1">
      <alignment vertical="center"/>
    </xf>
    <xf numFmtId="1" fontId="29" fillId="0" borderId="10" xfId="0" quotePrefix="1" applyNumberFormat="1" applyFont="1" applyBorder="1" applyAlignment="1">
      <alignment horizontal="left" vertical="center"/>
    </xf>
    <xf numFmtId="1" fontId="29" fillId="0" borderId="1" xfId="0" quotePrefix="1" applyNumberFormat="1" applyFont="1" applyBorder="1" applyAlignment="1">
      <alignment horizontal="left" vertical="center"/>
    </xf>
    <xf numFmtId="0" fontId="24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1" fillId="0" borderId="13" xfId="0" quotePrefix="1" applyFont="1" applyBorder="1" applyAlignment="1">
      <alignment vertical="center"/>
    </xf>
    <xf numFmtId="1" fontId="7" fillId="0" borderId="11" xfId="0" quotePrefix="1" applyNumberFormat="1" applyFont="1" applyBorder="1"/>
    <xf numFmtId="0" fontId="33" fillId="0" borderId="1" xfId="0" applyFont="1" applyBorder="1" applyAlignment="1">
      <alignment vertical="center"/>
    </xf>
    <xf numFmtId="0" fontId="4" fillId="0" borderId="0" xfId="0" applyFont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 textRotation="90"/>
    </xf>
    <xf numFmtId="0" fontId="3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1" fontId="31" fillId="0" borderId="1" xfId="0" quotePrefix="1" applyNumberFormat="1" applyFont="1" applyBorder="1" applyAlignment="1">
      <alignment horizontal="center"/>
    </xf>
    <xf numFmtId="1" fontId="31" fillId="0" borderId="1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0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90"/>
    </xf>
    <xf numFmtId="0" fontId="7" fillId="0" borderId="8" xfId="0" applyFont="1" applyBorder="1" applyAlignment="1">
      <alignment horizontal="center" vertical="center" textRotation="90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quotePrefix="1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33" fillId="0" borderId="2" xfId="0" applyFont="1" applyBorder="1" applyAlignment="1">
      <alignment horizontal="left" vertical="center"/>
    </xf>
    <xf numFmtId="0" fontId="33" fillId="0" borderId="4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2" xfId="2" xr:uid="{6C05203F-9673-471D-9BF6-E6665E297DA6}"/>
  </cellStyles>
  <dxfs count="5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14654</xdr:colOff>
      <xdr:row>0</xdr:row>
      <xdr:rowOff>177940</xdr:rowOff>
    </xdr:from>
    <xdr:ext cx="1727403" cy="593304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913475" y="177940"/>
          <a:ext cx="1727403" cy="593304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0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3200" b="0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3200" b="0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-A</a:t>
          </a:r>
          <a:r>
            <a:rPr lang="id-ID" sz="3200" b="0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1</a:t>
          </a:r>
          <a:endParaRPr lang="en-US" sz="3200" b="0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120432</xdr:colOff>
      <xdr:row>1</xdr:row>
      <xdr:rowOff>9824</xdr:rowOff>
    </xdr:from>
    <xdr:to>
      <xdr:col>1</xdr:col>
      <xdr:colOff>872033</xdr:colOff>
      <xdr:row>4</xdr:row>
      <xdr:rowOff>117771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294" y="195945"/>
          <a:ext cx="748004" cy="909831"/>
        </a:xfrm>
        <a:prstGeom prst="rect">
          <a:avLst/>
        </a:prstGeom>
      </xdr:spPr>
    </xdr:pic>
    <xdr:clientData/>
  </xdr:twoCellAnchor>
  <xdr:twoCellAnchor>
    <xdr:from>
      <xdr:col>2</xdr:col>
      <xdr:colOff>916781</xdr:colOff>
      <xdr:row>0</xdr:row>
      <xdr:rowOff>0</xdr:rowOff>
    </xdr:from>
    <xdr:to>
      <xdr:col>14</xdr:col>
      <xdr:colOff>58166</xdr:colOff>
      <xdr:row>3</xdr:row>
      <xdr:rowOff>26828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EA94EA2-D907-41E9-882A-7DA942C75602}"/>
            </a:ext>
          </a:extLst>
        </xdr:cNvPr>
        <xdr:cNvGrpSpPr/>
      </xdr:nvGrpSpPr>
      <xdr:grpSpPr>
        <a:xfrm>
          <a:off x="2667000" y="0"/>
          <a:ext cx="4082479" cy="776922"/>
          <a:chOff x="1973972" y="0"/>
          <a:chExt cx="3437484" cy="775247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669A5638-A185-F397-1532-B890C1C2B504}"/>
              </a:ext>
            </a:extLst>
          </xdr:cNvPr>
          <xdr:cNvSpPr/>
        </xdr:nvSpPr>
        <xdr:spPr>
          <a:xfrm>
            <a:off x="1989045" y="0"/>
            <a:ext cx="3422411" cy="5986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EA17CD14-DA83-17BB-0615-E16D293007FE}"/>
              </a:ext>
            </a:extLst>
          </xdr:cNvPr>
          <xdr:cNvSpPr/>
        </xdr:nvSpPr>
        <xdr:spPr>
          <a:xfrm>
            <a:off x="1973972" y="445477"/>
            <a:ext cx="3422411" cy="32977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583768</xdr:colOff>
      <xdr:row>0</xdr:row>
      <xdr:rowOff>0</xdr:rowOff>
    </xdr:from>
    <xdr:to>
      <xdr:col>16</xdr:col>
      <xdr:colOff>46622</xdr:colOff>
      <xdr:row>3</xdr:row>
      <xdr:rowOff>53022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6368" y="0"/>
          <a:ext cx="4092004" cy="776922"/>
          <a:chOff x="1973972" y="0"/>
          <a:chExt cx="3437484" cy="77524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/>
        </xdr:nvSpPr>
        <xdr:spPr>
          <a:xfrm>
            <a:off x="1989045" y="0"/>
            <a:ext cx="3422411" cy="5986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973972" y="445477"/>
            <a:ext cx="3422411" cy="32977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18</xdr:col>
      <xdr:colOff>41868</xdr:colOff>
      <xdr:row>0</xdr:row>
      <xdr:rowOff>177940</xdr:rowOff>
    </xdr:from>
    <xdr:ext cx="1727403" cy="59330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890218" y="177940"/>
          <a:ext cx="1727403" cy="593304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-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A2</a:t>
          </a:r>
          <a:endParaRPr lang="en-US" sz="32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120432</xdr:colOff>
      <xdr:row>1</xdr:row>
      <xdr:rowOff>9824</xdr:rowOff>
    </xdr:from>
    <xdr:to>
      <xdr:col>1</xdr:col>
      <xdr:colOff>872252</xdr:colOff>
      <xdr:row>4</xdr:row>
      <xdr:rowOff>218791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99" y="198438"/>
          <a:ext cx="749530" cy="99925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0</xdr:row>
      <xdr:rowOff>0</xdr:rowOff>
    </xdr:from>
    <xdr:to>
      <xdr:col>14</xdr:col>
      <xdr:colOff>113297</xdr:colOff>
      <xdr:row>3</xdr:row>
      <xdr:rowOff>53022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447925" y="0"/>
          <a:ext cx="4123322" cy="776922"/>
          <a:chOff x="1973972" y="0"/>
          <a:chExt cx="3437484" cy="77524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989045" y="0"/>
            <a:ext cx="3422411" cy="5986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973972" y="445477"/>
            <a:ext cx="3422411" cy="32977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18</xdr:col>
      <xdr:colOff>41868</xdr:colOff>
      <xdr:row>0</xdr:row>
      <xdr:rowOff>177940</xdr:rowOff>
    </xdr:from>
    <xdr:ext cx="1727403" cy="59330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5890218" y="177940"/>
          <a:ext cx="1727403" cy="593304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-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A3</a:t>
          </a:r>
          <a:endParaRPr lang="en-US" sz="32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120432</xdr:colOff>
      <xdr:row>1</xdr:row>
      <xdr:rowOff>9825</xdr:rowOff>
    </xdr:from>
    <xdr:to>
      <xdr:col>1</xdr:col>
      <xdr:colOff>854226</xdr:colOff>
      <xdr:row>4</xdr:row>
      <xdr:rowOff>108858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361" y="200325"/>
          <a:ext cx="733794" cy="9018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1054553</xdr:colOff>
      <xdr:row>0</xdr:row>
      <xdr:rowOff>0</xdr:rowOff>
    </xdr:from>
    <xdr:to>
      <xdr:col>12</xdr:col>
      <xdr:colOff>170089</xdr:colOff>
      <xdr:row>3</xdr:row>
      <xdr:rowOff>53022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806473" y="0"/>
          <a:ext cx="3529353" cy="767397"/>
          <a:chOff x="1973972" y="0"/>
          <a:chExt cx="3437484" cy="77524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SpPr/>
        </xdr:nvSpPr>
        <xdr:spPr>
          <a:xfrm>
            <a:off x="1989045" y="0"/>
            <a:ext cx="3422411" cy="5986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973972" y="445477"/>
            <a:ext cx="3422411" cy="32977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17</xdr:col>
      <xdr:colOff>22228</xdr:colOff>
      <xdr:row>0</xdr:row>
      <xdr:rowOff>177940</xdr:rowOff>
    </xdr:from>
    <xdr:ext cx="1853313" cy="59330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6552254" y="177940"/>
          <a:ext cx="1853313" cy="593304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-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A4</a:t>
          </a:r>
          <a:endParaRPr lang="en-US" sz="32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120432</xdr:colOff>
      <xdr:row>1</xdr:row>
      <xdr:rowOff>9824</xdr:rowOff>
    </xdr:from>
    <xdr:to>
      <xdr:col>1</xdr:col>
      <xdr:colOff>826623</xdr:colOff>
      <xdr:row>4</xdr:row>
      <xdr:rowOff>81643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361" y="200324"/>
          <a:ext cx="706191" cy="874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773264</xdr:colOff>
      <xdr:row>0</xdr:row>
      <xdr:rowOff>0</xdr:rowOff>
    </xdr:from>
    <xdr:to>
      <xdr:col>16</xdr:col>
      <xdr:colOff>145380</xdr:colOff>
      <xdr:row>3</xdr:row>
      <xdr:rowOff>53022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427606" y="0"/>
          <a:ext cx="4575774" cy="774917"/>
          <a:chOff x="1973972" y="0"/>
          <a:chExt cx="3437484" cy="77524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SpPr/>
        </xdr:nvSpPr>
        <xdr:spPr>
          <a:xfrm>
            <a:off x="1989045" y="0"/>
            <a:ext cx="3422411" cy="5986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973972" y="445477"/>
            <a:ext cx="3422411" cy="32977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18</xdr:col>
      <xdr:colOff>41868</xdr:colOff>
      <xdr:row>0</xdr:row>
      <xdr:rowOff>177940</xdr:rowOff>
    </xdr:from>
    <xdr:ext cx="1727403" cy="59330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890218" y="177940"/>
          <a:ext cx="1727403" cy="593304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-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A5</a:t>
          </a:r>
          <a:endParaRPr lang="en-US" sz="32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120432</xdr:colOff>
      <xdr:row>1</xdr:row>
      <xdr:rowOff>9825</xdr:rowOff>
    </xdr:from>
    <xdr:to>
      <xdr:col>1</xdr:col>
      <xdr:colOff>795014</xdr:colOff>
      <xdr:row>4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02" y="196397"/>
          <a:ext cx="674582" cy="9721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622433</xdr:colOff>
      <xdr:row>0</xdr:row>
      <xdr:rowOff>0</xdr:rowOff>
    </xdr:from>
    <xdr:to>
      <xdr:col>16</xdr:col>
      <xdr:colOff>55584</xdr:colOff>
      <xdr:row>3</xdr:row>
      <xdr:rowOff>64928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48839" y="0"/>
          <a:ext cx="4898120" cy="815022"/>
          <a:chOff x="1961596" y="-11493"/>
          <a:chExt cx="3434787" cy="78674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SpPr/>
        </xdr:nvSpPr>
        <xdr:spPr>
          <a:xfrm>
            <a:off x="1961596" y="-11493"/>
            <a:ext cx="3422411" cy="5986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973972" y="445477"/>
            <a:ext cx="3422411" cy="32977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18</xdr:col>
      <xdr:colOff>41868</xdr:colOff>
      <xdr:row>0</xdr:row>
      <xdr:rowOff>177940</xdr:rowOff>
    </xdr:from>
    <xdr:ext cx="1727403" cy="59330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890218" y="177940"/>
          <a:ext cx="1727403" cy="593304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-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B</a:t>
          </a:r>
          <a:endParaRPr lang="en-US" sz="32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120432</xdr:colOff>
      <xdr:row>1</xdr:row>
      <xdr:rowOff>9825</xdr:rowOff>
    </xdr:from>
    <xdr:to>
      <xdr:col>1</xdr:col>
      <xdr:colOff>795014</xdr:colOff>
      <xdr:row>4</xdr:row>
      <xdr:rowOff>159517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57" y="200325"/>
          <a:ext cx="671538" cy="96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983818</xdr:colOff>
      <xdr:row>0</xdr:row>
      <xdr:rowOff>0</xdr:rowOff>
    </xdr:from>
    <xdr:to>
      <xdr:col>16</xdr:col>
      <xdr:colOff>75197</xdr:colOff>
      <xdr:row>3</xdr:row>
      <xdr:rowOff>53022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696178" y="0"/>
          <a:ext cx="4324777" cy="780775"/>
          <a:chOff x="1973972" y="0"/>
          <a:chExt cx="3437484" cy="77524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SpPr/>
        </xdr:nvSpPr>
        <xdr:spPr>
          <a:xfrm>
            <a:off x="1989045" y="0"/>
            <a:ext cx="3422411" cy="5986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973972" y="445477"/>
            <a:ext cx="3422411" cy="32977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18</xdr:col>
      <xdr:colOff>41868</xdr:colOff>
      <xdr:row>0</xdr:row>
      <xdr:rowOff>177940</xdr:rowOff>
    </xdr:from>
    <xdr:ext cx="1727403" cy="59330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5890218" y="177940"/>
          <a:ext cx="1727403" cy="593304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-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C</a:t>
          </a:r>
          <a:endParaRPr lang="en-US" sz="32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120432</xdr:colOff>
      <xdr:row>1</xdr:row>
      <xdr:rowOff>9825</xdr:rowOff>
    </xdr:from>
    <xdr:to>
      <xdr:col>1</xdr:col>
      <xdr:colOff>845814</xdr:colOff>
      <xdr:row>4</xdr:row>
      <xdr:rowOff>127654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02" y="196397"/>
          <a:ext cx="725382" cy="91321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781412</xdr:colOff>
      <xdr:row>0</xdr:row>
      <xdr:rowOff>0</xdr:rowOff>
    </xdr:from>
    <xdr:to>
      <xdr:col>15</xdr:col>
      <xdr:colOff>3759</xdr:colOff>
      <xdr:row>3</xdr:row>
      <xdr:rowOff>53022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519725" y="0"/>
          <a:ext cx="4330128" cy="803116"/>
          <a:chOff x="1973972" y="0"/>
          <a:chExt cx="3437484" cy="77524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/>
        </xdr:nvSpPr>
        <xdr:spPr>
          <a:xfrm>
            <a:off x="1989045" y="0"/>
            <a:ext cx="3422411" cy="5986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973972" y="445477"/>
            <a:ext cx="3422411" cy="32977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18</xdr:col>
      <xdr:colOff>41868</xdr:colOff>
      <xdr:row>0</xdr:row>
      <xdr:rowOff>177940</xdr:rowOff>
    </xdr:from>
    <xdr:ext cx="1727403" cy="59330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5890218" y="177940"/>
          <a:ext cx="1727403" cy="593304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-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D</a:t>
          </a:r>
          <a:endParaRPr lang="en-US" sz="32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120432</xdr:colOff>
      <xdr:row>1</xdr:row>
      <xdr:rowOff>9825</xdr:rowOff>
    </xdr:from>
    <xdr:to>
      <xdr:col>1</xdr:col>
      <xdr:colOff>861689</xdr:colOff>
      <xdr:row>4</xdr:row>
      <xdr:rowOff>100853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756" y="211531"/>
          <a:ext cx="741257" cy="9090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411453</xdr:colOff>
      <xdr:row>0</xdr:row>
      <xdr:rowOff>0</xdr:rowOff>
    </xdr:from>
    <xdr:to>
      <xdr:col>16</xdr:col>
      <xdr:colOff>37964</xdr:colOff>
      <xdr:row>3</xdr:row>
      <xdr:rowOff>53022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2154528" y="0"/>
          <a:ext cx="4893836" cy="776922"/>
          <a:chOff x="1973972" y="0"/>
          <a:chExt cx="3437484" cy="77524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SpPr/>
        </xdr:nvSpPr>
        <xdr:spPr>
          <a:xfrm>
            <a:off x="1989045" y="0"/>
            <a:ext cx="3422411" cy="5986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973972" y="445477"/>
            <a:ext cx="3422411" cy="32977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16</xdr:col>
      <xdr:colOff>79968</xdr:colOff>
      <xdr:row>1</xdr:row>
      <xdr:rowOff>54115</xdr:rowOff>
    </xdr:from>
    <xdr:ext cx="1727403" cy="59330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7004643" y="244615"/>
          <a:ext cx="1727403" cy="593304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</a:t>
          </a:r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-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E</a:t>
          </a:r>
          <a:endParaRPr lang="en-US" sz="32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120432</xdr:colOff>
      <xdr:row>1</xdr:row>
      <xdr:rowOff>9825</xdr:rowOff>
    </xdr:from>
    <xdr:to>
      <xdr:col>1</xdr:col>
      <xdr:colOff>833114</xdr:colOff>
      <xdr:row>4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57" y="200325"/>
          <a:ext cx="712682" cy="876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983818</xdr:colOff>
      <xdr:row>0</xdr:row>
      <xdr:rowOff>0</xdr:rowOff>
    </xdr:from>
    <xdr:to>
      <xdr:col>16</xdr:col>
      <xdr:colOff>75197</xdr:colOff>
      <xdr:row>3</xdr:row>
      <xdr:rowOff>53022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2740651" y="0"/>
          <a:ext cx="4308963" cy="772689"/>
          <a:chOff x="1973972" y="0"/>
          <a:chExt cx="3437484" cy="77524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SpPr/>
        </xdr:nvSpPr>
        <xdr:spPr>
          <a:xfrm>
            <a:off x="1989045" y="0"/>
            <a:ext cx="3422411" cy="59869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28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Black" panose="020B0A04020102020204" pitchFamily="34" charset="0"/>
              </a:rPr>
              <a:t>ABSENSI SISWA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973972" y="445477"/>
            <a:ext cx="3422411" cy="32977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US" sz="16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rial Rounded MT Bold" panose="020F0704030504030204" pitchFamily="34" charset="0"/>
              </a:rPr>
              <a:t>SMA NEGERI 1 PAMEKASAN</a:t>
            </a:r>
          </a:p>
        </xdr:txBody>
      </xdr:sp>
    </xdr:grpSp>
    <xdr:clientData/>
  </xdr:twoCellAnchor>
  <xdr:oneCellAnchor>
    <xdr:from>
      <xdr:col>18</xdr:col>
      <xdr:colOff>41868</xdr:colOff>
      <xdr:row>0</xdr:row>
      <xdr:rowOff>177940</xdr:rowOff>
    </xdr:from>
    <xdr:ext cx="1727403" cy="59330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5890218" y="177940"/>
          <a:ext cx="1727403" cy="593304"/>
        </a:xfrm>
        <a:prstGeom prst="rect">
          <a:avLst/>
        </a:prstGeom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X</a:t>
          </a:r>
          <a:r>
            <a:rPr lang="id-ID" sz="32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I-F</a:t>
          </a:r>
          <a:endParaRPr lang="en-US" sz="32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1</xdr:col>
      <xdr:colOff>120432</xdr:colOff>
      <xdr:row>1</xdr:row>
      <xdr:rowOff>9824</xdr:rowOff>
    </xdr:from>
    <xdr:to>
      <xdr:col>1</xdr:col>
      <xdr:colOff>827714</xdr:colOff>
      <xdr:row>4</xdr:row>
      <xdr:rowOff>143386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97" y="204421"/>
          <a:ext cx="707282" cy="932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48"/>
  <sheetViews>
    <sheetView topLeftCell="A7" zoomScale="80" zoomScaleNormal="80" workbookViewId="0">
      <selection activeCell="C23" sqref="C23"/>
    </sheetView>
  </sheetViews>
  <sheetFormatPr defaultRowHeight="15.75" x14ac:dyDescent="0.25"/>
  <cols>
    <col min="1" max="1" width="3.85546875" style="5" bestFit="1" customWidth="1"/>
    <col min="2" max="2" width="22.28515625" style="8" customWidth="1"/>
    <col min="3" max="3" width="41.42578125" style="8" customWidth="1"/>
    <col min="4" max="4" width="5.85546875" style="5" customWidth="1"/>
    <col min="5" max="20" width="2.7109375" customWidth="1"/>
    <col min="21" max="28" width="3.28515625" customWidth="1"/>
    <col min="29" max="30" width="0" hidden="1" customWidth="1"/>
    <col min="31" max="31" width="14" style="78" hidden="1" customWidth="1"/>
    <col min="32" max="32" width="37.7109375" style="54" hidden="1" customWidth="1"/>
    <col min="33" max="34" width="6.140625" style="54" hidden="1" customWidth="1"/>
    <col min="35" max="35" width="9.140625" style="54" hidden="1" customWidth="1"/>
    <col min="36" max="36" width="9.140625" hidden="1" customWidth="1"/>
    <col min="37" max="37" width="1" hidden="1" customWidth="1"/>
  </cols>
  <sheetData>
    <row r="1" spans="1:37" x14ac:dyDescent="0.25">
      <c r="A1"/>
      <c r="B1"/>
      <c r="C1"/>
      <c r="D1"/>
    </row>
    <row r="2" spans="1:37" x14ac:dyDescent="0.25">
      <c r="A2"/>
      <c r="B2"/>
      <c r="C2"/>
      <c r="D2"/>
    </row>
    <row r="3" spans="1:37" ht="27" customHeight="1" x14ac:dyDescent="0.25">
      <c r="A3"/>
      <c r="B3"/>
      <c r="C3"/>
      <c r="D3"/>
    </row>
    <row r="4" spans="1:37" ht="21" x14ac:dyDescent="0.35">
      <c r="A4" s="183" t="s">
        <v>2236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</row>
    <row r="5" spans="1:37" ht="26.25" x14ac:dyDescent="0.4">
      <c r="O5" s="90"/>
      <c r="P5" s="91"/>
      <c r="Q5" s="91"/>
      <c r="R5" s="91"/>
      <c r="S5" s="91"/>
    </row>
    <row r="7" spans="1:37" ht="18.75" x14ac:dyDescent="0.4">
      <c r="A7" s="192" t="s">
        <v>991</v>
      </c>
      <c r="B7" s="191" t="s">
        <v>2216</v>
      </c>
      <c r="C7" s="196" t="s">
        <v>993</v>
      </c>
      <c r="D7" s="190" t="s">
        <v>994</v>
      </c>
      <c r="E7" s="187" t="s">
        <v>995</v>
      </c>
      <c r="F7" s="188"/>
      <c r="G7" s="189"/>
      <c r="H7" s="184" t="s">
        <v>2296</v>
      </c>
      <c r="I7" s="185"/>
      <c r="J7" s="185"/>
      <c r="K7" s="185"/>
      <c r="L7" s="185"/>
      <c r="M7" s="185"/>
      <c r="N7" s="185"/>
      <c r="O7" s="185"/>
      <c r="P7" s="185"/>
      <c r="Q7" s="185"/>
      <c r="R7" s="186"/>
      <c r="S7" s="193" t="s">
        <v>1841</v>
      </c>
      <c r="T7" s="193"/>
      <c r="U7" s="194" t="s">
        <v>2297</v>
      </c>
      <c r="V7" s="195"/>
      <c r="W7" s="195"/>
      <c r="X7" s="195"/>
      <c r="Y7" s="195"/>
      <c r="Z7" s="195"/>
      <c r="AA7" s="195"/>
      <c r="AB7" s="195"/>
    </row>
    <row r="8" spans="1:37" ht="18.75" x14ac:dyDescent="0.4">
      <c r="A8" s="192"/>
      <c r="B8" s="191"/>
      <c r="C8" s="197"/>
      <c r="D8" s="190"/>
      <c r="E8" s="184" t="s">
        <v>2303</v>
      </c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6"/>
      <c r="AH8" s="54" t="s">
        <v>1003</v>
      </c>
    </row>
    <row r="9" spans="1:37" ht="18.75" x14ac:dyDescent="0.4">
      <c r="A9" s="192"/>
      <c r="B9" s="191"/>
      <c r="C9" s="198"/>
      <c r="D9" s="190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</row>
    <row r="10" spans="1:37" ht="23.1" customHeight="1" x14ac:dyDescent="0.25">
      <c r="A10" s="141">
        <v>1</v>
      </c>
      <c r="B10" s="132" t="s">
        <v>2114</v>
      </c>
      <c r="C10" s="132" t="s">
        <v>1423</v>
      </c>
      <c r="D10" s="134" t="s">
        <v>1001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E10" s="60" t="s">
        <v>1126</v>
      </c>
      <c r="AF10" s="60" t="s">
        <v>1127</v>
      </c>
      <c r="AG10" s="65">
        <v>87.52</v>
      </c>
      <c r="AH10" s="59" t="s">
        <v>1006</v>
      </c>
      <c r="AI10" s="59" t="s">
        <v>1001</v>
      </c>
      <c r="AK10" t="str">
        <f t="shared" ref="AK10:AK43" si="0">UPPER(AF10)</f>
        <v>ABDU DAKAIL FATHON</v>
      </c>
    </row>
    <row r="11" spans="1:37" ht="23.1" customHeight="1" x14ac:dyDescent="0.25">
      <c r="A11" s="141">
        <v>2</v>
      </c>
      <c r="B11" s="132" t="s">
        <v>2005</v>
      </c>
      <c r="C11" s="132" t="s">
        <v>2265</v>
      </c>
      <c r="D11" s="134" t="s">
        <v>1001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E11" s="59" t="s">
        <v>1112</v>
      </c>
      <c r="AF11" s="59" t="s">
        <v>1113</v>
      </c>
      <c r="AG11" s="75" t="s">
        <v>1114</v>
      </c>
      <c r="AH11" s="59" t="s">
        <v>1006</v>
      </c>
      <c r="AI11" s="59" t="s">
        <v>1001</v>
      </c>
      <c r="AK11" t="str">
        <f t="shared" si="0"/>
        <v>AGUNG MULYA PRATAMA</v>
      </c>
    </row>
    <row r="12" spans="1:37" ht="23.1" customHeight="1" x14ac:dyDescent="0.25">
      <c r="A12" s="141">
        <v>3</v>
      </c>
      <c r="B12" s="132" t="s">
        <v>2221</v>
      </c>
      <c r="C12" s="132" t="s">
        <v>2222</v>
      </c>
      <c r="D12" s="134" t="s">
        <v>1001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E12" s="76">
        <v>99620577</v>
      </c>
      <c r="AF12" s="76" t="s">
        <v>1152</v>
      </c>
      <c r="AG12" s="76" t="s">
        <v>1153</v>
      </c>
      <c r="AH12" s="60" t="s">
        <v>1006</v>
      </c>
      <c r="AI12" s="60" t="s">
        <v>1001</v>
      </c>
      <c r="AK12" t="str">
        <f t="shared" si="0"/>
        <v>AHMAD RAFA RAMADANI</v>
      </c>
    </row>
    <row r="13" spans="1:37" ht="23.1" customHeight="1" x14ac:dyDescent="0.25">
      <c r="A13" s="141">
        <v>4</v>
      </c>
      <c r="B13" s="132" t="s">
        <v>1892</v>
      </c>
      <c r="C13" s="132" t="s">
        <v>1181</v>
      </c>
      <c r="D13" s="134" t="s">
        <v>1002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E13" s="50">
        <v>94618904</v>
      </c>
      <c r="AF13" s="48" t="s">
        <v>1780</v>
      </c>
      <c r="AG13" s="48" t="s">
        <v>1781</v>
      </c>
      <c r="AH13" s="48" t="s">
        <v>1006</v>
      </c>
      <c r="AI13" s="37" t="s">
        <v>1002</v>
      </c>
      <c r="AK13" t="str">
        <f t="shared" si="0"/>
        <v>ALFIANA UTAMI PUTRI</v>
      </c>
    </row>
    <row r="14" spans="1:37" ht="23.1" customHeight="1" x14ac:dyDescent="0.25">
      <c r="A14" s="141">
        <v>5</v>
      </c>
      <c r="B14" s="132" t="s">
        <v>2008</v>
      </c>
      <c r="C14" s="132" t="s">
        <v>1677</v>
      </c>
      <c r="D14" s="134" t="s">
        <v>1001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E14" s="58" t="s">
        <v>1084</v>
      </c>
      <c r="AF14" s="58" t="s">
        <v>1085</v>
      </c>
      <c r="AG14" s="75" t="s">
        <v>1086</v>
      </c>
      <c r="AH14" s="59" t="s">
        <v>1006</v>
      </c>
      <c r="AI14" s="59" t="s">
        <v>1773</v>
      </c>
      <c r="AK14" t="str">
        <f t="shared" si="0"/>
        <v>ALYA MUKHBITA</v>
      </c>
    </row>
    <row r="15" spans="1:37" ht="23.1" customHeight="1" x14ac:dyDescent="0.25">
      <c r="A15" s="141">
        <v>6</v>
      </c>
      <c r="B15" s="132" t="s">
        <v>2115</v>
      </c>
      <c r="C15" s="132" t="s">
        <v>1420</v>
      </c>
      <c r="D15" s="134" t="s">
        <v>1002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E15" s="59" t="s">
        <v>1095</v>
      </c>
      <c r="AF15" s="59" t="s">
        <v>1775</v>
      </c>
      <c r="AG15" s="75" t="s">
        <v>1096</v>
      </c>
      <c r="AH15" s="59" t="s">
        <v>1006</v>
      </c>
      <c r="AI15" s="59" t="s">
        <v>1002</v>
      </c>
      <c r="AK15" t="str">
        <f t="shared" si="0"/>
        <v>ANGELINA SYIFAAUR RAHMAH</v>
      </c>
    </row>
    <row r="16" spans="1:37" ht="23.1" customHeight="1" x14ac:dyDescent="0.25">
      <c r="A16" s="141">
        <v>7</v>
      </c>
      <c r="B16" s="132" t="s">
        <v>2085</v>
      </c>
      <c r="C16" s="132" t="s">
        <v>1588</v>
      </c>
      <c r="D16" s="134" t="s">
        <v>1002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E16" s="41">
        <v>105301544</v>
      </c>
      <c r="AF16" s="35" t="s">
        <v>1782</v>
      </c>
      <c r="AG16" s="35" t="s">
        <v>1783</v>
      </c>
      <c r="AH16" s="48" t="s">
        <v>1006</v>
      </c>
      <c r="AI16" s="37" t="s">
        <v>1001</v>
      </c>
      <c r="AK16" t="str">
        <f t="shared" si="0"/>
        <v>ASYAM ABQARI</v>
      </c>
    </row>
    <row r="17" spans="1:37" ht="23.1" customHeight="1" x14ac:dyDescent="0.25">
      <c r="A17" s="141">
        <v>8</v>
      </c>
      <c r="B17" s="132" t="s">
        <v>1855</v>
      </c>
      <c r="C17" s="132" t="s">
        <v>1085</v>
      </c>
      <c r="D17" s="134" t="s">
        <v>1002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E17" s="60">
        <v>104677265</v>
      </c>
      <c r="AF17" s="60" t="s">
        <v>1142</v>
      </c>
      <c r="AG17" s="60" t="s">
        <v>1143</v>
      </c>
      <c r="AH17" s="60" t="s">
        <v>1006</v>
      </c>
      <c r="AI17" s="60" t="s">
        <v>1002</v>
      </c>
      <c r="AK17" t="str">
        <f t="shared" si="0"/>
        <v>ASYIFA PUTRI AZIZAH</v>
      </c>
    </row>
    <row r="18" spans="1:37" ht="23.1" customHeight="1" x14ac:dyDescent="0.25">
      <c r="A18" s="141">
        <v>9</v>
      </c>
      <c r="B18" s="132" t="s">
        <v>2149</v>
      </c>
      <c r="C18" s="132" t="s">
        <v>1815</v>
      </c>
      <c r="D18" s="134" t="s">
        <v>1002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E18" s="60" t="s">
        <v>1124</v>
      </c>
      <c r="AF18" s="60" t="s">
        <v>1125</v>
      </c>
      <c r="AG18" s="65">
        <v>87.72</v>
      </c>
      <c r="AH18" s="59" t="s">
        <v>1006</v>
      </c>
      <c r="AI18" s="59" t="s">
        <v>1001</v>
      </c>
      <c r="AK18" t="str">
        <f t="shared" si="0"/>
        <v>ASYRAF KHAIRULLAH PRATAMA</v>
      </c>
    </row>
    <row r="19" spans="1:37" ht="23.1" customHeight="1" x14ac:dyDescent="0.25">
      <c r="A19" s="141">
        <v>10</v>
      </c>
      <c r="B19" s="132" t="s">
        <v>1969</v>
      </c>
      <c r="C19" s="132" t="s">
        <v>2266</v>
      </c>
      <c r="D19" s="134" t="s">
        <v>1002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E19" s="60" t="s">
        <v>1120</v>
      </c>
      <c r="AF19" s="60" t="s">
        <v>1121</v>
      </c>
      <c r="AG19" s="65">
        <v>88.58</v>
      </c>
      <c r="AH19" s="59" t="s">
        <v>1006</v>
      </c>
      <c r="AI19" s="59" t="s">
        <v>1001</v>
      </c>
      <c r="AK19" t="str">
        <f t="shared" si="0"/>
        <v>AZKA DAHISY AMIN</v>
      </c>
    </row>
    <row r="20" spans="1:37" ht="23.1" customHeight="1" x14ac:dyDescent="0.25">
      <c r="A20" s="141">
        <v>11</v>
      </c>
      <c r="B20" s="132" t="s">
        <v>2048</v>
      </c>
      <c r="C20" s="132" t="s">
        <v>1338</v>
      </c>
      <c r="D20" s="134" t="s">
        <v>1001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E20" s="58" t="s">
        <v>1109</v>
      </c>
      <c r="AF20" s="58" t="s">
        <v>1110</v>
      </c>
      <c r="AG20" s="75" t="s">
        <v>1111</v>
      </c>
      <c r="AH20" s="59" t="s">
        <v>1006</v>
      </c>
      <c r="AI20" s="59" t="s">
        <v>1002</v>
      </c>
      <c r="AK20" t="str">
        <f t="shared" si="0"/>
        <v>AZZAHRA ARIF DAMAYANTI</v>
      </c>
    </row>
    <row r="21" spans="1:37" ht="23.1" customHeight="1" x14ac:dyDescent="0.25">
      <c r="A21" s="141">
        <v>12</v>
      </c>
      <c r="B21" s="132" t="s">
        <v>1896</v>
      </c>
      <c r="C21" s="132" t="s">
        <v>1704</v>
      </c>
      <c r="D21" s="134" t="s">
        <v>1002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E21" s="60" t="s">
        <v>1128</v>
      </c>
      <c r="AF21" s="60" t="s">
        <v>1779</v>
      </c>
      <c r="AG21" s="65">
        <v>86.9</v>
      </c>
      <c r="AH21" s="59" t="s">
        <v>1006</v>
      </c>
      <c r="AI21" s="59" t="s">
        <v>1002</v>
      </c>
      <c r="AK21" t="str">
        <f t="shared" si="0"/>
        <v>CANTIKA SAFITRI WIJAYANTI</v>
      </c>
    </row>
    <row r="22" spans="1:37" ht="23.1" customHeight="1" x14ac:dyDescent="0.25">
      <c r="A22" s="141">
        <v>13</v>
      </c>
      <c r="B22" s="132" t="s">
        <v>1936</v>
      </c>
      <c r="C22" s="132" t="s">
        <v>1649</v>
      </c>
      <c r="D22" s="134" t="s">
        <v>1002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E22" s="58" t="s">
        <v>1097</v>
      </c>
      <c r="AF22" s="58" t="s">
        <v>1776</v>
      </c>
      <c r="AG22" s="59" t="s">
        <v>1098</v>
      </c>
      <c r="AH22" s="59" t="s">
        <v>1006</v>
      </c>
      <c r="AI22" s="59" t="s">
        <v>1002</v>
      </c>
      <c r="AK22" t="str">
        <f t="shared" si="0"/>
        <v>DHAFINA PUTRI ARIFIN</v>
      </c>
    </row>
    <row r="23" spans="1:37" ht="23.1" customHeight="1" x14ac:dyDescent="0.25">
      <c r="A23" s="141">
        <v>14</v>
      </c>
      <c r="B23" s="132" t="s">
        <v>1902</v>
      </c>
      <c r="C23" s="132" t="s">
        <v>1176</v>
      </c>
      <c r="D23" s="134" t="s">
        <v>1002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E23" s="59" t="s">
        <v>1104</v>
      </c>
      <c r="AF23" s="59" t="s">
        <v>1778</v>
      </c>
      <c r="AG23" s="75" t="s">
        <v>1105</v>
      </c>
      <c r="AH23" s="59" t="s">
        <v>1006</v>
      </c>
      <c r="AI23" s="59" t="s">
        <v>1001</v>
      </c>
      <c r="AK23" t="str">
        <f t="shared" si="0"/>
        <v>GEVAN DANIEL APRADINATA</v>
      </c>
    </row>
    <row r="24" spans="1:37" ht="23.1" customHeight="1" x14ac:dyDescent="0.25">
      <c r="A24" s="141">
        <v>15</v>
      </c>
      <c r="B24" s="132" t="s">
        <v>2158</v>
      </c>
      <c r="C24" s="132" t="s">
        <v>1546</v>
      </c>
      <c r="D24" s="134" t="s">
        <v>1002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E24" s="77">
        <v>95217817</v>
      </c>
      <c r="AF24" s="77" t="s">
        <v>1144</v>
      </c>
      <c r="AG24" s="77" t="s">
        <v>1145</v>
      </c>
      <c r="AH24" s="60" t="s">
        <v>1006</v>
      </c>
      <c r="AI24" s="60" t="s">
        <v>1002</v>
      </c>
      <c r="AK24" t="str">
        <f t="shared" si="0"/>
        <v>HASNA ALGHINA RACHMAN</v>
      </c>
    </row>
    <row r="25" spans="1:37" ht="23.1" customHeight="1" x14ac:dyDescent="0.25">
      <c r="A25" s="141">
        <v>16</v>
      </c>
      <c r="B25" s="132" t="s">
        <v>2056</v>
      </c>
      <c r="C25" s="132" t="s">
        <v>1332</v>
      </c>
      <c r="D25" s="134" t="s">
        <v>1001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E25" s="58" t="s">
        <v>1090</v>
      </c>
      <c r="AF25" s="58" t="s">
        <v>1091</v>
      </c>
      <c r="AG25" s="75" t="s">
        <v>1092</v>
      </c>
      <c r="AH25" s="59" t="s">
        <v>1006</v>
      </c>
      <c r="AI25" s="59" t="s">
        <v>1773</v>
      </c>
      <c r="AK25" t="str">
        <f t="shared" si="0"/>
        <v>IZZA BUNGA FAIRUZIA</v>
      </c>
    </row>
    <row r="26" spans="1:37" ht="23.1" customHeight="1" x14ac:dyDescent="0.25">
      <c r="A26" s="141">
        <v>17</v>
      </c>
      <c r="B26" s="132" t="s">
        <v>2095</v>
      </c>
      <c r="C26" s="132" t="s">
        <v>1725</v>
      </c>
      <c r="D26" s="134" t="s">
        <v>1001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E26" s="58" t="s">
        <v>1093</v>
      </c>
      <c r="AF26" s="58" t="s">
        <v>1774</v>
      </c>
      <c r="AG26" s="75" t="s">
        <v>1094</v>
      </c>
      <c r="AH26" s="59" t="s">
        <v>1006</v>
      </c>
      <c r="AI26" s="59" t="s">
        <v>1001</v>
      </c>
      <c r="AK26" t="str">
        <f t="shared" si="0"/>
        <v>M DELFIAN ARIF PRATAMA</v>
      </c>
    </row>
    <row r="27" spans="1:37" ht="23.1" customHeight="1" x14ac:dyDescent="0.25">
      <c r="A27" s="141">
        <v>18</v>
      </c>
      <c r="B27" s="132" t="s">
        <v>2159</v>
      </c>
      <c r="C27" s="132" t="s">
        <v>1746</v>
      </c>
      <c r="D27" s="134" t="s">
        <v>1002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E27" s="58" t="s">
        <v>1099</v>
      </c>
      <c r="AF27" s="58" t="s">
        <v>1100</v>
      </c>
      <c r="AG27" s="75" t="s">
        <v>1101</v>
      </c>
      <c r="AH27" s="59" t="s">
        <v>1006</v>
      </c>
      <c r="AI27" s="59" t="s">
        <v>1001</v>
      </c>
      <c r="AK27" t="str">
        <f t="shared" si="0"/>
        <v>MILDY PRIO RUBIANTO</v>
      </c>
    </row>
    <row r="28" spans="1:37" ht="23.1" customHeight="1" x14ac:dyDescent="0.25">
      <c r="A28" s="141">
        <v>19</v>
      </c>
      <c r="B28" s="132" t="s">
        <v>2018</v>
      </c>
      <c r="C28" s="132" t="s">
        <v>1296</v>
      </c>
      <c r="D28" s="134" t="s">
        <v>1001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E28" s="60">
        <v>102122050</v>
      </c>
      <c r="AF28" s="60" t="s">
        <v>1138</v>
      </c>
      <c r="AG28" s="60" t="s">
        <v>1139</v>
      </c>
      <c r="AH28" s="60" t="s">
        <v>1006</v>
      </c>
      <c r="AI28" s="60" t="s">
        <v>1001</v>
      </c>
      <c r="AK28" t="str">
        <f t="shared" si="0"/>
        <v>MOH NABIL KHUROZIM FANDY</v>
      </c>
    </row>
    <row r="29" spans="1:37" ht="23.1" customHeight="1" x14ac:dyDescent="0.25">
      <c r="A29" s="141">
        <v>20</v>
      </c>
      <c r="B29" s="132" t="s">
        <v>2189</v>
      </c>
      <c r="C29" s="132" t="s">
        <v>1184</v>
      </c>
      <c r="D29" s="134" t="s">
        <v>1002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E29" s="77">
        <v>91890772</v>
      </c>
      <c r="AF29" s="77" t="s">
        <v>1076</v>
      </c>
      <c r="AG29" s="77" t="s">
        <v>1135</v>
      </c>
      <c r="AH29" s="60" t="s">
        <v>1006</v>
      </c>
      <c r="AI29" s="60" t="s">
        <v>1001</v>
      </c>
      <c r="AK29" t="str">
        <f t="shared" si="0"/>
        <v>MOHAMMAD AKHDAN MAULADI</v>
      </c>
    </row>
    <row r="30" spans="1:37" ht="23.1" customHeight="1" x14ac:dyDescent="0.25">
      <c r="A30" s="141">
        <v>21</v>
      </c>
      <c r="B30" s="132" t="s">
        <v>2231</v>
      </c>
      <c r="C30" s="132" t="s">
        <v>2232</v>
      </c>
      <c r="D30" s="134" t="s">
        <v>1002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E30" s="60">
        <v>3104234462</v>
      </c>
      <c r="AF30" s="60" t="s">
        <v>1136</v>
      </c>
      <c r="AG30" s="60" t="s">
        <v>1137</v>
      </c>
      <c r="AH30" s="60" t="s">
        <v>1006</v>
      </c>
      <c r="AI30" s="60" t="s">
        <v>1001</v>
      </c>
      <c r="AK30" t="str">
        <f t="shared" si="0"/>
        <v>MOHAMMAD RIZKY RAFIF TAMAM</v>
      </c>
    </row>
    <row r="31" spans="1:37" ht="23.1" customHeight="1" x14ac:dyDescent="0.25">
      <c r="A31" s="141">
        <v>22</v>
      </c>
      <c r="B31" s="132" t="s">
        <v>2161</v>
      </c>
      <c r="C31" s="132" t="s">
        <v>1445</v>
      </c>
      <c r="D31" s="134" t="s">
        <v>1002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E31" s="60" t="s">
        <v>1131</v>
      </c>
      <c r="AF31" s="60" t="s">
        <v>1132</v>
      </c>
      <c r="AG31" s="65">
        <v>87.19</v>
      </c>
      <c r="AH31" s="59" t="s">
        <v>1006</v>
      </c>
      <c r="AI31" s="59" t="s">
        <v>1002</v>
      </c>
      <c r="AK31" t="str">
        <f t="shared" si="0"/>
        <v>NADIF ABDILLAH</v>
      </c>
    </row>
    <row r="32" spans="1:37" ht="23.1" customHeight="1" x14ac:dyDescent="0.25">
      <c r="A32" s="141">
        <v>23</v>
      </c>
      <c r="B32" s="132" t="s">
        <v>1907</v>
      </c>
      <c r="C32" s="132" t="s">
        <v>1202</v>
      </c>
      <c r="D32" s="134" t="s">
        <v>1002</v>
      </c>
      <c r="E32" s="8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E32" s="59" t="s">
        <v>1115</v>
      </c>
      <c r="AF32" s="59" t="s">
        <v>1116</v>
      </c>
      <c r="AG32" s="75" t="s">
        <v>1117</v>
      </c>
      <c r="AH32" s="59" t="s">
        <v>1006</v>
      </c>
      <c r="AI32" s="59" t="s">
        <v>1002</v>
      </c>
      <c r="AK32" t="str">
        <f t="shared" si="0"/>
        <v>NAJWA ACHMAD</v>
      </c>
    </row>
    <row r="33" spans="1:37" ht="23.1" customHeight="1" x14ac:dyDescent="0.25">
      <c r="A33" s="141">
        <v>24</v>
      </c>
      <c r="B33" s="132" t="s">
        <v>2061</v>
      </c>
      <c r="C33" s="132" t="s">
        <v>1353</v>
      </c>
      <c r="D33" s="134" t="s">
        <v>1002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E33" s="58" t="s">
        <v>1081</v>
      </c>
      <c r="AF33" s="58" t="s">
        <v>1082</v>
      </c>
      <c r="AG33" s="75" t="s">
        <v>1083</v>
      </c>
      <c r="AH33" s="59" t="s">
        <v>1006</v>
      </c>
      <c r="AI33" s="59" t="s">
        <v>1773</v>
      </c>
      <c r="AK33" t="str">
        <f t="shared" si="0"/>
        <v>NAJWAS SHYFA</v>
      </c>
    </row>
    <row r="34" spans="1:37" ht="23.1" customHeight="1" x14ac:dyDescent="0.25">
      <c r="A34" s="141">
        <v>25</v>
      </c>
      <c r="B34" s="132" t="s">
        <v>2024</v>
      </c>
      <c r="C34" s="132" t="s">
        <v>2025</v>
      </c>
      <c r="D34" s="134" t="s">
        <v>1001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E34" s="60" t="s">
        <v>1129</v>
      </c>
      <c r="AF34" s="60" t="s">
        <v>1130</v>
      </c>
      <c r="AG34" s="65">
        <v>86.72</v>
      </c>
      <c r="AH34" s="59" t="s">
        <v>1006</v>
      </c>
      <c r="AI34" s="59" t="s">
        <v>1002</v>
      </c>
      <c r="AK34" t="str">
        <f t="shared" si="0"/>
        <v>NILA SARI AMINARTI</v>
      </c>
    </row>
    <row r="35" spans="1:37" ht="23.1" customHeight="1" x14ac:dyDescent="0.25">
      <c r="A35" s="141">
        <v>26</v>
      </c>
      <c r="B35" s="132" t="s">
        <v>2063</v>
      </c>
      <c r="C35" s="132" t="s">
        <v>1845</v>
      </c>
      <c r="D35" s="134" t="s">
        <v>1001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E35" s="76">
        <v>91793849</v>
      </c>
      <c r="AF35" s="76" t="s">
        <v>1150</v>
      </c>
      <c r="AG35" s="76" t="s">
        <v>1151</v>
      </c>
      <c r="AH35" s="60" t="s">
        <v>1006</v>
      </c>
      <c r="AI35" s="60" t="s">
        <v>1002</v>
      </c>
      <c r="AK35" t="str">
        <f t="shared" si="0"/>
        <v>NINDY SAFIRA MAHARANI</v>
      </c>
    </row>
    <row r="36" spans="1:37" ht="23.1" customHeight="1" x14ac:dyDescent="0.25">
      <c r="A36" s="141">
        <v>27</v>
      </c>
      <c r="B36" s="132" t="s">
        <v>2026</v>
      </c>
      <c r="C36" s="132" t="s">
        <v>2027</v>
      </c>
      <c r="D36" s="134" t="s">
        <v>1001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E36" s="58" t="s">
        <v>1102</v>
      </c>
      <c r="AF36" s="58" t="s">
        <v>1777</v>
      </c>
      <c r="AG36" s="75" t="s">
        <v>1103</v>
      </c>
      <c r="AH36" s="59" t="s">
        <v>1006</v>
      </c>
      <c r="AI36" s="59" t="s">
        <v>1002</v>
      </c>
      <c r="AK36" t="str">
        <f t="shared" si="0"/>
        <v>NUR FAIRATUR RAHMAN</v>
      </c>
    </row>
    <row r="37" spans="1:37" ht="23.1" customHeight="1" x14ac:dyDescent="0.25">
      <c r="A37" s="141">
        <v>28</v>
      </c>
      <c r="B37" s="132" t="s">
        <v>1909</v>
      </c>
      <c r="C37" s="132" t="s">
        <v>1077</v>
      </c>
      <c r="D37" s="134" t="s">
        <v>1002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E37" s="41">
        <v>108367839</v>
      </c>
      <c r="AF37" s="35" t="s">
        <v>1784</v>
      </c>
      <c r="AG37" s="35" t="s">
        <v>1785</v>
      </c>
      <c r="AH37" s="48" t="s">
        <v>1006</v>
      </c>
      <c r="AI37" s="37" t="s">
        <v>1001</v>
      </c>
      <c r="AK37" t="str">
        <f t="shared" si="0"/>
        <v>RAFA SYAFRIYANDI</v>
      </c>
    </row>
    <row r="38" spans="1:37" ht="23.1" customHeight="1" x14ac:dyDescent="0.25">
      <c r="A38" s="141">
        <v>29</v>
      </c>
      <c r="B38" s="132" t="s">
        <v>2199</v>
      </c>
      <c r="C38" s="132" t="s">
        <v>1490</v>
      </c>
      <c r="D38" s="134" t="s">
        <v>1002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E38" s="76">
        <v>105266191</v>
      </c>
      <c r="AF38" s="76" t="s">
        <v>1146</v>
      </c>
      <c r="AG38" s="76" t="s">
        <v>1147</v>
      </c>
      <c r="AH38" s="60" t="s">
        <v>1006</v>
      </c>
      <c r="AI38" s="60" t="s">
        <v>1001</v>
      </c>
      <c r="AK38" t="str">
        <f t="shared" si="0"/>
        <v>RAFIIF ALLAAM AS SARIY</v>
      </c>
    </row>
    <row r="39" spans="1:37" ht="23.1" customHeight="1" x14ac:dyDescent="0.25">
      <c r="A39" s="141">
        <v>30</v>
      </c>
      <c r="B39" s="132" t="s">
        <v>1873</v>
      </c>
      <c r="C39" s="132" t="s">
        <v>1130</v>
      </c>
      <c r="D39" s="134" t="s">
        <v>1002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E39" s="76">
        <v>99080907</v>
      </c>
      <c r="AF39" s="76" t="s">
        <v>1148</v>
      </c>
      <c r="AG39" s="76" t="s">
        <v>1149</v>
      </c>
      <c r="AH39" s="60" t="s">
        <v>1006</v>
      </c>
      <c r="AI39" s="60" t="s">
        <v>1002</v>
      </c>
      <c r="AK39" t="str">
        <f t="shared" si="0"/>
        <v>RANIAH</v>
      </c>
    </row>
    <row r="40" spans="1:37" ht="23.1" customHeight="1" x14ac:dyDescent="0.25">
      <c r="A40" s="141">
        <v>31</v>
      </c>
      <c r="B40" s="132" t="s">
        <v>1875</v>
      </c>
      <c r="C40" s="132" t="s">
        <v>1777</v>
      </c>
      <c r="D40" s="134" t="s">
        <v>1002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E40" s="58" t="s">
        <v>1106</v>
      </c>
      <c r="AF40" s="58" t="s">
        <v>1107</v>
      </c>
      <c r="AG40" s="75" t="s">
        <v>1108</v>
      </c>
      <c r="AH40" s="59" t="s">
        <v>1006</v>
      </c>
      <c r="AI40" s="59" t="s">
        <v>1002</v>
      </c>
      <c r="AK40" t="str">
        <f t="shared" si="0"/>
        <v>ROBIATUL WAHIDIYAH AL AMIR PUTRI</v>
      </c>
    </row>
    <row r="41" spans="1:37" ht="23.1" customHeight="1" x14ac:dyDescent="0.25">
      <c r="A41" s="141">
        <v>32</v>
      </c>
      <c r="B41" s="132" t="s">
        <v>1994</v>
      </c>
      <c r="C41" s="132" t="s">
        <v>1627</v>
      </c>
      <c r="D41" s="134" t="s">
        <v>1002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E41" s="60">
        <v>105240233</v>
      </c>
      <c r="AF41" s="60" t="s">
        <v>1140</v>
      </c>
      <c r="AG41" s="60" t="s">
        <v>1141</v>
      </c>
      <c r="AH41" s="60" t="s">
        <v>1006</v>
      </c>
      <c r="AI41" s="60" t="s">
        <v>1001</v>
      </c>
      <c r="AK41" t="str">
        <f t="shared" si="0"/>
        <v>ROBITH IMANI BILLAH</v>
      </c>
    </row>
    <row r="42" spans="1:37" ht="23.1" customHeight="1" x14ac:dyDescent="0.25">
      <c r="A42" s="141">
        <v>33</v>
      </c>
      <c r="B42" s="132" t="s">
        <v>2141</v>
      </c>
      <c r="C42" s="132" t="s">
        <v>1558</v>
      </c>
      <c r="D42" s="134" t="s">
        <v>1001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E42" s="60" t="s">
        <v>1122</v>
      </c>
      <c r="AF42" s="60" t="s">
        <v>1123</v>
      </c>
      <c r="AG42" s="65">
        <v>88.02</v>
      </c>
      <c r="AH42" s="59" t="s">
        <v>1006</v>
      </c>
      <c r="AI42" s="59" t="s">
        <v>1002</v>
      </c>
      <c r="AK42" t="str">
        <f t="shared" si="0"/>
        <v>SHAFA AZIYAH PUTRI</v>
      </c>
    </row>
    <row r="43" spans="1:37" ht="23.1" customHeight="1" x14ac:dyDescent="0.25">
      <c r="A43" s="141">
        <v>34</v>
      </c>
      <c r="B43" s="132" t="s">
        <v>2111</v>
      </c>
      <c r="C43" s="132" t="s">
        <v>1582</v>
      </c>
      <c r="D43" s="134" t="s">
        <v>1002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E43" s="60" t="s">
        <v>1118</v>
      </c>
      <c r="AF43" s="60" t="s">
        <v>1119</v>
      </c>
      <c r="AG43" s="65">
        <v>90.16</v>
      </c>
      <c r="AH43" s="59" t="s">
        <v>1006</v>
      </c>
      <c r="AI43" s="59" t="s">
        <v>1002</v>
      </c>
      <c r="AK43" t="str">
        <f t="shared" si="0"/>
        <v>SHAFWAN AQILA GUSFA</v>
      </c>
    </row>
    <row r="44" spans="1:37" ht="23.1" customHeight="1" x14ac:dyDescent="0.25">
      <c r="A44" s="141">
        <v>35</v>
      </c>
      <c r="B44" s="132" t="s">
        <v>2211</v>
      </c>
      <c r="C44" s="132" t="s">
        <v>1528</v>
      </c>
      <c r="D44" s="134" t="s">
        <v>1002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E44" s="58" t="s">
        <v>1078</v>
      </c>
      <c r="AF44" s="58" t="s">
        <v>1079</v>
      </c>
      <c r="AG44" s="75" t="s">
        <v>1080</v>
      </c>
      <c r="AH44" s="59" t="s">
        <v>1006</v>
      </c>
      <c r="AI44" s="59" t="s">
        <v>1773</v>
      </c>
    </row>
    <row r="45" spans="1:37" ht="23.1" customHeight="1" x14ac:dyDescent="0.25">
      <c r="A45" s="141">
        <v>36</v>
      </c>
      <c r="B45" s="132" t="s">
        <v>2144</v>
      </c>
      <c r="C45" s="132" t="s">
        <v>1560</v>
      </c>
      <c r="D45" s="134" t="s">
        <v>1002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E45" s="58" t="s">
        <v>1087</v>
      </c>
      <c r="AF45" s="58" t="s">
        <v>1088</v>
      </c>
      <c r="AG45" s="75" t="s">
        <v>1089</v>
      </c>
      <c r="AH45" s="59" t="s">
        <v>1006</v>
      </c>
      <c r="AI45" s="59" t="s">
        <v>1773</v>
      </c>
    </row>
    <row r="46" spans="1:37" ht="23.1" customHeight="1" x14ac:dyDescent="0.25">
      <c r="A46" s="182" t="s">
        <v>997</v>
      </c>
      <c r="B46" s="182"/>
      <c r="C46" s="150" t="s">
        <v>999</v>
      </c>
      <c r="D46" s="141">
        <f>COUNTIFS($D$10:$D$45,"L")</f>
        <v>12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E46" s="60" t="s">
        <v>1133</v>
      </c>
      <c r="AF46" s="60" t="s">
        <v>1134</v>
      </c>
      <c r="AG46" s="65">
        <v>86.58</v>
      </c>
      <c r="AH46" s="59" t="s">
        <v>1006</v>
      </c>
      <c r="AI46" s="59" t="s">
        <v>1002</v>
      </c>
    </row>
    <row r="47" spans="1:37" ht="23.1" customHeight="1" x14ac:dyDescent="0.25">
      <c r="A47" s="168" t="s">
        <v>998</v>
      </c>
      <c r="B47" s="168"/>
      <c r="C47" s="150" t="s">
        <v>1000</v>
      </c>
      <c r="D47" s="141">
        <f>COUNTIFS($D$10:$D$45,"P")</f>
        <v>24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37" x14ac:dyDescent="0.25">
      <c r="A48" s="138"/>
      <c r="B48" s="139"/>
      <c r="C48" s="139"/>
      <c r="D48" s="138">
        <f>SUM(D46:D47)</f>
        <v>36</v>
      </c>
    </row>
  </sheetData>
  <sortState xmlns:xlrd2="http://schemas.microsoft.com/office/spreadsheetml/2017/richdata2" ref="B10:D45">
    <sortCondition ref="C10:C45"/>
  </sortState>
  <mergeCells count="11">
    <mergeCell ref="A46:B46"/>
    <mergeCell ref="A4:AB4"/>
    <mergeCell ref="H7:R7"/>
    <mergeCell ref="E7:G7"/>
    <mergeCell ref="D7:D9"/>
    <mergeCell ref="B7:B9"/>
    <mergeCell ref="A7:A9"/>
    <mergeCell ref="S7:T7"/>
    <mergeCell ref="U7:AB7"/>
    <mergeCell ref="C7:C9"/>
    <mergeCell ref="E8:AB8"/>
  </mergeCells>
  <pageMargins left="0.41" right="0.11811023622047245" top="0.55118110236220474" bottom="0.74803149606299213" header="0.31496062992125984" footer="0.31496062992125984"/>
  <pageSetup paperSize="9" scale="6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48"/>
  <sheetViews>
    <sheetView zoomScaleNormal="100" workbookViewId="0">
      <selection activeCell="E8" sqref="E8:AB8"/>
    </sheetView>
  </sheetViews>
  <sheetFormatPr defaultRowHeight="15" x14ac:dyDescent="0.25"/>
  <cols>
    <col min="1" max="1" width="3.85546875" style="5" bestFit="1" customWidth="1"/>
    <col min="2" max="2" width="22.42578125" style="8" customWidth="1"/>
    <col min="3" max="3" width="33" style="8" customWidth="1"/>
    <col min="4" max="4" width="3.85546875" style="5" bestFit="1" customWidth="1"/>
    <col min="5" max="20" width="2.7109375" customWidth="1"/>
    <col min="21" max="28" width="3.28515625" customWidth="1"/>
    <col min="29" max="30" width="12.85546875" hidden="1" customWidth="1"/>
    <col min="31" max="31" width="25.85546875" hidden="1" customWidth="1"/>
    <col min="32" max="32" width="22.7109375" hidden="1" customWidth="1"/>
    <col min="33" max="33" width="6.7109375" hidden="1" customWidth="1"/>
    <col min="34" max="34" width="7.28515625" hidden="1" customWidth="1"/>
    <col min="36" max="36" width="17.7109375" customWidth="1"/>
    <col min="37" max="37" width="15.7109375" customWidth="1"/>
    <col min="38" max="38" width="37.28515625" customWidth="1"/>
  </cols>
  <sheetData>
    <row r="1" spans="1:39" x14ac:dyDescent="0.25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</row>
    <row r="2" spans="1:39" x14ac:dyDescent="0.25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</row>
    <row r="3" spans="1:39" ht="27" customHeight="1" x14ac:dyDescent="0.25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</row>
    <row r="4" spans="1:39" ht="21" x14ac:dyDescent="0.35">
      <c r="A4" s="183" t="s">
        <v>2236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</row>
    <row r="5" spans="1:39" ht="26.25" x14ac:dyDescent="0.4">
      <c r="O5" s="90"/>
    </row>
    <row r="7" spans="1:39" x14ac:dyDescent="0.25">
      <c r="A7" s="191" t="s">
        <v>991</v>
      </c>
      <c r="B7" s="191" t="s">
        <v>2216</v>
      </c>
      <c r="C7" s="191" t="s">
        <v>993</v>
      </c>
      <c r="D7" s="201" t="s">
        <v>994</v>
      </c>
      <c r="E7" s="203" t="s">
        <v>995</v>
      </c>
      <c r="F7" s="204"/>
      <c r="G7" s="205"/>
      <c r="H7" s="206" t="s">
        <v>2298</v>
      </c>
      <c r="I7" s="207"/>
      <c r="J7" s="207"/>
      <c r="K7" s="207"/>
      <c r="L7" s="207"/>
      <c r="M7" s="207"/>
      <c r="N7" s="207"/>
      <c r="O7" s="207"/>
      <c r="P7" s="207"/>
      <c r="Q7" s="207"/>
      <c r="R7" s="208"/>
      <c r="S7" s="209" t="s">
        <v>996</v>
      </c>
      <c r="T7" s="209"/>
      <c r="U7" s="210" t="s">
        <v>2299</v>
      </c>
      <c r="V7" s="211"/>
      <c r="W7" s="211"/>
      <c r="X7" s="211"/>
      <c r="Y7" s="211"/>
      <c r="Z7" s="211"/>
      <c r="AA7" s="211"/>
      <c r="AB7" s="211"/>
    </row>
    <row r="8" spans="1:39" x14ac:dyDescent="0.25">
      <c r="A8" s="191"/>
      <c r="B8" s="191"/>
      <c r="C8" s="191"/>
      <c r="D8" s="201"/>
      <c r="E8" s="212" t="s">
        <v>2303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4"/>
    </row>
    <row r="9" spans="1:39" x14ac:dyDescent="0.25">
      <c r="A9" s="200"/>
      <c r="B9" s="200"/>
      <c r="C9" s="200"/>
      <c r="D9" s="202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39" ht="23.1" customHeight="1" x14ac:dyDescent="0.25">
      <c r="A10" s="141">
        <v>1</v>
      </c>
      <c r="B10" s="132" t="s">
        <v>1891</v>
      </c>
      <c r="C10" s="132" t="s">
        <v>1786</v>
      </c>
      <c r="D10" s="134" t="s">
        <v>1001</v>
      </c>
      <c r="E10" s="8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D10" s="41">
        <v>96571728</v>
      </c>
      <c r="AE10" s="41" t="s">
        <v>1786</v>
      </c>
      <c r="AF10" s="41" t="s">
        <v>1781</v>
      </c>
      <c r="AG10" s="41" t="s">
        <v>1007</v>
      </c>
      <c r="AH10" s="42" t="s">
        <v>1001</v>
      </c>
      <c r="AJ10" s="123" t="s">
        <v>1786</v>
      </c>
      <c r="AK10" s="110" t="s">
        <v>2245</v>
      </c>
      <c r="AL10" s="111" t="s">
        <v>1001</v>
      </c>
      <c r="AM10" s="112">
        <v>635</v>
      </c>
    </row>
    <row r="11" spans="1:39" ht="23.1" customHeight="1" x14ac:dyDescent="0.25">
      <c r="A11" s="141">
        <v>2</v>
      </c>
      <c r="B11" s="132" t="s">
        <v>2081</v>
      </c>
      <c r="C11" s="132" t="s">
        <v>2248</v>
      </c>
      <c r="D11" s="134" t="s">
        <v>1001</v>
      </c>
      <c r="E11" s="8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D11" s="58" t="s">
        <v>1180</v>
      </c>
      <c r="AE11" s="58" t="s">
        <v>1181</v>
      </c>
      <c r="AF11" s="75" t="s">
        <v>1182</v>
      </c>
      <c r="AG11" s="59" t="s">
        <v>1007</v>
      </c>
      <c r="AH11" s="59" t="s">
        <v>1002</v>
      </c>
      <c r="AJ11" s="109" t="s">
        <v>2248</v>
      </c>
      <c r="AK11" s="110" t="s">
        <v>2246</v>
      </c>
      <c r="AL11" s="111" t="s">
        <v>1001</v>
      </c>
      <c r="AM11" s="112">
        <v>628</v>
      </c>
    </row>
    <row r="12" spans="1:39" ht="23.1" customHeight="1" x14ac:dyDescent="0.25">
      <c r="A12" s="141">
        <v>3</v>
      </c>
      <c r="B12" s="132" t="s">
        <v>2045</v>
      </c>
      <c r="C12" s="132" t="s">
        <v>1590</v>
      </c>
      <c r="D12" s="134" t="s">
        <v>1002</v>
      </c>
      <c r="E12" s="8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D12" s="60" t="s">
        <v>1196</v>
      </c>
      <c r="AE12" s="60" t="s">
        <v>1197</v>
      </c>
      <c r="AF12" s="65">
        <v>89.99</v>
      </c>
      <c r="AG12" s="59" t="s">
        <v>1007</v>
      </c>
      <c r="AH12" s="59" t="s">
        <v>1001</v>
      </c>
      <c r="AJ12" s="105" t="s">
        <v>1590</v>
      </c>
      <c r="AK12" s="106" t="s">
        <v>2238</v>
      </c>
      <c r="AL12" s="107" t="s">
        <v>1002</v>
      </c>
      <c r="AM12" s="108">
        <v>662</v>
      </c>
    </row>
    <row r="13" spans="1:39" ht="23.1" customHeight="1" x14ac:dyDescent="0.25">
      <c r="A13" s="141">
        <v>4</v>
      </c>
      <c r="B13" s="132" t="s">
        <v>2082</v>
      </c>
      <c r="C13" s="132" t="s">
        <v>1720</v>
      </c>
      <c r="D13" s="134" t="s">
        <v>1001</v>
      </c>
      <c r="E13" s="8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D13" s="60" t="s">
        <v>1203</v>
      </c>
      <c r="AE13" s="60" t="s">
        <v>1204</v>
      </c>
      <c r="AF13" s="65">
        <v>87.5</v>
      </c>
      <c r="AG13" s="59" t="s">
        <v>1007</v>
      </c>
      <c r="AH13" s="59" t="s">
        <v>1002</v>
      </c>
      <c r="AJ13" s="105" t="s">
        <v>1720</v>
      </c>
      <c r="AK13" s="106" t="s">
        <v>2246</v>
      </c>
      <c r="AL13" s="107" t="s">
        <v>1001</v>
      </c>
      <c r="AM13" s="108">
        <v>638</v>
      </c>
    </row>
    <row r="14" spans="1:39" ht="23.1" customHeight="1" x14ac:dyDescent="0.25">
      <c r="A14" s="141">
        <v>5</v>
      </c>
      <c r="B14" s="132" t="s">
        <v>2086</v>
      </c>
      <c r="C14" s="132" t="s">
        <v>1386</v>
      </c>
      <c r="D14" s="134" t="s">
        <v>1002</v>
      </c>
      <c r="E14" s="8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D14" s="42">
        <v>106949166</v>
      </c>
      <c r="AE14" s="42" t="s">
        <v>1219</v>
      </c>
      <c r="AF14" s="42" t="s">
        <v>1220</v>
      </c>
      <c r="AG14" s="59" t="s">
        <v>1007</v>
      </c>
      <c r="AH14" s="59" t="s">
        <v>1002</v>
      </c>
      <c r="AJ14" s="105" t="s">
        <v>1386</v>
      </c>
      <c r="AK14" s="106" t="s">
        <v>2246</v>
      </c>
      <c r="AL14" s="107" t="s">
        <v>1002</v>
      </c>
      <c r="AM14" s="108">
        <v>635</v>
      </c>
    </row>
    <row r="15" spans="1:39" ht="23.1" customHeight="1" x14ac:dyDescent="0.25">
      <c r="A15" s="141">
        <v>6</v>
      </c>
      <c r="B15" s="132" t="s">
        <v>2150</v>
      </c>
      <c r="C15" s="132" t="s">
        <v>1748</v>
      </c>
      <c r="D15" s="134" t="s">
        <v>1002</v>
      </c>
      <c r="E15" s="8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D15" s="60" t="s">
        <v>1200</v>
      </c>
      <c r="AE15" s="60" t="s">
        <v>1201</v>
      </c>
      <c r="AF15" s="65">
        <v>88.01</v>
      </c>
      <c r="AG15" s="59" t="s">
        <v>1007</v>
      </c>
      <c r="AH15" s="59" t="s">
        <v>1002</v>
      </c>
      <c r="AJ15" s="109" t="s">
        <v>1748</v>
      </c>
      <c r="AK15" s="110" t="s">
        <v>2243</v>
      </c>
      <c r="AL15" s="111" t="s">
        <v>1002</v>
      </c>
      <c r="AM15" s="112">
        <v>624</v>
      </c>
    </row>
    <row r="16" spans="1:39" ht="23.1" customHeight="1" x14ac:dyDescent="0.25">
      <c r="A16" s="141">
        <v>7</v>
      </c>
      <c r="B16" s="132" t="s">
        <v>2151</v>
      </c>
      <c r="C16" s="132" t="s">
        <v>1540</v>
      </c>
      <c r="D16" s="134" t="s">
        <v>1002</v>
      </c>
      <c r="E16" s="83"/>
      <c r="F16" s="2"/>
      <c r="G16" s="2"/>
      <c r="H16" s="2"/>
      <c r="I16" s="2"/>
      <c r="J16" s="2"/>
      <c r="K16" s="2"/>
      <c r="L16" s="2"/>
      <c r="M16" s="8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D16" s="58" t="s">
        <v>1185</v>
      </c>
      <c r="AE16" s="58" t="s">
        <v>1186</v>
      </c>
      <c r="AF16" s="75" t="s">
        <v>1187</v>
      </c>
      <c r="AG16" s="59" t="s">
        <v>1007</v>
      </c>
      <c r="AH16" s="59" t="s">
        <v>1002</v>
      </c>
      <c r="AJ16" s="105" t="s">
        <v>1540</v>
      </c>
      <c r="AK16" s="106" t="s">
        <v>2243</v>
      </c>
      <c r="AL16" s="107" t="s">
        <v>1002</v>
      </c>
      <c r="AM16" s="108">
        <v>629</v>
      </c>
    </row>
    <row r="17" spans="1:39" ht="23.1" customHeight="1" x14ac:dyDescent="0.25">
      <c r="A17" s="141">
        <v>8</v>
      </c>
      <c r="B17" s="132" t="s">
        <v>2153</v>
      </c>
      <c r="C17" s="132" t="s">
        <v>1836</v>
      </c>
      <c r="D17" s="134" t="s">
        <v>1002</v>
      </c>
      <c r="E17" s="8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D17" s="41">
        <v>109075817</v>
      </c>
      <c r="AE17" s="41" t="s">
        <v>1225</v>
      </c>
      <c r="AF17" s="41" t="s">
        <v>1226</v>
      </c>
      <c r="AG17" s="59" t="s">
        <v>1007</v>
      </c>
      <c r="AH17" s="59" t="s">
        <v>1002</v>
      </c>
      <c r="AJ17" s="105" t="s">
        <v>1836</v>
      </c>
      <c r="AK17" s="106" t="s">
        <v>2243</v>
      </c>
      <c r="AL17" s="107" t="s">
        <v>1002</v>
      </c>
      <c r="AM17" s="108">
        <v>664</v>
      </c>
    </row>
    <row r="18" spans="1:39" ht="23.1" customHeight="1" x14ac:dyDescent="0.25">
      <c r="A18" s="141">
        <v>9</v>
      </c>
      <c r="B18" s="132" t="s">
        <v>2121</v>
      </c>
      <c r="C18" s="132" t="s">
        <v>1417</v>
      </c>
      <c r="D18" s="134" t="s">
        <v>1002</v>
      </c>
      <c r="E18" s="8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D18" s="59" t="s">
        <v>1188</v>
      </c>
      <c r="AE18" s="59" t="s">
        <v>1189</v>
      </c>
      <c r="AF18" s="75" t="s">
        <v>1190</v>
      </c>
      <c r="AG18" s="59" t="s">
        <v>1007</v>
      </c>
      <c r="AH18" s="59" t="s">
        <v>1002</v>
      </c>
      <c r="AJ18" s="105" t="s">
        <v>1417</v>
      </c>
      <c r="AK18" s="106" t="s">
        <v>2239</v>
      </c>
      <c r="AL18" s="107" t="s">
        <v>1002</v>
      </c>
      <c r="AM18" s="108">
        <v>708</v>
      </c>
    </row>
    <row r="19" spans="1:39" ht="23.1" customHeight="1" x14ac:dyDescent="0.25">
      <c r="A19" s="141">
        <v>10</v>
      </c>
      <c r="B19" s="132" t="s">
        <v>1860</v>
      </c>
      <c r="C19" s="132" t="s">
        <v>1121</v>
      </c>
      <c r="D19" s="134" t="s">
        <v>1001</v>
      </c>
      <c r="E19" s="8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D19" s="58" t="s">
        <v>1163</v>
      </c>
      <c r="AE19" s="58" t="s">
        <v>1164</v>
      </c>
      <c r="AF19" s="75" t="s">
        <v>1165</v>
      </c>
      <c r="AG19" s="59" t="s">
        <v>1007</v>
      </c>
      <c r="AH19" s="59" t="s">
        <v>1001</v>
      </c>
      <c r="AJ19" s="105" t="s">
        <v>1121</v>
      </c>
      <c r="AK19" s="106" t="s">
        <v>2237</v>
      </c>
      <c r="AL19" s="107" t="s">
        <v>1001</v>
      </c>
      <c r="AM19" s="108">
        <v>715</v>
      </c>
    </row>
    <row r="20" spans="1:39" ht="23.1" customHeight="1" x14ac:dyDescent="0.25">
      <c r="A20" s="141">
        <v>11</v>
      </c>
      <c r="B20" s="132" t="s">
        <v>2235</v>
      </c>
      <c r="C20" s="132" t="s">
        <v>1372</v>
      </c>
      <c r="D20" s="134" t="s">
        <v>1002</v>
      </c>
      <c r="E20" s="8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D20" s="59" t="s">
        <v>1175</v>
      </c>
      <c r="AE20" s="59" t="s">
        <v>1176</v>
      </c>
      <c r="AF20" s="75" t="s">
        <v>1096</v>
      </c>
      <c r="AG20" s="59" t="s">
        <v>1007</v>
      </c>
      <c r="AH20" s="59" t="s">
        <v>1002</v>
      </c>
      <c r="AJ20" s="105" t="s">
        <v>1372</v>
      </c>
      <c r="AK20" s="106" t="s">
        <v>2246</v>
      </c>
      <c r="AL20" s="107" t="s">
        <v>1002</v>
      </c>
      <c r="AM20" s="108">
        <v>702</v>
      </c>
    </row>
    <row r="21" spans="1:39" ht="23.1" customHeight="1" x14ac:dyDescent="0.25">
      <c r="A21" s="141">
        <v>12</v>
      </c>
      <c r="B21" s="132" t="s">
        <v>1975</v>
      </c>
      <c r="C21" s="132" t="s">
        <v>1662</v>
      </c>
      <c r="D21" s="134" t="s">
        <v>1002</v>
      </c>
      <c r="E21" s="8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D21" s="60" t="s">
        <v>1207</v>
      </c>
      <c r="AE21" s="60" t="s">
        <v>1208</v>
      </c>
      <c r="AF21" s="65">
        <v>86.89</v>
      </c>
      <c r="AG21" s="59" t="s">
        <v>1007</v>
      </c>
      <c r="AH21" s="59" t="s">
        <v>1002</v>
      </c>
      <c r="AJ21" s="105" t="s">
        <v>1830</v>
      </c>
      <c r="AK21" s="106" t="s">
        <v>2242</v>
      </c>
      <c r="AL21" s="107" t="s">
        <v>1002</v>
      </c>
      <c r="AM21" s="108">
        <v>729</v>
      </c>
    </row>
    <row r="22" spans="1:39" ht="23.1" customHeight="1" x14ac:dyDescent="0.25">
      <c r="A22" s="141">
        <v>13</v>
      </c>
      <c r="B22" s="132" t="s">
        <v>1976</v>
      </c>
      <c r="C22" s="132" t="s">
        <v>1830</v>
      </c>
      <c r="D22" s="134" t="s">
        <v>1002</v>
      </c>
      <c r="E22" s="8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D22" s="59" t="s">
        <v>1183</v>
      </c>
      <c r="AE22" s="59" t="s">
        <v>1184</v>
      </c>
      <c r="AF22" s="75" t="s">
        <v>1143</v>
      </c>
      <c r="AG22" s="59" t="s">
        <v>1007</v>
      </c>
      <c r="AH22" s="59" t="s">
        <v>1002</v>
      </c>
      <c r="AJ22" s="115" t="s">
        <v>2228</v>
      </c>
      <c r="AK22" s="116" t="s">
        <v>2243</v>
      </c>
      <c r="AL22" s="117" t="s">
        <v>1001</v>
      </c>
      <c r="AM22" s="118">
        <v>638</v>
      </c>
    </row>
    <row r="23" spans="1:39" ht="23.1" customHeight="1" x14ac:dyDescent="0.25">
      <c r="A23" s="141">
        <v>14</v>
      </c>
      <c r="B23" s="132" t="s">
        <v>2227</v>
      </c>
      <c r="C23" s="132" t="s">
        <v>2228</v>
      </c>
      <c r="D23" s="134" t="s">
        <v>1001</v>
      </c>
      <c r="E23" s="8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D23" s="41">
        <v>109511029</v>
      </c>
      <c r="AE23" s="41" t="s">
        <v>1229</v>
      </c>
      <c r="AF23" s="41" t="s">
        <v>1230</v>
      </c>
      <c r="AG23" s="59" t="s">
        <v>1007</v>
      </c>
      <c r="AH23" s="59" t="s">
        <v>1001</v>
      </c>
      <c r="AJ23" s="105" t="s">
        <v>1606</v>
      </c>
      <c r="AK23" s="106" t="s">
        <v>2238</v>
      </c>
      <c r="AL23" s="107" t="s">
        <v>1002</v>
      </c>
      <c r="AM23" s="108">
        <v>655</v>
      </c>
    </row>
    <row r="24" spans="1:39" ht="23.1" customHeight="1" x14ac:dyDescent="0.25">
      <c r="A24" s="141">
        <v>15</v>
      </c>
      <c r="B24" s="132" t="s">
        <v>2054</v>
      </c>
      <c r="C24" s="132" t="s">
        <v>1606</v>
      </c>
      <c r="D24" s="134" t="s">
        <v>1002</v>
      </c>
      <c r="E24" s="8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D24" s="41">
        <v>104825564</v>
      </c>
      <c r="AE24" s="41" t="s">
        <v>1787</v>
      </c>
      <c r="AF24" s="41" t="s">
        <v>1788</v>
      </c>
      <c r="AG24" s="41" t="s">
        <v>1007</v>
      </c>
      <c r="AH24" s="42" t="s">
        <v>1001</v>
      </c>
    </row>
    <row r="25" spans="1:39" ht="23.1" customHeight="1" x14ac:dyDescent="0.25">
      <c r="A25" s="141">
        <v>16</v>
      </c>
      <c r="B25" s="158" t="s">
        <v>2126</v>
      </c>
      <c r="C25" s="158" t="s">
        <v>1727</v>
      </c>
      <c r="D25" s="134" t="s">
        <v>1001</v>
      </c>
      <c r="E25" s="8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D25" s="41"/>
      <c r="AE25" s="41"/>
      <c r="AF25" s="41"/>
      <c r="AG25" s="41"/>
      <c r="AH25" s="42"/>
    </row>
    <row r="26" spans="1:39" ht="23.1" customHeight="1" x14ac:dyDescent="0.25">
      <c r="A26" s="138">
        <v>17</v>
      </c>
      <c r="B26" s="142" t="s">
        <v>2267</v>
      </c>
      <c r="C26" s="142" t="s">
        <v>2268</v>
      </c>
      <c r="D26" s="166" t="s">
        <v>1002</v>
      </c>
      <c r="E26" s="8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D26" s="41">
        <v>98740585</v>
      </c>
      <c r="AE26" s="41" t="s">
        <v>1223</v>
      </c>
      <c r="AF26" s="41" t="s">
        <v>1224</v>
      </c>
      <c r="AG26" s="59" t="s">
        <v>1007</v>
      </c>
      <c r="AH26" s="59" t="s">
        <v>1001</v>
      </c>
      <c r="AJ26" s="124" t="s">
        <v>1727</v>
      </c>
      <c r="AK26" s="106" t="s">
        <v>2239</v>
      </c>
      <c r="AL26" s="107" t="s">
        <v>1001</v>
      </c>
      <c r="AM26" s="108">
        <v>637</v>
      </c>
    </row>
    <row r="27" spans="1:39" ht="23.1" customHeight="1" x14ac:dyDescent="0.25">
      <c r="A27" s="141">
        <v>18</v>
      </c>
      <c r="B27" s="167" t="s">
        <v>1868</v>
      </c>
      <c r="C27" s="167" t="s">
        <v>1091</v>
      </c>
      <c r="D27" s="134" t="s">
        <v>1002</v>
      </c>
      <c r="E27" s="8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D27" s="41">
        <v>97013302</v>
      </c>
      <c r="AE27" s="41" t="s">
        <v>1789</v>
      </c>
      <c r="AF27" s="41" t="s">
        <v>1790</v>
      </c>
      <c r="AG27" s="41" t="s">
        <v>1007</v>
      </c>
      <c r="AH27" s="42" t="s">
        <v>1001</v>
      </c>
      <c r="AJ27" s="105" t="s">
        <v>1091</v>
      </c>
      <c r="AK27" s="106" t="s">
        <v>2237</v>
      </c>
      <c r="AL27" s="107" t="s">
        <v>1002</v>
      </c>
      <c r="AM27" s="108">
        <v>636</v>
      </c>
    </row>
    <row r="28" spans="1:39" ht="23.1" customHeight="1" x14ac:dyDescent="0.25">
      <c r="A28" s="141">
        <v>19</v>
      </c>
      <c r="B28" s="132" t="s">
        <v>1904</v>
      </c>
      <c r="C28" s="132" t="s">
        <v>1229</v>
      </c>
      <c r="D28" s="134" t="s">
        <v>1001</v>
      </c>
      <c r="E28" s="8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D28" s="42">
        <v>107990597</v>
      </c>
      <c r="AE28" s="42" t="s">
        <v>1077</v>
      </c>
      <c r="AF28" s="42" t="s">
        <v>1213</v>
      </c>
      <c r="AG28" s="59" t="s">
        <v>1007</v>
      </c>
      <c r="AH28" s="59" t="s">
        <v>1002</v>
      </c>
      <c r="AJ28" s="105" t="s">
        <v>1229</v>
      </c>
      <c r="AK28" s="106" t="s">
        <v>2245</v>
      </c>
      <c r="AL28" s="107" t="s">
        <v>1002</v>
      </c>
      <c r="AM28" s="108">
        <v>680</v>
      </c>
    </row>
    <row r="29" spans="1:39" ht="23.1" customHeight="1" x14ac:dyDescent="0.25">
      <c r="A29" s="141">
        <v>20</v>
      </c>
      <c r="B29" s="132" t="s">
        <v>2190</v>
      </c>
      <c r="C29" s="132" t="s">
        <v>1759</v>
      </c>
      <c r="D29" s="134" t="s">
        <v>1002</v>
      </c>
      <c r="E29" s="8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D29" s="58" t="s">
        <v>1177</v>
      </c>
      <c r="AE29" s="58" t="s">
        <v>1178</v>
      </c>
      <c r="AF29" s="75" t="s">
        <v>1179</v>
      </c>
      <c r="AG29" s="59" t="s">
        <v>1007</v>
      </c>
      <c r="AH29" s="59" t="s">
        <v>1002</v>
      </c>
      <c r="AJ29" s="105" t="s">
        <v>1759</v>
      </c>
      <c r="AK29" s="106" t="s">
        <v>2249</v>
      </c>
      <c r="AL29" s="107" t="s">
        <v>1001</v>
      </c>
      <c r="AM29" s="108">
        <v>624</v>
      </c>
    </row>
    <row r="30" spans="1:39" ht="23.1" customHeight="1" x14ac:dyDescent="0.25">
      <c r="A30" s="141">
        <v>21</v>
      </c>
      <c r="B30" s="132" t="s">
        <v>2162</v>
      </c>
      <c r="C30" s="132" t="s">
        <v>1453</v>
      </c>
      <c r="D30" s="134" t="s">
        <v>1002</v>
      </c>
      <c r="E30" s="8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D30" s="58" t="s">
        <v>1157</v>
      </c>
      <c r="AE30" s="58" t="s">
        <v>1158</v>
      </c>
      <c r="AF30" s="75" t="s">
        <v>1159</v>
      </c>
      <c r="AG30" s="59" t="s">
        <v>1007</v>
      </c>
      <c r="AH30" s="59" t="s">
        <v>1002</v>
      </c>
      <c r="AJ30" s="105" t="s">
        <v>1453</v>
      </c>
      <c r="AK30" s="106" t="s">
        <v>2243</v>
      </c>
      <c r="AL30" s="107" t="s">
        <v>1002</v>
      </c>
      <c r="AM30" s="108">
        <v>634</v>
      </c>
    </row>
    <row r="31" spans="1:39" ht="23.1" customHeight="1" x14ac:dyDescent="0.25">
      <c r="A31" s="141">
        <v>22</v>
      </c>
      <c r="B31" s="132" t="s">
        <v>2131</v>
      </c>
      <c r="C31" s="132" t="s">
        <v>1848</v>
      </c>
      <c r="D31" s="134" t="s">
        <v>1001</v>
      </c>
      <c r="E31" s="8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D31" s="41">
        <v>93601353</v>
      </c>
      <c r="AE31" s="41" t="s">
        <v>1221</v>
      </c>
      <c r="AF31" s="41" t="s">
        <v>1222</v>
      </c>
      <c r="AG31" s="59" t="s">
        <v>1007</v>
      </c>
      <c r="AH31" s="59" t="s">
        <v>1002</v>
      </c>
      <c r="AJ31" s="105" t="s">
        <v>1848</v>
      </c>
      <c r="AK31" s="106" t="s">
        <v>2239</v>
      </c>
      <c r="AL31" s="107" t="s">
        <v>1002</v>
      </c>
      <c r="AM31" s="108">
        <v>682</v>
      </c>
    </row>
    <row r="32" spans="1:39" ht="23.1" customHeight="1" x14ac:dyDescent="0.25">
      <c r="A32" s="141">
        <v>23</v>
      </c>
      <c r="B32" s="132" t="s">
        <v>2219</v>
      </c>
      <c r="C32" s="132" t="s">
        <v>2220</v>
      </c>
      <c r="D32" s="134" t="s">
        <v>1001</v>
      </c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D32" s="58" t="s">
        <v>1172</v>
      </c>
      <c r="AE32" s="58" t="s">
        <v>1173</v>
      </c>
      <c r="AF32" s="75" t="s">
        <v>1174</v>
      </c>
      <c r="AG32" s="59" t="s">
        <v>1007</v>
      </c>
      <c r="AH32" s="59" t="s">
        <v>1002</v>
      </c>
      <c r="AJ32" s="115" t="s">
        <v>2220</v>
      </c>
      <c r="AK32" s="116" t="s">
        <v>2249</v>
      </c>
      <c r="AL32" s="107" t="s">
        <v>1001</v>
      </c>
      <c r="AM32" s="108">
        <v>634</v>
      </c>
    </row>
    <row r="33" spans="1:39" ht="23.1" customHeight="1" x14ac:dyDescent="0.25">
      <c r="A33" s="141">
        <v>24</v>
      </c>
      <c r="B33" s="132" t="s">
        <v>1985</v>
      </c>
      <c r="C33" s="132" t="s">
        <v>1281</v>
      </c>
      <c r="D33" s="134" t="s">
        <v>1002</v>
      </c>
      <c r="E33" s="8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D33" s="58" t="s">
        <v>1172</v>
      </c>
      <c r="AE33" s="58" t="s">
        <v>1173</v>
      </c>
      <c r="AF33" s="75" t="s">
        <v>1174</v>
      </c>
      <c r="AG33" s="59" t="s">
        <v>1007</v>
      </c>
      <c r="AH33" s="59" t="s">
        <v>1002</v>
      </c>
      <c r="AJ33" s="105" t="s">
        <v>1281</v>
      </c>
      <c r="AK33" s="106" t="s">
        <v>2242</v>
      </c>
      <c r="AL33" s="117" t="s">
        <v>1001</v>
      </c>
      <c r="AM33" s="118">
        <v>670</v>
      </c>
    </row>
    <row r="34" spans="1:39" ht="23.1" customHeight="1" x14ac:dyDescent="0.25">
      <c r="A34" s="141">
        <v>25</v>
      </c>
      <c r="B34" s="132" t="s">
        <v>2168</v>
      </c>
      <c r="C34" s="132" t="s">
        <v>1837</v>
      </c>
      <c r="D34" s="134" t="s">
        <v>1001</v>
      </c>
      <c r="E34" s="8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D34" s="60" t="s">
        <v>1205</v>
      </c>
      <c r="AE34" s="60" t="s">
        <v>1206</v>
      </c>
      <c r="AF34" s="65">
        <v>87.19</v>
      </c>
      <c r="AG34" s="59" t="s">
        <v>1007</v>
      </c>
      <c r="AH34" s="59" t="s">
        <v>1002</v>
      </c>
      <c r="AJ34" s="105" t="s">
        <v>1837</v>
      </c>
      <c r="AK34" s="106" t="s">
        <v>2243</v>
      </c>
      <c r="AL34" s="107" t="s">
        <v>1002</v>
      </c>
      <c r="AM34" s="108">
        <v>647</v>
      </c>
    </row>
    <row r="35" spans="1:39" ht="23.1" customHeight="1" x14ac:dyDescent="0.25">
      <c r="A35" s="141">
        <v>26</v>
      </c>
      <c r="B35" s="132" t="s">
        <v>1871</v>
      </c>
      <c r="C35" s="132" t="s">
        <v>1132</v>
      </c>
      <c r="D35" s="134" t="s">
        <v>1001</v>
      </c>
      <c r="E35" s="8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D35" s="41">
        <v>91509133</v>
      </c>
      <c r="AE35" s="41" t="s">
        <v>1227</v>
      </c>
      <c r="AF35" s="41" t="s">
        <v>1228</v>
      </c>
      <c r="AG35" s="59" t="s">
        <v>1007</v>
      </c>
      <c r="AH35" s="59" t="s">
        <v>1002</v>
      </c>
      <c r="AJ35" s="105" t="s">
        <v>1132</v>
      </c>
      <c r="AK35" s="106" t="s">
        <v>2237</v>
      </c>
      <c r="AL35" s="107" t="s">
        <v>1001</v>
      </c>
      <c r="AM35" s="108">
        <v>631</v>
      </c>
    </row>
    <row r="36" spans="1:39" ht="23.1" customHeight="1" x14ac:dyDescent="0.25">
      <c r="A36" s="141">
        <v>27</v>
      </c>
      <c r="B36" s="132" t="s">
        <v>2034</v>
      </c>
      <c r="C36" s="132" t="s">
        <v>1608</v>
      </c>
      <c r="D36" s="134" t="s">
        <v>1002</v>
      </c>
      <c r="E36" s="8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D36" s="58" t="s">
        <v>1160</v>
      </c>
      <c r="AE36" s="58" t="s">
        <v>1161</v>
      </c>
      <c r="AF36" s="75" t="s">
        <v>1162</v>
      </c>
      <c r="AG36" s="59" t="s">
        <v>1007</v>
      </c>
      <c r="AH36" s="59" t="s">
        <v>1001</v>
      </c>
      <c r="AJ36" s="105" t="s">
        <v>1608</v>
      </c>
      <c r="AK36" s="106" t="s">
        <v>2241</v>
      </c>
      <c r="AL36" s="107" t="s">
        <v>1001</v>
      </c>
      <c r="AM36" s="108">
        <v>693</v>
      </c>
    </row>
    <row r="37" spans="1:39" ht="23.1" customHeight="1" x14ac:dyDescent="0.25">
      <c r="A37" s="141">
        <v>28</v>
      </c>
      <c r="B37" s="132" t="s">
        <v>2289</v>
      </c>
      <c r="C37" s="132" t="s">
        <v>1648</v>
      </c>
      <c r="D37" s="134" t="s">
        <v>1002</v>
      </c>
      <c r="E37" s="8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D37" s="58" t="s">
        <v>1154</v>
      </c>
      <c r="AE37" s="58" t="s">
        <v>1155</v>
      </c>
      <c r="AF37" s="75" t="s">
        <v>1156</v>
      </c>
      <c r="AG37" s="59" t="s">
        <v>1007</v>
      </c>
      <c r="AH37" s="59" t="s">
        <v>1002</v>
      </c>
      <c r="AM37" s="108">
        <v>650</v>
      </c>
    </row>
    <row r="38" spans="1:39" ht="23.1" customHeight="1" x14ac:dyDescent="0.25">
      <c r="A38" s="141">
        <v>29</v>
      </c>
      <c r="B38" s="132" t="s">
        <v>2069</v>
      </c>
      <c r="C38" s="132" t="s">
        <v>1826</v>
      </c>
      <c r="D38" s="134" t="s">
        <v>1002</v>
      </c>
      <c r="E38" s="8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D38" s="58" t="s">
        <v>1169</v>
      </c>
      <c r="AE38" s="58" t="s">
        <v>1170</v>
      </c>
      <c r="AF38" s="75" t="s">
        <v>1171</v>
      </c>
      <c r="AG38" s="59" t="s">
        <v>1007</v>
      </c>
      <c r="AH38" s="59" t="s">
        <v>1001</v>
      </c>
      <c r="AJ38" s="105" t="s">
        <v>1826</v>
      </c>
      <c r="AK38" s="106" t="s">
        <v>2238</v>
      </c>
      <c r="AL38" s="111" t="s">
        <v>1002</v>
      </c>
      <c r="AM38" s="112">
        <v>641</v>
      </c>
    </row>
    <row r="39" spans="1:39" ht="23.1" customHeight="1" x14ac:dyDescent="0.25">
      <c r="A39" s="141">
        <v>30</v>
      </c>
      <c r="B39" s="132" t="s">
        <v>2203</v>
      </c>
      <c r="C39" s="132" t="s">
        <v>1497</v>
      </c>
      <c r="D39" s="134" t="s">
        <v>1002</v>
      </c>
      <c r="E39" s="8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D39" s="60" t="s">
        <v>1198</v>
      </c>
      <c r="AE39" s="60" t="s">
        <v>1199</v>
      </c>
      <c r="AF39" s="65">
        <v>88.46</v>
      </c>
      <c r="AG39" s="59" t="s">
        <v>1007</v>
      </c>
      <c r="AH39" s="59" t="s">
        <v>1001</v>
      </c>
      <c r="AJ39" s="105" t="s">
        <v>1497</v>
      </c>
      <c r="AK39" s="106" t="s">
        <v>2249</v>
      </c>
      <c r="AL39" s="107" t="s">
        <v>1002</v>
      </c>
      <c r="AM39" s="108">
        <v>647</v>
      </c>
    </row>
    <row r="40" spans="1:39" ht="23.1" customHeight="1" x14ac:dyDescent="0.25">
      <c r="A40" s="141">
        <v>31</v>
      </c>
      <c r="B40" s="132" t="s">
        <v>2105</v>
      </c>
      <c r="C40" s="132" t="s">
        <v>1712</v>
      </c>
      <c r="D40" s="134" t="s">
        <v>1002</v>
      </c>
      <c r="E40" s="8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D40" s="42">
        <v>98500710</v>
      </c>
      <c r="AE40" s="42" t="s">
        <v>1216</v>
      </c>
      <c r="AF40" s="42" t="s">
        <v>1103</v>
      </c>
      <c r="AG40" s="59" t="s">
        <v>1007</v>
      </c>
      <c r="AH40" s="59" t="s">
        <v>1001</v>
      </c>
      <c r="AJ40" s="105" t="s">
        <v>1712</v>
      </c>
      <c r="AK40" s="106" t="s">
        <v>2246</v>
      </c>
      <c r="AL40" s="107" t="s">
        <v>1002</v>
      </c>
      <c r="AM40" s="108">
        <v>647</v>
      </c>
    </row>
    <row r="41" spans="1:39" ht="23.1" customHeight="1" x14ac:dyDescent="0.25">
      <c r="A41" s="141">
        <v>32</v>
      </c>
      <c r="B41" s="147" t="s">
        <v>2106</v>
      </c>
      <c r="C41" s="147" t="s">
        <v>2250</v>
      </c>
      <c r="D41" s="134" t="s">
        <v>1002</v>
      </c>
      <c r="E41" s="8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D41" s="59" t="s">
        <v>1193</v>
      </c>
      <c r="AE41" s="59" t="s">
        <v>1194</v>
      </c>
      <c r="AF41" s="75" t="s">
        <v>1195</v>
      </c>
      <c r="AG41" s="59" t="s">
        <v>1007</v>
      </c>
      <c r="AH41" s="59" t="s">
        <v>1002</v>
      </c>
      <c r="AJ41" s="105" t="s">
        <v>2250</v>
      </c>
      <c r="AK41" s="106" t="s">
        <v>2246</v>
      </c>
      <c r="AL41" s="107" t="s">
        <v>1002</v>
      </c>
      <c r="AM41" s="108">
        <v>675</v>
      </c>
    </row>
    <row r="42" spans="1:39" ht="23.1" customHeight="1" x14ac:dyDescent="0.25">
      <c r="A42" s="141">
        <v>33</v>
      </c>
      <c r="B42" s="132" t="s">
        <v>1886</v>
      </c>
      <c r="C42" s="132" t="s">
        <v>1119</v>
      </c>
      <c r="D42" s="134" t="s">
        <v>1001</v>
      </c>
      <c r="E42" s="8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D42" s="58" t="s">
        <v>1191</v>
      </c>
      <c r="AE42" s="58" t="s">
        <v>1192</v>
      </c>
      <c r="AF42" s="75" t="s">
        <v>1114</v>
      </c>
      <c r="AG42" s="59" t="s">
        <v>1007</v>
      </c>
      <c r="AH42" s="59" t="s">
        <v>1001</v>
      </c>
      <c r="AJ42" s="105" t="s">
        <v>1119</v>
      </c>
      <c r="AK42" s="106" t="s">
        <v>2237</v>
      </c>
      <c r="AL42" s="107" t="s">
        <v>1001</v>
      </c>
      <c r="AM42" s="108">
        <v>645</v>
      </c>
    </row>
    <row r="43" spans="1:39" ht="23.1" customHeight="1" x14ac:dyDescent="0.25">
      <c r="A43" s="141">
        <v>34</v>
      </c>
      <c r="B43" s="132" t="s">
        <v>2041</v>
      </c>
      <c r="C43" s="132" t="s">
        <v>1624</v>
      </c>
      <c r="D43" s="134" t="s">
        <v>1002</v>
      </c>
      <c r="E43" s="8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D43" s="42">
        <v>93167720</v>
      </c>
      <c r="AE43" s="42" t="s">
        <v>1214</v>
      </c>
      <c r="AF43" s="42" t="s">
        <v>1215</v>
      </c>
      <c r="AG43" s="59" t="s">
        <v>1007</v>
      </c>
      <c r="AH43" s="59" t="s">
        <v>1001</v>
      </c>
      <c r="AJ43" s="105" t="s">
        <v>1624</v>
      </c>
      <c r="AK43" s="106" t="s">
        <v>2241</v>
      </c>
      <c r="AL43" s="107" t="s">
        <v>1002</v>
      </c>
      <c r="AM43" s="108">
        <v>649</v>
      </c>
    </row>
    <row r="44" spans="1:39" ht="23.1" customHeight="1" x14ac:dyDescent="0.25">
      <c r="A44" s="141">
        <v>35</v>
      </c>
      <c r="B44" s="132" t="s">
        <v>1890</v>
      </c>
      <c r="C44" s="132" t="s">
        <v>1134</v>
      </c>
      <c r="D44" s="134" t="s">
        <v>1002</v>
      </c>
      <c r="E44" s="8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D44" s="42">
        <v>96046595</v>
      </c>
      <c r="AE44" s="42" t="s">
        <v>1217</v>
      </c>
      <c r="AF44" s="42" t="s">
        <v>1218</v>
      </c>
      <c r="AG44" s="59" t="s">
        <v>1007</v>
      </c>
      <c r="AH44" s="59" t="s">
        <v>1002</v>
      </c>
      <c r="AJ44" s="105" t="s">
        <v>1134</v>
      </c>
      <c r="AK44" s="106" t="s">
        <v>2237</v>
      </c>
      <c r="AL44" s="107" t="s">
        <v>1002</v>
      </c>
      <c r="AM44" s="108">
        <v>643</v>
      </c>
    </row>
    <row r="45" spans="1:39" ht="23.1" customHeight="1" x14ac:dyDescent="0.25">
      <c r="A45" s="141">
        <v>36</v>
      </c>
      <c r="B45" s="132" t="s">
        <v>2002</v>
      </c>
      <c r="C45" s="132" t="s">
        <v>2003</v>
      </c>
      <c r="D45" s="134" t="s">
        <v>1002</v>
      </c>
      <c r="E45" s="8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D45" s="42"/>
      <c r="AE45" s="42"/>
      <c r="AF45" s="42"/>
      <c r="AG45" s="59"/>
      <c r="AH45" s="59"/>
      <c r="AJ45" s="105" t="s">
        <v>2003</v>
      </c>
      <c r="AK45" s="106" t="s">
        <v>2242</v>
      </c>
      <c r="AL45" s="107" t="s">
        <v>1002</v>
      </c>
      <c r="AM45" s="108">
        <v>656</v>
      </c>
    </row>
    <row r="46" spans="1:39" ht="23.1" customHeight="1" x14ac:dyDescent="0.25">
      <c r="A46" s="143"/>
      <c r="B46" s="169" t="s">
        <v>997</v>
      </c>
      <c r="C46" s="145" t="s">
        <v>999</v>
      </c>
      <c r="D46" s="143">
        <f>COUNTIFS($D$10:$D$45,"L")</f>
        <v>12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D46" s="60" t="s">
        <v>1211</v>
      </c>
      <c r="AE46" s="60" t="s">
        <v>1212</v>
      </c>
      <c r="AF46" s="65">
        <v>86.58</v>
      </c>
      <c r="AG46" s="59" t="s">
        <v>1007</v>
      </c>
      <c r="AH46" s="59" t="s">
        <v>1002</v>
      </c>
    </row>
    <row r="47" spans="1:39" ht="21.95" customHeight="1" x14ac:dyDescent="0.25">
      <c r="A47" s="100"/>
      <c r="B47" s="170" t="s">
        <v>998</v>
      </c>
      <c r="C47" s="137" t="s">
        <v>1000</v>
      </c>
      <c r="D47" s="100">
        <f>COUNTIFS($D$10:$D$45,"P")</f>
        <v>24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D47" s="60" t="s">
        <v>1209</v>
      </c>
      <c r="AE47" s="60" t="s">
        <v>1210</v>
      </c>
      <c r="AF47" s="65">
        <v>86.7</v>
      </c>
      <c r="AG47" s="59" t="s">
        <v>1007</v>
      </c>
      <c r="AH47" s="59" t="s">
        <v>1002</v>
      </c>
    </row>
    <row r="48" spans="1:39" ht="21.95" customHeight="1" x14ac:dyDescent="0.25">
      <c r="A48" s="138"/>
      <c r="B48" s="139"/>
      <c r="C48" s="139"/>
      <c r="D48" s="138">
        <f>SUM(D46:D47)</f>
        <v>36</v>
      </c>
      <c r="AD48" s="58" t="s">
        <v>1166</v>
      </c>
      <c r="AE48" s="58" t="s">
        <v>1167</v>
      </c>
      <c r="AF48" s="75" t="s">
        <v>1168</v>
      </c>
      <c r="AG48" s="59" t="s">
        <v>1007</v>
      </c>
      <c r="AH48" s="59" t="s">
        <v>1001</v>
      </c>
    </row>
  </sheetData>
  <sortState xmlns:xlrd2="http://schemas.microsoft.com/office/spreadsheetml/2017/richdata2" ref="B10:D45">
    <sortCondition ref="C10:C45"/>
  </sortState>
  <mergeCells count="13">
    <mergeCell ref="A1:AB1"/>
    <mergeCell ref="A2:AB2"/>
    <mergeCell ref="A3:AB3"/>
    <mergeCell ref="A4:AB4"/>
    <mergeCell ref="A7:A9"/>
    <mergeCell ref="B7:B9"/>
    <mergeCell ref="D7:D9"/>
    <mergeCell ref="E7:G7"/>
    <mergeCell ref="H7:R7"/>
    <mergeCell ref="S7:T7"/>
    <mergeCell ref="U7:AB7"/>
    <mergeCell ref="C7:C9"/>
    <mergeCell ref="E8:AB8"/>
  </mergeCells>
  <conditionalFormatting sqref="AL10:AL36 AL38:AL45">
    <cfRule type="expression" dxfId="57" priority="1">
      <formula>AL10&lt;&gt;#REF!</formula>
    </cfRule>
  </conditionalFormatting>
  <pageMargins left="0.37" right="0.11811023622047245" top="0.55118110236220474" bottom="0.74803149606299213" header="0.31496062992125984" footer="0.31496062992125984"/>
  <pageSetup paperSize="9" scale="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H48"/>
  <sheetViews>
    <sheetView topLeftCell="A22" zoomScaleNormal="100" workbookViewId="0">
      <selection activeCell="B10" sqref="B10:D45"/>
    </sheetView>
  </sheetViews>
  <sheetFormatPr defaultRowHeight="15" x14ac:dyDescent="0.25"/>
  <cols>
    <col min="1" max="1" width="3.5703125" style="5" bestFit="1" customWidth="1"/>
    <col min="2" max="2" width="22.5703125" style="8" customWidth="1"/>
    <col min="3" max="3" width="37.7109375" style="8" customWidth="1"/>
    <col min="4" max="4" width="5.85546875" customWidth="1"/>
    <col min="5" max="28" width="2.7109375" customWidth="1"/>
    <col min="31" max="31" width="21.140625" customWidth="1"/>
    <col min="32" max="32" width="6.42578125" customWidth="1"/>
  </cols>
  <sheetData>
    <row r="1" spans="1:34" x14ac:dyDescent="0.25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</row>
    <row r="2" spans="1:34" x14ac:dyDescent="0.25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</row>
    <row r="3" spans="1:34" ht="27" customHeight="1" x14ac:dyDescent="0.25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</row>
    <row r="4" spans="1:34" ht="21" x14ac:dyDescent="0.35">
      <c r="A4" s="183" t="s">
        <v>2236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</row>
    <row r="5" spans="1:34" ht="26.25" x14ac:dyDescent="0.4">
      <c r="O5" s="90"/>
    </row>
    <row r="7" spans="1:34" x14ac:dyDescent="0.25">
      <c r="A7" s="192" t="s">
        <v>991</v>
      </c>
      <c r="B7" s="192" t="s">
        <v>2216</v>
      </c>
      <c r="C7" s="192" t="s">
        <v>993</v>
      </c>
      <c r="D7" s="201" t="s">
        <v>994</v>
      </c>
      <c r="E7" s="203" t="s">
        <v>995</v>
      </c>
      <c r="F7" s="204"/>
      <c r="G7" s="205"/>
      <c r="H7" s="206" t="s">
        <v>2300</v>
      </c>
      <c r="I7" s="207"/>
      <c r="J7" s="207"/>
      <c r="K7" s="207"/>
      <c r="L7" s="207"/>
      <c r="M7" s="207"/>
      <c r="N7" s="207"/>
      <c r="O7" s="207"/>
      <c r="P7" s="207"/>
      <c r="Q7" s="207"/>
      <c r="R7" s="208"/>
      <c r="S7" s="209" t="s">
        <v>996</v>
      </c>
      <c r="T7" s="209"/>
      <c r="U7" s="181" t="s">
        <v>1025</v>
      </c>
      <c r="V7" s="92"/>
      <c r="W7" s="92"/>
      <c r="X7" s="92"/>
      <c r="Y7" s="92"/>
      <c r="Z7" s="92"/>
      <c r="AA7" s="92"/>
      <c r="AB7" s="93"/>
    </row>
    <row r="8" spans="1:34" ht="15.75" customHeight="1" x14ac:dyDescent="0.25">
      <c r="A8" s="192"/>
      <c r="B8" s="192"/>
      <c r="C8" s="192"/>
      <c r="D8" s="201"/>
      <c r="E8" s="212" t="s">
        <v>2303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4"/>
    </row>
    <row r="9" spans="1:34" x14ac:dyDescent="0.25">
      <c r="A9" s="192"/>
      <c r="B9" s="192"/>
      <c r="C9" s="192"/>
      <c r="D9" s="201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94"/>
      <c r="V9" s="94"/>
      <c r="W9" s="94"/>
      <c r="X9" s="94"/>
      <c r="Y9" s="94"/>
      <c r="Z9" s="94"/>
      <c r="AA9" s="94"/>
      <c r="AB9" s="94"/>
    </row>
    <row r="10" spans="1:34" ht="23.1" customHeight="1" x14ac:dyDescent="0.25">
      <c r="A10" s="87">
        <v>1</v>
      </c>
      <c r="B10" s="132" t="s">
        <v>1854</v>
      </c>
      <c r="C10" s="132" t="s">
        <v>1780</v>
      </c>
      <c r="D10" s="134" t="s">
        <v>1002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D10" s="95">
        <v>1</v>
      </c>
      <c r="AE10" s="105" t="s">
        <v>1780</v>
      </c>
      <c r="AF10" s="106" t="s">
        <v>2237</v>
      </c>
      <c r="AG10" s="107" t="s">
        <v>1002</v>
      </c>
      <c r="AH10" s="108">
        <v>637</v>
      </c>
    </row>
    <row r="11" spans="1:34" ht="23.1" customHeight="1" x14ac:dyDescent="0.25">
      <c r="A11" s="87">
        <v>2</v>
      </c>
      <c r="B11" s="132" t="s">
        <v>2047</v>
      </c>
      <c r="C11" s="132" t="s">
        <v>1600</v>
      </c>
      <c r="D11" s="134" t="s">
        <v>1002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D11" s="95">
        <v>2</v>
      </c>
      <c r="AE11" s="105" t="s">
        <v>1600</v>
      </c>
      <c r="AF11" s="106" t="s">
        <v>2238</v>
      </c>
      <c r="AG11" s="107" t="s">
        <v>1002</v>
      </c>
      <c r="AH11" s="108">
        <v>650</v>
      </c>
    </row>
    <row r="12" spans="1:34" ht="23.1" customHeight="1" x14ac:dyDescent="0.25">
      <c r="A12" s="87">
        <v>3</v>
      </c>
      <c r="B12" s="132" t="s">
        <v>2117</v>
      </c>
      <c r="C12" s="132" t="s">
        <v>1425</v>
      </c>
      <c r="D12" s="134" t="s">
        <v>1001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D12" s="95">
        <v>3</v>
      </c>
      <c r="AE12" s="105" t="s">
        <v>1425</v>
      </c>
      <c r="AF12" s="106" t="s">
        <v>2239</v>
      </c>
      <c r="AG12" s="107" t="s">
        <v>1001</v>
      </c>
      <c r="AH12" s="108">
        <v>632</v>
      </c>
    </row>
    <row r="13" spans="1:34" ht="23.1" customHeight="1" x14ac:dyDescent="0.25">
      <c r="A13" s="87">
        <v>4</v>
      </c>
      <c r="B13" s="132" t="s">
        <v>1934</v>
      </c>
      <c r="C13" s="132" t="s">
        <v>1572</v>
      </c>
      <c r="D13" s="134" t="s">
        <v>1002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D13" s="95">
        <v>4</v>
      </c>
      <c r="AE13" s="105" t="s">
        <v>1572</v>
      </c>
      <c r="AF13" s="106" t="s">
        <v>2240</v>
      </c>
      <c r="AG13" s="107" t="s">
        <v>1773</v>
      </c>
      <c r="AH13" s="108">
        <v>643</v>
      </c>
    </row>
    <row r="14" spans="1:34" ht="23.1" customHeight="1" x14ac:dyDescent="0.25">
      <c r="A14" s="87">
        <v>5</v>
      </c>
      <c r="B14" s="132" t="s">
        <v>2120</v>
      </c>
      <c r="C14" s="132" t="s">
        <v>1566</v>
      </c>
      <c r="D14" s="134" t="s">
        <v>1002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D14" s="95">
        <v>5</v>
      </c>
      <c r="AE14" s="109" t="s">
        <v>1735</v>
      </c>
      <c r="AF14" s="110" t="s">
        <v>2239</v>
      </c>
      <c r="AG14" s="111" t="s">
        <v>1002</v>
      </c>
      <c r="AH14" s="112">
        <v>634</v>
      </c>
    </row>
    <row r="15" spans="1:34" ht="23.1" customHeight="1" x14ac:dyDescent="0.25">
      <c r="A15" s="87">
        <v>6</v>
      </c>
      <c r="B15" s="132" t="s">
        <v>2012</v>
      </c>
      <c r="C15" s="132" t="s">
        <v>1317</v>
      </c>
      <c r="D15" s="134" t="s">
        <v>1002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D15" s="95">
        <v>6</v>
      </c>
      <c r="AE15" s="109" t="s">
        <v>1566</v>
      </c>
      <c r="AF15" s="110" t="s">
        <v>2239</v>
      </c>
      <c r="AG15" s="111" t="s">
        <v>1002</v>
      </c>
      <c r="AH15" s="112">
        <v>630</v>
      </c>
    </row>
    <row r="16" spans="1:34" ht="23.1" customHeight="1" x14ac:dyDescent="0.25">
      <c r="A16" s="87">
        <v>7</v>
      </c>
      <c r="B16" s="132" t="s">
        <v>2123</v>
      </c>
      <c r="C16" s="132" t="s">
        <v>1835</v>
      </c>
      <c r="D16" s="134" t="s">
        <v>1002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D16" s="95">
        <v>7</v>
      </c>
      <c r="AE16" s="109" t="s">
        <v>1317</v>
      </c>
      <c r="AF16" s="110" t="s">
        <v>2241</v>
      </c>
      <c r="AG16" s="111" t="s">
        <v>1002</v>
      </c>
      <c r="AH16" s="112">
        <v>645</v>
      </c>
    </row>
    <row r="17" spans="1:34" ht="23.1" customHeight="1" x14ac:dyDescent="0.25">
      <c r="A17" s="87">
        <v>8</v>
      </c>
      <c r="B17" s="132" t="s">
        <v>1974</v>
      </c>
      <c r="C17" s="132" t="s">
        <v>1250</v>
      </c>
      <c r="D17" s="134" t="s">
        <v>1001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D17" s="95">
        <v>8</v>
      </c>
      <c r="AE17" s="105" t="s">
        <v>1835</v>
      </c>
      <c r="AF17" s="106" t="s">
        <v>2239</v>
      </c>
      <c r="AG17" s="107" t="s">
        <v>1002</v>
      </c>
      <c r="AH17" s="108">
        <v>679</v>
      </c>
    </row>
    <row r="18" spans="1:34" ht="23.1" customHeight="1" x14ac:dyDescent="0.25">
      <c r="A18" s="87">
        <v>9</v>
      </c>
      <c r="B18" s="132" t="s">
        <v>2154</v>
      </c>
      <c r="C18" s="132" t="s">
        <v>1548</v>
      </c>
      <c r="D18" s="134" t="s">
        <v>1001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D18" s="95">
        <v>9</v>
      </c>
      <c r="AE18" s="113" t="s">
        <v>1250</v>
      </c>
      <c r="AF18" s="106" t="s">
        <v>2242</v>
      </c>
      <c r="AG18" s="107" t="s">
        <v>1001</v>
      </c>
    </row>
    <row r="19" spans="1:34" ht="23.1" customHeight="1" x14ac:dyDescent="0.25">
      <c r="A19" s="87">
        <v>10</v>
      </c>
      <c r="B19" s="132" t="s">
        <v>1901</v>
      </c>
      <c r="C19" s="132" t="s">
        <v>2244</v>
      </c>
      <c r="D19" s="134" t="s">
        <v>1001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D19" s="95">
        <v>10</v>
      </c>
      <c r="AE19" s="105" t="s">
        <v>1548</v>
      </c>
      <c r="AF19" s="106" t="s">
        <v>2243</v>
      </c>
      <c r="AG19" s="107" t="s">
        <v>1001</v>
      </c>
      <c r="AH19" s="108">
        <v>634</v>
      </c>
    </row>
    <row r="20" spans="1:34" ht="23.1" customHeight="1" x14ac:dyDescent="0.25">
      <c r="A20" s="87">
        <v>11</v>
      </c>
      <c r="B20" s="132" t="s">
        <v>2093</v>
      </c>
      <c r="C20" s="132" t="s">
        <v>1823</v>
      </c>
      <c r="D20" s="134" t="s">
        <v>1002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D20" s="95">
        <v>11</v>
      </c>
      <c r="AE20" s="114" t="s">
        <v>2244</v>
      </c>
      <c r="AF20" s="106" t="s">
        <v>2245</v>
      </c>
      <c r="AG20" s="107" t="s">
        <v>1001</v>
      </c>
    </row>
    <row r="21" spans="1:34" ht="23.1" customHeight="1" x14ac:dyDescent="0.25">
      <c r="A21" s="87">
        <v>12</v>
      </c>
      <c r="B21" s="132" t="s">
        <v>2155</v>
      </c>
      <c r="C21" s="132" t="s">
        <v>1542</v>
      </c>
      <c r="D21" s="134" t="s">
        <v>1002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D21" s="95">
        <v>12</v>
      </c>
      <c r="AE21" s="105" t="s">
        <v>1823</v>
      </c>
      <c r="AF21" s="106" t="s">
        <v>2246</v>
      </c>
      <c r="AG21" s="107" t="s">
        <v>1002</v>
      </c>
      <c r="AH21" s="108">
        <v>628</v>
      </c>
    </row>
    <row r="22" spans="1:34" ht="23.1" customHeight="1" x14ac:dyDescent="0.25">
      <c r="A22" s="87">
        <v>13</v>
      </c>
      <c r="B22" s="132" t="s">
        <v>1979</v>
      </c>
      <c r="C22" s="132" t="s">
        <v>1631</v>
      </c>
      <c r="D22" s="134" t="s">
        <v>1002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D22" s="95">
        <v>13</v>
      </c>
      <c r="AE22" s="105" t="s">
        <v>1542</v>
      </c>
      <c r="AF22" s="106" t="s">
        <v>2243</v>
      </c>
      <c r="AG22" s="107" t="s">
        <v>1002</v>
      </c>
      <c r="AH22" s="108">
        <v>710</v>
      </c>
    </row>
    <row r="23" spans="1:34" ht="23.1" customHeight="1" x14ac:dyDescent="0.25">
      <c r="A23" s="87">
        <v>14</v>
      </c>
      <c r="B23" s="132" t="s">
        <v>2229</v>
      </c>
      <c r="C23" s="132" t="s">
        <v>2230</v>
      </c>
      <c r="D23" s="134" t="s">
        <v>1001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D23" s="95">
        <v>14</v>
      </c>
      <c r="AE23" s="105" t="s">
        <v>1631</v>
      </c>
      <c r="AF23" s="106" t="s">
        <v>2242</v>
      </c>
      <c r="AG23" s="107" t="s">
        <v>1002</v>
      </c>
      <c r="AH23" s="108">
        <v>645</v>
      </c>
    </row>
    <row r="24" spans="1:34" ht="23.1" customHeight="1" x14ac:dyDescent="0.25">
      <c r="A24" s="87">
        <v>15</v>
      </c>
      <c r="B24" s="132" t="s">
        <v>1981</v>
      </c>
      <c r="C24" s="132" t="s">
        <v>1633</v>
      </c>
      <c r="D24" s="134" t="s">
        <v>1001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D24" s="95">
        <v>15</v>
      </c>
      <c r="AE24" s="115" t="s">
        <v>2230</v>
      </c>
      <c r="AF24" s="116" t="s">
        <v>2243</v>
      </c>
      <c r="AG24" s="117" t="s">
        <v>1001</v>
      </c>
      <c r="AH24" s="118">
        <v>640</v>
      </c>
    </row>
    <row r="25" spans="1:34" ht="23.1" customHeight="1" x14ac:dyDescent="0.25">
      <c r="A25" s="87">
        <v>16</v>
      </c>
      <c r="B25" s="132" t="s">
        <v>2160</v>
      </c>
      <c r="C25" s="132" t="s">
        <v>1473</v>
      </c>
      <c r="D25" s="134" t="s">
        <v>1002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D25" s="95">
        <v>16</v>
      </c>
      <c r="AE25" s="105" t="s">
        <v>1633</v>
      </c>
      <c r="AF25" s="106" t="s">
        <v>2242</v>
      </c>
      <c r="AG25" s="107" t="s">
        <v>1002</v>
      </c>
      <c r="AH25" s="108">
        <v>702</v>
      </c>
    </row>
    <row r="26" spans="1:34" ht="23.1" customHeight="1" x14ac:dyDescent="0.25">
      <c r="A26" s="87">
        <v>17</v>
      </c>
      <c r="B26" s="132" t="s">
        <v>1982</v>
      </c>
      <c r="C26" s="132" t="s">
        <v>1660</v>
      </c>
      <c r="D26" s="134" t="s">
        <v>1002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D26" s="95">
        <v>17</v>
      </c>
      <c r="AE26" s="105" t="s">
        <v>1473</v>
      </c>
      <c r="AF26" s="106" t="s">
        <v>2243</v>
      </c>
      <c r="AG26" s="107" t="s">
        <v>1002</v>
      </c>
      <c r="AH26" s="108">
        <v>637</v>
      </c>
    </row>
    <row r="27" spans="1:34" ht="23.1" customHeight="1" x14ac:dyDescent="0.25">
      <c r="A27" s="87">
        <v>18</v>
      </c>
      <c r="B27" s="132" t="s">
        <v>1940</v>
      </c>
      <c r="C27" s="132" t="s">
        <v>1231</v>
      </c>
      <c r="D27" s="134" t="s">
        <v>1002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D27" s="95">
        <v>18</v>
      </c>
      <c r="AE27" s="105" t="s">
        <v>1660</v>
      </c>
      <c r="AF27" s="106" t="s">
        <v>2242</v>
      </c>
      <c r="AG27" s="107" t="s">
        <v>1002</v>
      </c>
      <c r="AH27" s="108">
        <v>647</v>
      </c>
    </row>
    <row r="28" spans="1:34" ht="23.1" customHeight="1" x14ac:dyDescent="0.25">
      <c r="A28" s="87">
        <v>19</v>
      </c>
      <c r="B28" s="132" t="s">
        <v>2134</v>
      </c>
      <c r="C28" s="132" t="s">
        <v>2135</v>
      </c>
      <c r="D28" s="134" t="s">
        <v>1001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D28" s="95">
        <v>19</v>
      </c>
      <c r="AE28" s="105" t="s">
        <v>1564</v>
      </c>
      <c r="AF28" s="106" t="s">
        <v>2239</v>
      </c>
      <c r="AG28" s="107" t="s">
        <v>1001</v>
      </c>
      <c r="AH28" s="108">
        <v>662</v>
      </c>
    </row>
    <row r="29" spans="1:34" ht="23.1" customHeight="1" x14ac:dyDescent="0.25">
      <c r="A29" s="87">
        <v>20</v>
      </c>
      <c r="B29" s="132" t="s">
        <v>2164</v>
      </c>
      <c r="C29" s="132" t="s">
        <v>2247</v>
      </c>
      <c r="D29" s="134" t="s">
        <v>1001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D29" s="95"/>
      <c r="AE29" s="105"/>
      <c r="AF29" s="106"/>
      <c r="AG29" s="107"/>
      <c r="AH29" s="108"/>
    </row>
    <row r="30" spans="1:34" ht="23.1" customHeight="1" x14ac:dyDescent="0.25">
      <c r="A30" s="87">
        <v>21</v>
      </c>
      <c r="B30" s="132" t="s">
        <v>1870</v>
      </c>
      <c r="C30" s="132" t="s">
        <v>1136</v>
      </c>
      <c r="D30" s="134" t="s">
        <v>1001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D30" s="95">
        <v>21</v>
      </c>
      <c r="AE30" s="105" t="s">
        <v>2135</v>
      </c>
      <c r="AF30" s="106" t="s">
        <v>2239</v>
      </c>
      <c r="AG30" s="107" t="s">
        <v>1001</v>
      </c>
      <c r="AH30" s="108">
        <v>636</v>
      </c>
    </row>
    <row r="31" spans="1:34" ht="23.1" customHeight="1" x14ac:dyDescent="0.25">
      <c r="A31" s="87">
        <v>22</v>
      </c>
      <c r="B31" s="132" t="s">
        <v>2066</v>
      </c>
      <c r="C31" s="132" t="s">
        <v>1594</v>
      </c>
      <c r="D31" s="134" t="s">
        <v>1001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D31" s="95">
        <v>22</v>
      </c>
      <c r="AE31" s="105" t="s">
        <v>2247</v>
      </c>
      <c r="AF31" s="106" t="s">
        <v>2243</v>
      </c>
      <c r="AG31" s="107" t="s">
        <v>1001</v>
      </c>
      <c r="AH31" s="108">
        <v>728</v>
      </c>
    </row>
    <row r="32" spans="1:34" ht="23.1" customHeight="1" x14ac:dyDescent="0.25">
      <c r="A32" s="87">
        <v>23</v>
      </c>
      <c r="B32" s="132" t="s">
        <v>1910</v>
      </c>
      <c r="C32" s="132" t="s">
        <v>1178</v>
      </c>
      <c r="D32" s="134" t="s">
        <v>1002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D32" s="95">
        <v>23</v>
      </c>
      <c r="AE32" s="105" t="s">
        <v>1136</v>
      </c>
      <c r="AF32" s="106" t="s">
        <v>2237</v>
      </c>
      <c r="AG32" s="107" t="s">
        <v>1001</v>
      </c>
      <c r="AH32" s="108">
        <v>641</v>
      </c>
    </row>
    <row r="33" spans="1:34" ht="23.1" customHeight="1" x14ac:dyDescent="0.25">
      <c r="A33" s="87">
        <v>24</v>
      </c>
      <c r="B33" s="132" t="s">
        <v>2202</v>
      </c>
      <c r="C33" s="132" t="s">
        <v>1532</v>
      </c>
      <c r="D33" s="134" t="s">
        <v>1002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D33" s="95">
        <v>24</v>
      </c>
      <c r="AE33" s="105" t="s">
        <v>1594</v>
      </c>
      <c r="AF33" s="106" t="s">
        <v>2238</v>
      </c>
      <c r="AG33" s="107" t="s">
        <v>1001</v>
      </c>
      <c r="AH33" s="108">
        <v>669</v>
      </c>
    </row>
    <row r="34" spans="1:34" ht="23.1" customHeight="1" x14ac:dyDescent="0.25">
      <c r="A34" s="87">
        <v>25</v>
      </c>
      <c r="B34" s="132" t="s">
        <v>2233</v>
      </c>
      <c r="C34" s="132" t="s">
        <v>2234</v>
      </c>
      <c r="D34" s="134" t="s">
        <v>1002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D34" s="95">
        <v>25</v>
      </c>
      <c r="AE34" s="105" t="s">
        <v>1178</v>
      </c>
      <c r="AF34" s="106" t="s">
        <v>2245</v>
      </c>
      <c r="AG34" s="107" t="s">
        <v>1002</v>
      </c>
      <c r="AH34" s="108">
        <v>682</v>
      </c>
    </row>
    <row r="35" spans="1:34" ht="23.1" customHeight="1" x14ac:dyDescent="0.25">
      <c r="A35" s="87">
        <v>26</v>
      </c>
      <c r="B35" s="132" t="s">
        <v>2139</v>
      </c>
      <c r="C35" s="132" t="s">
        <v>1568</v>
      </c>
      <c r="D35" s="134" t="s">
        <v>1002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D35" s="95">
        <v>26</v>
      </c>
      <c r="AE35" s="115" t="s">
        <v>2234</v>
      </c>
      <c r="AF35" s="116" t="s">
        <v>2239</v>
      </c>
      <c r="AG35" s="117" t="s">
        <v>1002</v>
      </c>
      <c r="AH35" s="118">
        <v>676</v>
      </c>
    </row>
    <row r="36" spans="1:34" ht="23.1" customHeight="1" x14ac:dyDescent="0.25">
      <c r="A36" s="87">
        <v>27</v>
      </c>
      <c r="B36" s="132" t="s">
        <v>1915</v>
      </c>
      <c r="C36" s="132" t="s">
        <v>1834</v>
      </c>
      <c r="D36" s="134" t="s">
        <v>1002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D36" s="95">
        <v>27</v>
      </c>
      <c r="AE36" s="105" t="s">
        <v>1568</v>
      </c>
      <c r="AF36" s="106" t="s">
        <v>2239</v>
      </c>
      <c r="AG36" s="107" t="s">
        <v>1002</v>
      </c>
      <c r="AH36" s="108">
        <v>626</v>
      </c>
    </row>
    <row r="37" spans="1:34" ht="23.1" customHeight="1" x14ac:dyDescent="0.25">
      <c r="A37" s="87">
        <v>28</v>
      </c>
      <c r="B37" s="132" t="s">
        <v>1916</v>
      </c>
      <c r="C37" s="132" t="s">
        <v>1161</v>
      </c>
      <c r="D37" s="134" t="s">
        <v>1001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D37" s="95">
        <v>28</v>
      </c>
      <c r="AE37" s="105" t="s">
        <v>1834</v>
      </c>
      <c r="AF37" s="106" t="s">
        <v>2245</v>
      </c>
      <c r="AG37" s="107" t="s">
        <v>1002</v>
      </c>
      <c r="AH37" s="108">
        <v>646</v>
      </c>
    </row>
    <row r="38" spans="1:34" ht="23.1" customHeight="1" x14ac:dyDescent="0.25">
      <c r="A38" s="87">
        <v>29</v>
      </c>
      <c r="B38" s="132" t="s">
        <v>1917</v>
      </c>
      <c r="C38" s="132" t="s">
        <v>1155</v>
      </c>
      <c r="D38" s="134" t="s">
        <v>1002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D38" s="95">
        <v>29</v>
      </c>
      <c r="AE38" s="105" t="s">
        <v>1161</v>
      </c>
      <c r="AF38" s="106" t="s">
        <v>2245</v>
      </c>
      <c r="AG38" s="107" t="s">
        <v>1001</v>
      </c>
      <c r="AH38" s="108">
        <v>643</v>
      </c>
    </row>
    <row r="39" spans="1:34" ht="23.1" customHeight="1" x14ac:dyDescent="0.25">
      <c r="A39" s="87">
        <v>30</v>
      </c>
      <c r="B39" s="147" t="s">
        <v>2107</v>
      </c>
      <c r="C39" s="147" t="s">
        <v>1824</v>
      </c>
      <c r="D39" s="134" t="s">
        <v>1001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D39" s="95">
        <v>30</v>
      </c>
      <c r="AE39" s="105" t="s">
        <v>1155</v>
      </c>
      <c r="AF39" s="106" t="s">
        <v>2245</v>
      </c>
      <c r="AG39" s="107" t="s">
        <v>1002</v>
      </c>
      <c r="AH39" s="108">
        <v>714</v>
      </c>
    </row>
    <row r="40" spans="1:34" ht="23.1" customHeight="1" x14ac:dyDescent="0.25">
      <c r="A40" s="87">
        <v>31</v>
      </c>
      <c r="B40" s="132" t="s">
        <v>2038</v>
      </c>
      <c r="C40" s="132" t="s">
        <v>1290</v>
      </c>
      <c r="D40" s="134" t="s">
        <v>1002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D40" s="95">
        <v>31</v>
      </c>
      <c r="AE40" s="105" t="s">
        <v>1824</v>
      </c>
      <c r="AF40" s="106" t="s">
        <v>2246</v>
      </c>
      <c r="AG40" s="107" t="s">
        <v>1001</v>
      </c>
      <c r="AH40" s="108">
        <v>629</v>
      </c>
    </row>
    <row r="41" spans="1:34" ht="23.1" customHeight="1" x14ac:dyDescent="0.25">
      <c r="A41" s="87">
        <v>32</v>
      </c>
      <c r="B41" s="132" t="s">
        <v>1958</v>
      </c>
      <c r="C41" s="132" t="s">
        <v>1645</v>
      </c>
      <c r="D41" s="134" t="s">
        <v>1002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D41" s="95">
        <v>32</v>
      </c>
      <c r="AE41" s="105" t="s">
        <v>1290</v>
      </c>
      <c r="AF41" s="106" t="s">
        <v>2241</v>
      </c>
      <c r="AG41" s="107" t="s">
        <v>1002</v>
      </c>
      <c r="AH41" s="108">
        <v>693</v>
      </c>
    </row>
    <row r="42" spans="1:34" ht="23.1" customHeight="1" x14ac:dyDescent="0.25">
      <c r="A42" s="87">
        <v>33</v>
      </c>
      <c r="B42" s="132" t="s">
        <v>2177</v>
      </c>
      <c r="C42" s="132" t="s">
        <v>1763</v>
      </c>
      <c r="D42" s="134" t="s">
        <v>1002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D42" s="95">
        <v>33</v>
      </c>
      <c r="AE42" s="105" t="s">
        <v>1763</v>
      </c>
      <c r="AF42" s="106" t="s">
        <v>2243</v>
      </c>
      <c r="AG42" s="107" t="s">
        <v>1002</v>
      </c>
      <c r="AH42" s="108">
        <v>649</v>
      </c>
    </row>
    <row r="43" spans="1:34" ht="23.1" customHeight="1" x14ac:dyDescent="0.25">
      <c r="A43" s="87">
        <v>34</v>
      </c>
      <c r="B43" s="132" t="s">
        <v>2001</v>
      </c>
      <c r="C43" s="132" t="s">
        <v>1638</v>
      </c>
      <c r="D43" s="134" t="s">
        <v>1002</v>
      </c>
      <c r="E43" s="8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D43" s="95">
        <v>34</v>
      </c>
      <c r="AE43" s="105" t="s">
        <v>1638</v>
      </c>
      <c r="AF43" s="106" t="s">
        <v>2242</v>
      </c>
      <c r="AG43" s="107" t="s">
        <v>1002</v>
      </c>
      <c r="AH43" s="108">
        <v>637</v>
      </c>
    </row>
    <row r="44" spans="1:34" ht="23.1" customHeight="1" x14ac:dyDescent="0.25">
      <c r="A44" s="87">
        <v>35</v>
      </c>
      <c r="B44" s="132" t="s">
        <v>2079</v>
      </c>
      <c r="C44" s="132" t="s">
        <v>1365</v>
      </c>
      <c r="D44" s="134" t="s">
        <v>1002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D44" s="95">
        <v>35</v>
      </c>
      <c r="AE44" s="119" t="s">
        <v>1365</v>
      </c>
      <c r="AF44" s="120" t="s">
        <v>2238</v>
      </c>
      <c r="AG44" s="111" t="s">
        <v>1002</v>
      </c>
      <c r="AH44" s="112">
        <v>631</v>
      </c>
    </row>
    <row r="45" spans="1:34" ht="23.1" customHeight="1" x14ac:dyDescent="0.25">
      <c r="A45" s="87">
        <v>36</v>
      </c>
      <c r="B45" s="132" t="s">
        <v>1965</v>
      </c>
      <c r="C45" s="132" t="s">
        <v>1833</v>
      </c>
      <c r="D45" s="134" t="s">
        <v>1002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D45" s="95">
        <v>36</v>
      </c>
      <c r="AE45" s="121" t="s">
        <v>1833</v>
      </c>
      <c r="AF45" s="122" t="s">
        <v>2240</v>
      </c>
      <c r="AG45" s="107" t="s">
        <v>1002</v>
      </c>
      <c r="AH45" s="108">
        <v>666</v>
      </c>
    </row>
    <row r="46" spans="1:34" ht="23.1" customHeight="1" x14ac:dyDescent="0.25">
      <c r="A46" s="215" t="s">
        <v>997</v>
      </c>
      <c r="B46" s="216"/>
      <c r="C46" s="150" t="s">
        <v>999</v>
      </c>
      <c r="D46" s="142">
        <f>COUNTIFS($D$10:$D$45,"L")</f>
        <v>12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34" ht="21.95" customHeight="1" x14ac:dyDescent="0.25">
      <c r="A47" s="215" t="s">
        <v>998</v>
      </c>
      <c r="B47" s="216"/>
      <c r="C47" s="150" t="s">
        <v>1000</v>
      </c>
      <c r="D47" s="142">
        <f>COUNTIFS($D$10:$D$45,"P")</f>
        <v>24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34" ht="21.95" customHeight="1" x14ac:dyDescent="0.25">
      <c r="A48" s="151"/>
      <c r="B48" s="152"/>
      <c r="C48" s="152"/>
      <c r="D48" s="152">
        <f>SUM(D46:D47)</f>
        <v>36</v>
      </c>
    </row>
  </sheetData>
  <sortState xmlns:xlrd2="http://schemas.microsoft.com/office/spreadsheetml/2017/richdata2" ref="B10:D45">
    <sortCondition ref="C10:C45"/>
  </sortState>
  <mergeCells count="14">
    <mergeCell ref="A47:B47"/>
    <mergeCell ref="S7:T7"/>
    <mergeCell ref="A46:B46"/>
    <mergeCell ref="A1:AB1"/>
    <mergeCell ref="A2:AB2"/>
    <mergeCell ref="A3:AB3"/>
    <mergeCell ref="A4:AB4"/>
    <mergeCell ref="A7:A9"/>
    <mergeCell ref="B7:B9"/>
    <mergeCell ref="D7:D9"/>
    <mergeCell ref="E7:G7"/>
    <mergeCell ref="H7:R7"/>
    <mergeCell ref="C7:C9"/>
    <mergeCell ref="E8:AB8"/>
  </mergeCells>
  <conditionalFormatting sqref="AF10:AF45">
    <cfRule type="expression" dxfId="56" priority="6">
      <formula>AF10&lt;&gt;#REF!</formula>
    </cfRule>
  </conditionalFormatting>
  <pageMargins left="0.36" right="0.11811023622047245" top="0.55118110236220474" bottom="0.74803149606299213" header="0.31496062992125984" footer="0.31496062992125984"/>
  <pageSetup paperSize="9" scale="72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49"/>
  <sheetViews>
    <sheetView topLeftCell="A28" zoomScale="112" zoomScaleNormal="112" workbookViewId="0">
      <selection activeCell="B10" sqref="B10:D45"/>
    </sheetView>
  </sheetViews>
  <sheetFormatPr defaultRowHeight="15" x14ac:dyDescent="0.25"/>
  <cols>
    <col min="1" max="1" width="3.85546875" style="5" bestFit="1" customWidth="1"/>
    <col min="2" max="2" width="22.42578125" style="8" customWidth="1"/>
    <col min="3" max="3" width="38.85546875" style="8" customWidth="1"/>
    <col min="4" max="4" width="5.85546875" customWidth="1"/>
    <col min="5" max="28" width="2.7109375" customWidth="1"/>
    <col min="29" max="29" width="15" hidden="1" customWidth="1"/>
    <col min="30" max="30" width="14.42578125" hidden="1" customWidth="1"/>
    <col min="31" max="31" width="27.85546875" hidden="1" customWidth="1"/>
    <col min="32" max="32" width="11" hidden="1" customWidth="1"/>
    <col min="33" max="33" width="7.7109375" hidden="1" customWidth="1"/>
    <col min="34" max="34" width="4.140625" hidden="1" customWidth="1"/>
    <col min="35" max="35" width="4.7109375" customWidth="1"/>
    <col min="37" max="37" width="19.7109375" customWidth="1"/>
    <col min="38" max="38" width="9.5703125" customWidth="1"/>
  </cols>
  <sheetData>
    <row r="1" spans="1:39" x14ac:dyDescent="0.25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</row>
    <row r="2" spans="1:39" x14ac:dyDescent="0.25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</row>
    <row r="3" spans="1:39" ht="27" customHeight="1" x14ac:dyDescent="0.25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</row>
    <row r="4" spans="1:39" ht="21" x14ac:dyDescent="0.35">
      <c r="A4" s="183" t="s">
        <v>2236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</row>
    <row r="5" spans="1:39" ht="26.25" x14ac:dyDescent="0.4">
      <c r="O5" s="90"/>
      <c r="P5" s="91"/>
      <c r="Q5" s="91"/>
      <c r="R5" s="91"/>
      <c r="S5" s="91"/>
    </row>
    <row r="7" spans="1:39" x14ac:dyDescent="0.25">
      <c r="A7" s="192" t="s">
        <v>991</v>
      </c>
      <c r="B7" s="192" t="s">
        <v>2216</v>
      </c>
      <c r="C7" s="192" t="s">
        <v>993</v>
      </c>
      <c r="D7" s="201" t="s">
        <v>994</v>
      </c>
      <c r="E7" s="203" t="s">
        <v>995</v>
      </c>
      <c r="F7" s="204"/>
      <c r="G7" s="205"/>
      <c r="H7" s="206" t="s">
        <v>2301</v>
      </c>
      <c r="I7" s="207"/>
      <c r="J7" s="207"/>
      <c r="K7" s="207"/>
      <c r="L7" s="207"/>
      <c r="M7" s="207"/>
      <c r="N7" s="207"/>
      <c r="O7" s="207"/>
      <c r="P7" s="207"/>
      <c r="Q7" s="207"/>
      <c r="R7" s="208"/>
      <c r="S7" s="209" t="s">
        <v>996</v>
      </c>
      <c r="T7" s="209"/>
      <c r="U7" s="210" t="s">
        <v>2302</v>
      </c>
      <c r="V7" s="211"/>
      <c r="W7" s="211"/>
      <c r="X7" s="211"/>
      <c r="Y7" s="211"/>
      <c r="Z7" s="211"/>
      <c r="AA7" s="211"/>
      <c r="AB7" s="211"/>
    </row>
    <row r="8" spans="1:39" x14ac:dyDescent="0.25">
      <c r="A8" s="192"/>
      <c r="B8" s="192"/>
      <c r="C8" s="192"/>
      <c r="D8" s="201"/>
      <c r="E8" s="212" t="s">
        <v>2303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4"/>
    </row>
    <row r="9" spans="1:39" x14ac:dyDescent="0.25">
      <c r="A9" s="192"/>
      <c r="B9" s="192"/>
      <c r="C9" s="192"/>
      <c r="D9" s="201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39" ht="23.1" customHeight="1" x14ac:dyDescent="0.25">
      <c r="A10" s="141">
        <v>1</v>
      </c>
      <c r="B10" s="132" t="s">
        <v>2046</v>
      </c>
      <c r="C10" s="132" t="s">
        <v>1708</v>
      </c>
      <c r="D10" s="134" t="s">
        <v>1001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D10" s="29">
        <v>101958421</v>
      </c>
      <c r="AE10" s="29" t="s">
        <v>1798</v>
      </c>
      <c r="AF10" s="29" t="s">
        <v>1799</v>
      </c>
      <c r="AG10" s="74" t="s">
        <v>1009</v>
      </c>
      <c r="AH10" s="28" t="s">
        <v>1001</v>
      </c>
      <c r="AJ10" s="95">
        <v>1</v>
      </c>
      <c r="AK10" s="105" t="s">
        <v>1708</v>
      </c>
      <c r="AL10" s="106" t="s">
        <v>2238</v>
      </c>
      <c r="AM10" s="107" t="s">
        <v>1001</v>
      </c>
    </row>
    <row r="11" spans="1:39" ht="23.1" customHeight="1" x14ac:dyDescent="0.25">
      <c r="A11" s="141">
        <v>2</v>
      </c>
      <c r="B11" s="132" t="s">
        <v>2006</v>
      </c>
      <c r="C11" s="132" t="s">
        <v>1610</v>
      </c>
      <c r="D11" s="134" t="s">
        <v>1001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D11" s="29">
        <v>102964984</v>
      </c>
      <c r="AE11" s="29" t="s">
        <v>1669</v>
      </c>
      <c r="AF11" s="29" t="s">
        <v>1670</v>
      </c>
      <c r="AG11" s="63" t="s">
        <v>1009</v>
      </c>
      <c r="AH11" s="63" t="s">
        <v>1001</v>
      </c>
      <c r="AJ11" s="95">
        <v>2</v>
      </c>
      <c r="AK11" s="105" t="s">
        <v>1610</v>
      </c>
      <c r="AL11" s="106" t="s">
        <v>2241</v>
      </c>
      <c r="AM11" s="107" t="s">
        <v>1001</v>
      </c>
    </row>
    <row r="12" spans="1:39" ht="23.1" customHeight="1" x14ac:dyDescent="0.25">
      <c r="A12" s="141">
        <v>3</v>
      </c>
      <c r="B12" s="132" t="s">
        <v>1968</v>
      </c>
      <c r="C12" s="132" t="s">
        <v>1829</v>
      </c>
      <c r="D12" s="134" t="s">
        <v>1002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D12" s="60" t="s">
        <v>1628</v>
      </c>
      <c r="AE12" s="60" t="s">
        <v>1629</v>
      </c>
      <c r="AF12" s="65">
        <v>87.85</v>
      </c>
      <c r="AG12" s="63" t="s">
        <v>1009</v>
      </c>
      <c r="AH12" s="63" t="s">
        <v>1002</v>
      </c>
      <c r="AJ12" s="95">
        <v>3</v>
      </c>
      <c r="AK12" s="105" t="s">
        <v>1829</v>
      </c>
      <c r="AL12" s="106" t="s">
        <v>2242</v>
      </c>
      <c r="AM12" s="107" t="s">
        <v>1002</v>
      </c>
    </row>
    <row r="13" spans="1:39" ht="23.1" customHeight="1" x14ac:dyDescent="0.25">
      <c r="A13" s="141">
        <v>4</v>
      </c>
      <c r="B13" s="132" t="s">
        <v>2010</v>
      </c>
      <c r="C13" s="132" t="s">
        <v>1287</v>
      </c>
      <c r="D13" s="134" t="s">
        <v>1002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D13" s="64" t="s">
        <v>1243</v>
      </c>
      <c r="AE13" s="64" t="s">
        <v>1244</v>
      </c>
      <c r="AF13" s="66" t="s">
        <v>1245</v>
      </c>
      <c r="AG13" s="63" t="s">
        <v>1009</v>
      </c>
      <c r="AH13" s="63" t="s">
        <v>1002</v>
      </c>
      <c r="AJ13" s="95">
        <v>4</v>
      </c>
      <c r="AK13" s="105" t="s">
        <v>1287</v>
      </c>
      <c r="AL13" s="106" t="s">
        <v>2241</v>
      </c>
      <c r="AM13" s="107" t="s">
        <v>1002</v>
      </c>
    </row>
    <row r="14" spans="1:39" ht="23.1" customHeight="1" x14ac:dyDescent="0.25">
      <c r="A14" s="141">
        <v>5</v>
      </c>
      <c r="B14" s="132" t="s">
        <v>1857</v>
      </c>
      <c r="C14" s="132" t="s">
        <v>1782</v>
      </c>
      <c r="D14" s="134" t="s">
        <v>1001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D14" s="63" t="s">
        <v>1277</v>
      </c>
      <c r="AE14" s="63" t="s">
        <v>1278</v>
      </c>
      <c r="AF14" s="66" t="s">
        <v>1279</v>
      </c>
      <c r="AG14" s="63" t="s">
        <v>1009</v>
      </c>
      <c r="AH14" s="63" t="s">
        <v>1002</v>
      </c>
      <c r="AJ14" s="95">
        <v>5</v>
      </c>
      <c r="AK14" s="105" t="s">
        <v>1782</v>
      </c>
      <c r="AL14" s="106" t="s">
        <v>2237</v>
      </c>
      <c r="AM14" s="107" t="s">
        <v>1001</v>
      </c>
    </row>
    <row r="15" spans="1:39" ht="23.1" customHeight="1" x14ac:dyDescent="0.25">
      <c r="A15" s="141">
        <v>6</v>
      </c>
      <c r="B15" s="132" t="s">
        <v>1859</v>
      </c>
      <c r="C15" s="132" t="s">
        <v>1125</v>
      </c>
      <c r="D15" s="134" t="s">
        <v>1001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D15" s="64" t="s">
        <v>1283</v>
      </c>
      <c r="AE15" s="64" t="s">
        <v>1284</v>
      </c>
      <c r="AF15" s="66" t="s">
        <v>1285</v>
      </c>
      <c r="AG15" s="63" t="s">
        <v>1009</v>
      </c>
      <c r="AH15" s="63" t="s">
        <v>1002</v>
      </c>
      <c r="AJ15" s="95">
        <v>6</v>
      </c>
      <c r="AK15" s="105" t="s">
        <v>1125</v>
      </c>
      <c r="AL15" s="106" t="s">
        <v>2237</v>
      </c>
      <c r="AM15" s="107" t="s">
        <v>1001</v>
      </c>
    </row>
    <row r="16" spans="1:39" ht="23.1" customHeight="1" x14ac:dyDescent="0.25">
      <c r="A16" s="141">
        <v>7</v>
      </c>
      <c r="B16" s="132" t="s">
        <v>2152</v>
      </c>
      <c r="C16" s="132" t="s">
        <v>1846</v>
      </c>
      <c r="D16" s="134" t="s">
        <v>1002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D16" s="64" t="s">
        <v>1266</v>
      </c>
      <c r="AE16" s="64" t="s">
        <v>1267</v>
      </c>
      <c r="AF16" s="66" t="s">
        <v>1268</v>
      </c>
      <c r="AG16" s="63" t="s">
        <v>1009</v>
      </c>
      <c r="AH16" s="63" t="s">
        <v>1002</v>
      </c>
      <c r="AJ16" s="95">
        <v>7</v>
      </c>
      <c r="AK16" s="105" t="s">
        <v>1846</v>
      </c>
      <c r="AL16" s="106" t="s">
        <v>2243</v>
      </c>
      <c r="AM16" s="107" t="s">
        <v>1002</v>
      </c>
    </row>
    <row r="17" spans="1:39" ht="23.1" customHeight="1" x14ac:dyDescent="0.25">
      <c r="A17" s="141">
        <v>8</v>
      </c>
      <c r="B17" s="132" t="s">
        <v>1937</v>
      </c>
      <c r="C17" s="132" t="s">
        <v>1651</v>
      </c>
      <c r="D17" s="134" t="s">
        <v>1002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D17" s="29">
        <v>3102130692</v>
      </c>
      <c r="AE17" s="29" t="s">
        <v>1671</v>
      </c>
      <c r="AF17" s="29" t="s">
        <v>1672</v>
      </c>
      <c r="AG17" s="63" t="s">
        <v>1009</v>
      </c>
      <c r="AH17" s="63" t="s">
        <v>1001</v>
      </c>
      <c r="AJ17" s="95">
        <v>8</v>
      </c>
      <c r="AK17" s="105" t="s">
        <v>1651</v>
      </c>
      <c r="AL17" s="106" t="s">
        <v>2240</v>
      </c>
      <c r="AM17" s="107" t="s">
        <v>1002</v>
      </c>
    </row>
    <row r="18" spans="1:39" ht="23.1" customHeight="1" x14ac:dyDescent="0.25">
      <c r="A18" s="141">
        <v>9</v>
      </c>
      <c r="B18" s="132" t="s">
        <v>1897</v>
      </c>
      <c r="C18" s="132" t="s">
        <v>1898</v>
      </c>
      <c r="D18" s="134" t="s">
        <v>1002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D18" s="64" t="s">
        <v>1274</v>
      </c>
      <c r="AE18" s="64" t="s">
        <v>1275</v>
      </c>
      <c r="AF18" s="66" t="s">
        <v>1276</v>
      </c>
      <c r="AG18" s="63" t="s">
        <v>1009</v>
      </c>
      <c r="AH18" s="63" t="s">
        <v>1002</v>
      </c>
      <c r="AJ18" s="95">
        <v>9</v>
      </c>
      <c r="AK18" s="109" t="s">
        <v>1898</v>
      </c>
      <c r="AL18" s="110" t="s">
        <v>2245</v>
      </c>
      <c r="AM18" s="111" t="s">
        <v>1002</v>
      </c>
    </row>
    <row r="19" spans="1:39" ht="23.1" customHeight="1" x14ac:dyDescent="0.25">
      <c r="A19" s="141">
        <v>10</v>
      </c>
      <c r="B19" s="132" t="s">
        <v>2090</v>
      </c>
      <c r="C19" s="132" t="s">
        <v>1383</v>
      </c>
      <c r="D19" s="134" t="s">
        <v>1002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D19" s="64" t="s">
        <v>1249</v>
      </c>
      <c r="AE19" s="64" t="s">
        <v>1250</v>
      </c>
      <c r="AF19" s="66" t="s">
        <v>1251</v>
      </c>
      <c r="AG19" s="63" t="s">
        <v>1009</v>
      </c>
      <c r="AH19" s="63" t="s">
        <v>1001</v>
      </c>
      <c r="AJ19" s="95">
        <v>10</v>
      </c>
      <c r="AK19" s="105" t="s">
        <v>1383</v>
      </c>
      <c r="AL19" s="106" t="s">
        <v>2246</v>
      </c>
      <c r="AM19" s="107" t="s">
        <v>1002</v>
      </c>
    </row>
    <row r="20" spans="1:39" ht="23.1" customHeight="1" x14ac:dyDescent="0.25">
      <c r="A20" s="141">
        <v>11</v>
      </c>
      <c r="B20" s="132" t="s">
        <v>1977</v>
      </c>
      <c r="C20" s="132" t="s">
        <v>1634</v>
      </c>
      <c r="D20" s="134" t="s">
        <v>1002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D20" s="28">
        <v>109534778</v>
      </c>
      <c r="AE20" s="28" t="s">
        <v>1662</v>
      </c>
      <c r="AF20" s="28" t="s">
        <v>1650</v>
      </c>
      <c r="AG20" s="63" t="s">
        <v>1009</v>
      </c>
      <c r="AH20" s="63" t="s">
        <v>1002</v>
      </c>
      <c r="AJ20" s="95">
        <v>11</v>
      </c>
      <c r="AK20" s="105" t="s">
        <v>1634</v>
      </c>
      <c r="AL20" s="106" t="s">
        <v>2242</v>
      </c>
      <c r="AM20" s="107" t="s">
        <v>1002</v>
      </c>
    </row>
    <row r="21" spans="1:39" ht="23.1" customHeight="1" x14ac:dyDescent="0.25">
      <c r="A21" s="141">
        <v>12</v>
      </c>
      <c r="B21" s="132" t="s">
        <v>2186</v>
      </c>
      <c r="C21" s="132" t="s">
        <v>1839</v>
      </c>
      <c r="D21" s="134" t="s">
        <v>1002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D21" s="64" t="s">
        <v>1257</v>
      </c>
      <c r="AE21" s="64" t="s">
        <v>1258</v>
      </c>
      <c r="AF21" s="66" t="s">
        <v>1259</v>
      </c>
      <c r="AG21" s="63" t="s">
        <v>1009</v>
      </c>
      <c r="AH21" s="63" t="s">
        <v>1002</v>
      </c>
      <c r="AJ21" s="95">
        <v>12</v>
      </c>
      <c r="AK21" s="124" t="s">
        <v>1839</v>
      </c>
      <c r="AL21" s="106" t="s">
        <v>2249</v>
      </c>
      <c r="AM21" s="107" t="s">
        <v>1002</v>
      </c>
    </row>
    <row r="22" spans="1:39" ht="23.1" customHeight="1" x14ac:dyDescent="0.25">
      <c r="A22" s="141">
        <v>13</v>
      </c>
      <c r="B22" s="132" t="s">
        <v>1978</v>
      </c>
      <c r="C22" s="132" t="s">
        <v>1831</v>
      </c>
      <c r="D22" s="134" t="s">
        <v>1001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D22" s="54"/>
      <c r="AE22" s="54"/>
      <c r="AF22" s="54"/>
      <c r="AG22" s="54"/>
      <c r="AH22" s="54"/>
      <c r="AJ22" s="95">
        <v>13</v>
      </c>
      <c r="AK22" s="105" t="s">
        <v>1831</v>
      </c>
      <c r="AL22" s="106" t="s">
        <v>2242</v>
      </c>
      <c r="AM22" s="107" t="s">
        <v>1001</v>
      </c>
    </row>
    <row r="23" spans="1:39" ht="23.1" customHeight="1" x14ac:dyDescent="0.25">
      <c r="A23" s="141">
        <v>14</v>
      </c>
      <c r="B23" s="132" t="s">
        <v>1939</v>
      </c>
      <c r="C23" s="132" t="s">
        <v>1239</v>
      </c>
      <c r="D23" s="134" t="s">
        <v>1002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D23" s="29">
        <v>92564881</v>
      </c>
      <c r="AE23" s="29" t="s">
        <v>1673</v>
      </c>
      <c r="AF23" s="29" t="s">
        <v>1674</v>
      </c>
      <c r="AG23" s="63" t="s">
        <v>1009</v>
      </c>
      <c r="AH23" s="63" t="s">
        <v>1001</v>
      </c>
      <c r="AJ23" s="95">
        <v>14</v>
      </c>
      <c r="AK23" s="105" t="s">
        <v>1239</v>
      </c>
      <c r="AL23" s="106" t="s">
        <v>2240</v>
      </c>
      <c r="AM23" s="107" t="s">
        <v>1002</v>
      </c>
    </row>
    <row r="24" spans="1:39" ht="23.1" customHeight="1" x14ac:dyDescent="0.25">
      <c r="A24" s="141">
        <v>15</v>
      </c>
      <c r="B24" s="132" t="s">
        <v>2019</v>
      </c>
      <c r="C24" s="132" t="s">
        <v>1828</v>
      </c>
      <c r="D24" s="134" t="s">
        <v>1002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D24" s="60" t="s">
        <v>1625</v>
      </c>
      <c r="AE24" s="60" t="s">
        <v>1626</v>
      </c>
      <c r="AF24" s="65">
        <v>89.62</v>
      </c>
      <c r="AG24" s="63" t="s">
        <v>1009</v>
      </c>
      <c r="AH24" s="63" t="s">
        <v>1002</v>
      </c>
      <c r="AJ24" s="95">
        <v>15</v>
      </c>
      <c r="AK24" s="109" t="s">
        <v>1731</v>
      </c>
      <c r="AL24" s="110" t="s">
        <v>2239</v>
      </c>
      <c r="AM24" s="111" t="s">
        <v>1002</v>
      </c>
    </row>
    <row r="25" spans="1:39" ht="23.1" customHeight="1" x14ac:dyDescent="0.25">
      <c r="A25" s="141">
        <v>16</v>
      </c>
      <c r="B25" s="132" t="s">
        <v>2058</v>
      </c>
      <c r="C25" s="132" t="s">
        <v>1604</v>
      </c>
      <c r="D25" s="134" t="s">
        <v>1002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D25" s="60" t="s">
        <v>1630</v>
      </c>
      <c r="AE25" s="60" t="s">
        <v>1631</v>
      </c>
      <c r="AF25" s="65">
        <v>87.67</v>
      </c>
      <c r="AG25" s="63" t="s">
        <v>1009</v>
      </c>
      <c r="AH25" s="63" t="s">
        <v>1002</v>
      </c>
      <c r="AJ25" s="95">
        <v>16</v>
      </c>
      <c r="AK25" s="105" t="s">
        <v>1828</v>
      </c>
      <c r="AL25" s="106" t="s">
        <v>2241</v>
      </c>
      <c r="AM25" s="107" t="s">
        <v>1002</v>
      </c>
    </row>
    <row r="26" spans="1:39" ht="23.1" customHeight="1" x14ac:dyDescent="0.25">
      <c r="A26" s="141">
        <v>17</v>
      </c>
      <c r="B26" s="132" t="s">
        <v>1944</v>
      </c>
      <c r="C26" s="132" t="s">
        <v>1644</v>
      </c>
      <c r="D26" s="134" t="s">
        <v>1002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D26" s="64" t="s">
        <v>1252</v>
      </c>
      <c r="AE26" s="64" t="s">
        <v>1253</v>
      </c>
      <c r="AF26" s="66" t="s">
        <v>1254</v>
      </c>
      <c r="AG26" s="63" t="s">
        <v>1009</v>
      </c>
      <c r="AH26" s="63" t="s">
        <v>1001</v>
      </c>
      <c r="AJ26" s="95">
        <v>17</v>
      </c>
      <c r="AK26" s="109" t="s">
        <v>1604</v>
      </c>
      <c r="AL26" s="110" t="s">
        <v>2238</v>
      </c>
      <c r="AM26" s="111" t="s">
        <v>1002</v>
      </c>
    </row>
    <row r="27" spans="1:39" ht="23.1" customHeight="1" x14ac:dyDescent="0.25">
      <c r="A27" s="141">
        <v>18</v>
      </c>
      <c r="B27" s="147" t="s">
        <v>2194</v>
      </c>
      <c r="C27" s="147" t="s">
        <v>2195</v>
      </c>
      <c r="D27" s="134" t="s">
        <v>1001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D27" s="60" t="s">
        <v>1632</v>
      </c>
      <c r="AE27" s="60" t="s">
        <v>1633</v>
      </c>
      <c r="AF27" s="65">
        <v>87.46</v>
      </c>
      <c r="AG27" s="63" t="s">
        <v>1009</v>
      </c>
      <c r="AH27" s="63" t="s">
        <v>1002</v>
      </c>
      <c r="AJ27" s="95">
        <v>18</v>
      </c>
      <c r="AK27" s="105" t="s">
        <v>1644</v>
      </c>
      <c r="AL27" s="106" t="s">
        <v>2240</v>
      </c>
      <c r="AM27" s="107" t="s">
        <v>1002</v>
      </c>
    </row>
    <row r="28" spans="1:39" ht="23.1" customHeight="1" x14ac:dyDescent="0.25">
      <c r="A28" s="141">
        <v>19</v>
      </c>
      <c r="B28" s="132" t="s">
        <v>1988</v>
      </c>
      <c r="C28" s="132" t="s">
        <v>1658</v>
      </c>
      <c r="D28" s="134" t="s">
        <v>1001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D28" s="28">
        <v>117862295</v>
      </c>
      <c r="AE28" s="28" t="s">
        <v>1660</v>
      </c>
      <c r="AF28" s="28" t="s">
        <v>1661</v>
      </c>
      <c r="AG28" s="63" t="s">
        <v>1009</v>
      </c>
      <c r="AH28" s="63" t="s">
        <v>1002</v>
      </c>
      <c r="AJ28" s="95">
        <v>19</v>
      </c>
      <c r="AK28" s="105" t="s">
        <v>2195</v>
      </c>
      <c r="AL28" s="106" t="s">
        <v>2249</v>
      </c>
      <c r="AM28" s="125" t="s">
        <v>1001</v>
      </c>
    </row>
    <row r="29" spans="1:39" ht="23.1" customHeight="1" x14ac:dyDescent="0.25">
      <c r="A29" s="141">
        <v>20</v>
      </c>
      <c r="B29" s="132" t="s">
        <v>2169</v>
      </c>
      <c r="C29" s="132" t="s">
        <v>1838</v>
      </c>
      <c r="D29" s="134" t="s">
        <v>1001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D29" s="63" t="s">
        <v>1246</v>
      </c>
      <c r="AE29" s="63" t="s">
        <v>1247</v>
      </c>
      <c r="AF29" s="66" t="s">
        <v>1248</v>
      </c>
      <c r="AG29" s="63" t="s">
        <v>1009</v>
      </c>
      <c r="AH29" s="63" t="s">
        <v>1001</v>
      </c>
      <c r="AJ29" s="95">
        <v>20</v>
      </c>
      <c r="AK29" s="109" t="s">
        <v>1658</v>
      </c>
      <c r="AL29" s="110" t="s">
        <v>2242</v>
      </c>
      <c r="AM29" s="111" t="s">
        <v>1001</v>
      </c>
    </row>
    <row r="30" spans="1:39" ht="23.1" customHeight="1" x14ac:dyDescent="0.25">
      <c r="A30" s="141">
        <v>21</v>
      </c>
      <c r="B30" s="132" t="s">
        <v>1911</v>
      </c>
      <c r="C30" s="132" t="s">
        <v>1082</v>
      </c>
      <c r="D30" s="134" t="s">
        <v>1002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D30" s="63" t="s">
        <v>1280</v>
      </c>
      <c r="AE30" s="63" t="s">
        <v>1281</v>
      </c>
      <c r="AF30" s="66" t="s">
        <v>1282</v>
      </c>
      <c r="AG30" s="63" t="s">
        <v>1009</v>
      </c>
      <c r="AH30" s="63" t="s">
        <v>1002</v>
      </c>
      <c r="AJ30" s="95">
        <v>21</v>
      </c>
      <c r="AK30" s="105" t="s">
        <v>1838</v>
      </c>
      <c r="AL30" s="106" t="s">
        <v>2243</v>
      </c>
      <c r="AM30" s="107" t="s">
        <v>1001</v>
      </c>
    </row>
    <row r="31" spans="1:39" ht="23.1" customHeight="1" x14ac:dyDescent="0.25">
      <c r="A31" s="141">
        <v>22</v>
      </c>
      <c r="B31" s="132" t="s">
        <v>2137</v>
      </c>
      <c r="C31" s="132" t="s">
        <v>1411</v>
      </c>
      <c r="D31" s="134" t="s">
        <v>1002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D31" s="29">
        <v>107743638</v>
      </c>
      <c r="AE31" s="29" t="s">
        <v>1796</v>
      </c>
      <c r="AF31" s="29" t="s">
        <v>1797</v>
      </c>
      <c r="AG31" s="74" t="s">
        <v>1009</v>
      </c>
      <c r="AH31" s="28" t="s">
        <v>1001</v>
      </c>
      <c r="AJ31" s="95">
        <v>22</v>
      </c>
      <c r="AK31" s="105" t="s">
        <v>1082</v>
      </c>
      <c r="AL31" s="106" t="s">
        <v>2245</v>
      </c>
      <c r="AM31" s="107" t="s">
        <v>1002</v>
      </c>
    </row>
    <row r="32" spans="1:39" ht="23.1" customHeight="1" x14ac:dyDescent="0.25">
      <c r="A32" s="141">
        <v>23</v>
      </c>
      <c r="B32" s="132" t="s">
        <v>1991</v>
      </c>
      <c r="C32" s="132" t="s">
        <v>1636</v>
      </c>
      <c r="D32" s="134" t="s">
        <v>1002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D32" s="28">
        <v>103586895</v>
      </c>
      <c r="AE32" s="28" t="s">
        <v>1658</v>
      </c>
      <c r="AF32" s="28" t="s">
        <v>1659</v>
      </c>
      <c r="AG32" s="63" t="s">
        <v>1009</v>
      </c>
      <c r="AH32" s="63" t="s">
        <v>1001</v>
      </c>
      <c r="AJ32" s="95">
        <v>23</v>
      </c>
      <c r="AK32" s="105" t="s">
        <v>1636</v>
      </c>
      <c r="AL32" s="106" t="s">
        <v>2242</v>
      </c>
      <c r="AM32" s="107" t="s">
        <v>1002</v>
      </c>
    </row>
    <row r="33" spans="1:39" ht="23.1" customHeight="1" x14ac:dyDescent="0.25">
      <c r="A33" s="141">
        <v>24</v>
      </c>
      <c r="B33" s="132" t="s">
        <v>1953</v>
      </c>
      <c r="C33" s="132" t="s">
        <v>1232</v>
      </c>
      <c r="D33" s="134" t="s">
        <v>1001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D33" s="28">
        <v>96668989</v>
      </c>
      <c r="AE33" s="28" t="s">
        <v>1656</v>
      </c>
      <c r="AF33" s="28" t="s">
        <v>1657</v>
      </c>
      <c r="AG33" s="63" t="s">
        <v>1009</v>
      </c>
      <c r="AH33" s="63" t="s">
        <v>1002</v>
      </c>
      <c r="AJ33" s="95">
        <v>24</v>
      </c>
      <c r="AK33" s="105" t="s">
        <v>1232</v>
      </c>
      <c r="AL33" s="106" t="s">
        <v>2240</v>
      </c>
      <c r="AM33" s="107" t="s">
        <v>1001</v>
      </c>
    </row>
    <row r="34" spans="1:39" ht="23.1" customHeight="1" x14ac:dyDescent="0.25">
      <c r="A34" s="141">
        <v>25</v>
      </c>
      <c r="B34" s="132" t="s">
        <v>1914</v>
      </c>
      <c r="C34" s="132" t="s">
        <v>1173</v>
      </c>
      <c r="D34" s="134" t="s">
        <v>1002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D34" s="60" t="s">
        <v>1635</v>
      </c>
      <c r="AE34" s="60" t="s">
        <v>1636</v>
      </c>
      <c r="AF34" s="65">
        <v>86.84</v>
      </c>
      <c r="AG34" s="63" t="s">
        <v>1009</v>
      </c>
      <c r="AH34" s="63" t="s">
        <v>1002</v>
      </c>
      <c r="AJ34" s="95">
        <v>25</v>
      </c>
      <c r="AK34" s="105" t="s">
        <v>1173</v>
      </c>
      <c r="AL34" s="106" t="s">
        <v>2245</v>
      </c>
      <c r="AM34" s="107" t="s">
        <v>1002</v>
      </c>
    </row>
    <row r="35" spans="1:39" ht="23.1" customHeight="1" x14ac:dyDescent="0.25">
      <c r="A35" s="141">
        <v>26</v>
      </c>
      <c r="B35" s="132" t="s">
        <v>2170</v>
      </c>
      <c r="C35" s="132" t="s">
        <v>1456</v>
      </c>
      <c r="D35" s="134" t="s">
        <v>1002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D35" s="64">
        <v>3098293614</v>
      </c>
      <c r="AE35" s="64" t="s">
        <v>1269</v>
      </c>
      <c r="AF35" s="66" t="s">
        <v>1270</v>
      </c>
      <c r="AG35" s="63" t="s">
        <v>1009</v>
      </c>
      <c r="AH35" s="63" t="s">
        <v>1002</v>
      </c>
      <c r="AJ35" s="95">
        <v>26</v>
      </c>
      <c r="AK35" s="105" t="s">
        <v>1456</v>
      </c>
      <c r="AL35" s="106" t="s">
        <v>2243</v>
      </c>
      <c r="AM35" s="107" t="s">
        <v>1002</v>
      </c>
    </row>
    <row r="36" spans="1:39" ht="23.1" customHeight="1" x14ac:dyDescent="0.25">
      <c r="A36" s="141">
        <v>27</v>
      </c>
      <c r="B36" s="132" t="s">
        <v>2225</v>
      </c>
      <c r="C36" s="132" t="s">
        <v>2226</v>
      </c>
      <c r="D36" s="134" t="s">
        <v>1002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D36" s="29">
        <v>96501202</v>
      </c>
      <c r="AE36" s="29" t="s">
        <v>1667</v>
      </c>
      <c r="AF36" s="29" t="s">
        <v>1668</v>
      </c>
      <c r="AG36" s="63" t="s">
        <v>1009</v>
      </c>
      <c r="AH36" s="63" t="s">
        <v>1002</v>
      </c>
      <c r="AJ36" s="95">
        <v>27</v>
      </c>
      <c r="AK36" s="115" t="s">
        <v>2226</v>
      </c>
      <c r="AL36" s="116" t="s">
        <v>2246</v>
      </c>
      <c r="AM36" s="117" t="s">
        <v>1002</v>
      </c>
    </row>
    <row r="37" spans="1:39" ht="23.1" customHeight="1" x14ac:dyDescent="0.25">
      <c r="A37" s="141">
        <v>28</v>
      </c>
      <c r="B37" s="132" t="s">
        <v>1918</v>
      </c>
      <c r="C37" s="132" t="s">
        <v>1170</v>
      </c>
      <c r="D37" s="134" t="s">
        <v>1001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D37" s="64" t="s">
        <v>1255</v>
      </c>
      <c r="AE37" s="64" t="s">
        <v>1256</v>
      </c>
      <c r="AF37" s="66" t="s">
        <v>1234</v>
      </c>
      <c r="AG37" s="63" t="s">
        <v>1009</v>
      </c>
      <c r="AH37" s="63" t="s">
        <v>1002</v>
      </c>
      <c r="AJ37" s="95">
        <v>28</v>
      </c>
      <c r="AK37" s="109" t="s">
        <v>1170</v>
      </c>
      <c r="AL37" s="110" t="s">
        <v>2245</v>
      </c>
      <c r="AM37" s="111" t="s">
        <v>1001</v>
      </c>
    </row>
    <row r="38" spans="1:39" ht="23.1" customHeight="1" x14ac:dyDescent="0.25">
      <c r="A38" s="141">
        <v>29</v>
      </c>
      <c r="B38" s="132" t="s">
        <v>2174</v>
      </c>
      <c r="C38" s="132" t="s">
        <v>1464</v>
      </c>
      <c r="D38" s="134" t="s">
        <v>1002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D38" s="63" t="s">
        <v>1263</v>
      </c>
      <c r="AE38" s="63" t="s">
        <v>1264</v>
      </c>
      <c r="AF38" s="66" t="s">
        <v>1265</v>
      </c>
      <c r="AG38" s="63" t="s">
        <v>1009</v>
      </c>
      <c r="AH38" s="63" t="s">
        <v>1002</v>
      </c>
      <c r="AJ38" s="95">
        <v>29</v>
      </c>
      <c r="AK38" s="105" t="s">
        <v>1464</v>
      </c>
      <c r="AL38" s="106" t="s">
        <v>2243</v>
      </c>
      <c r="AM38" s="107" t="s">
        <v>1002</v>
      </c>
    </row>
    <row r="39" spans="1:39" ht="23.1" customHeight="1" x14ac:dyDescent="0.25">
      <c r="A39" s="141">
        <v>30</v>
      </c>
      <c r="B39" s="132" t="s">
        <v>1883</v>
      </c>
      <c r="C39" s="132" t="s">
        <v>1140</v>
      </c>
      <c r="D39" s="134" t="s">
        <v>1001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D39" s="60">
        <v>3095038031</v>
      </c>
      <c r="AE39" s="60" t="s">
        <v>1627</v>
      </c>
      <c r="AF39" s="65">
        <v>88.36</v>
      </c>
      <c r="AG39" s="63" t="s">
        <v>1009</v>
      </c>
      <c r="AH39" s="63" t="s">
        <v>1002</v>
      </c>
      <c r="AJ39" s="95">
        <v>30</v>
      </c>
      <c r="AK39" s="105" t="s">
        <v>1140</v>
      </c>
      <c r="AL39" s="106" t="s">
        <v>2237</v>
      </c>
      <c r="AM39" s="107" t="s">
        <v>1001</v>
      </c>
    </row>
    <row r="40" spans="1:39" ht="23.1" customHeight="1" x14ac:dyDescent="0.25">
      <c r="A40" s="141">
        <v>31</v>
      </c>
      <c r="B40" s="132" t="s">
        <v>1995</v>
      </c>
      <c r="C40" s="132" t="s">
        <v>1794</v>
      </c>
      <c r="D40" s="134" t="s">
        <v>1002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D40" s="29">
        <v>93702483</v>
      </c>
      <c r="AE40" s="29" t="s">
        <v>1794</v>
      </c>
      <c r="AF40" s="29" t="s">
        <v>1795</v>
      </c>
      <c r="AG40" s="74" t="s">
        <v>1009</v>
      </c>
      <c r="AH40" s="28" t="s">
        <v>1002</v>
      </c>
      <c r="AJ40" s="95">
        <v>31</v>
      </c>
      <c r="AK40" s="105" t="s">
        <v>1794</v>
      </c>
      <c r="AL40" s="106" t="s">
        <v>2242</v>
      </c>
      <c r="AM40" s="107" t="s">
        <v>1002</v>
      </c>
    </row>
    <row r="41" spans="1:39" ht="23.1" customHeight="1" x14ac:dyDescent="0.25">
      <c r="A41" s="141">
        <v>32</v>
      </c>
      <c r="B41" s="132" t="s">
        <v>2210</v>
      </c>
      <c r="C41" s="132" t="s">
        <v>1494</v>
      </c>
      <c r="D41" s="134" t="s">
        <v>1002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D41" s="63" t="s">
        <v>1271</v>
      </c>
      <c r="AE41" s="63" t="s">
        <v>1272</v>
      </c>
      <c r="AF41" s="66" t="s">
        <v>1273</v>
      </c>
      <c r="AG41" s="63" t="s">
        <v>1009</v>
      </c>
      <c r="AH41" s="63" t="s">
        <v>1002</v>
      </c>
      <c r="AJ41" s="95">
        <v>32</v>
      </c>
      <c r="AK41" s="109" t="s">
        <v>1494</v>
      </c>
      <c r="AL41" s="110" t="s">
        <v>2249</v>
      </c>
      <c r="AM41" s="111" t="s">
        <v>1002</v>
      </c>
    </row>
    <row r="42" spans="1:39" ht="23.1" customHeight="1" x14ac:dyDescent="0.25">
      <c r="A42" s="141">
        <v>33</v>
      </c>
      <c r="B42" s="132" t="s">
        <v>1924</v>
      </c>
      <c r="C42" s="132" t="s">
        <v>1214</v>
      </c>
      <c r="D42" s="134" t="s">
        <v>1002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D42" s="60" t="s">
        <v>1639</v>
      </c>
      <c r="AE42" s="60" t="s">
        <v>1640</v>
      </c>
      <c r="AF42" s="65">
        <v>86.55</v>
      </c>
      <c r="AG42" s="63" t="s">
        <v>1009</v>
      </c>
      <c r="AH42" s="63" t="s">
        <v>1002</v>
      </c>
      <c r="AJ42" s="95">
        <v>33</v>
      </c>
      <c r="AK42" s="124" t="s">
        <v>1214</v>
      </c>
      <c r="AL42" s="106" t="s">
        <v>2245</v>
      </c>
      <c r="AM42" s="107" t="s">
        <v>1002</v>
      </c>
    </row>
    <row r="43" spans="1:39" ht="23.1" customHeight="1" x14ac:dyDescent="0.25">
      <c r="A43" s="141">
        <v>34</v>
      </c>
      <c r="B43" s="132" t="s">
        <v>2143</v>
      </c>
      <c r="C43" s="132" t="s">
        <v>1850</v>
      </c>
      <c r="D43" s="134" t="s">
        <v>1002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D43" s="29">
        <v>101345533</v>
      </c>
      <c r="AE43" s="29" t="s">
        <v>1665</v>
      </c>
      <c r="AF43" s="29" t="s">
        <v>1666</v>
      </c>
      <c r="AG43" s="63" t="s">
        <v>1009</v>
      </c>
      <c r="AH43" s="63" t="s">
        <v>1002</v>
      </c>
      <c r="AJ43" s="95">
        <v>34</v>
      </c>
      <c r="AK43" s="109" t="s">
        <v>1850</v>
      </c>
      <c r="AL43" s="110" t="s">
        <v>2239</v>
      </c>
      <c r="AM43" s="111" t="s">
        <v>1002</v>
      </c>
    </row>
    <row r="44" spans="1:39" ht="23.1" customHeight="1" x14ac:dyDescent="0.25">
      <c r="A44" s="141">
        <v>35</v>
      </c>
      <c r="B44" s="132" t="s">
        <v>1963</v>
      </c>
      <c r="C44" s="132" t="s">
        <v>1832</v>
      </c>
      <c r="D44" s="134" t="s">
        <v>1002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D44" s="28">
        <v>102567048</v>
      </c>
      <c r="AE44" s="28" t="s">
        <v>1663</v>
      </c>
      <c r="AF44" s="28" t="s">
        <v>1664</v>
      </c>
      <c r="AG44" s="63" t="s">
        <v>1009</v>
      </c>
      <c r="AH44" s="63" t="s">
        <v>1002</v>
      </c>
      <c r="AJ44" s="95">
        <v>35</v>
      </c>
      <c r="AK44" s="105" t="s">
        <v>1832</v>
      </c>
      <c r="AL44" s="106" t="s">
        <v>2240</v>
      </c>
      <c r="AM44" s="107" t="s">
        <v>1002</v>
      </c>
    </row>
    <row r="45" spans="1:39" ht="23.1" customHeight="1" x14ac:dyDescent="0.25">
      <c r="A45" s="141">
        <v>36</v>
      </c>
      <c r="B45" s="132" t="s">
        <v>2080</v>
      </c>
      <c r="C45" s="132" t="s">
        <v>1329</v>
      </c>
      <c r="D45" s="134" t="s">
        <v>1001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D45" s="60" t="s">
        <v>1637</v>
      </c>
      <c r="AE45" s="60" t="s">
        <v>1638</v>
      </c>
      <c r="AF45" s="65">
        <v>86.66</v>
      </c>
      <c r="AG45" s="63" t="s">
        <v>1009</v>
      </c>
      <c r="AH45" s="63" t="s">
        <v>1002</v>
      </c>
      <c r="AJ45" s="95">
        <v>36</v>
      </c>
      <c r="AK45" s="126" t="s">
        <v>1329</v>
      </c>
      <c r="AL45" s="122" t="s">
        <v>2238</v>
      </c>
      <c r="AM45" s="107" t="s">
        <v>1001</v>
      </c>
    </row>
    <row r="46" spans="1:39" ht="23.1" customHeight="1" x14ac:dyDescent="0.25">
      <c r="A46" s="217" t="s">
        <v>997</v>
      </c>
      <c r="B46" s="217"/>
      <c r="C46" s="150" t="s">
        <v>999</v>
      </c>
      <c r="D46" s="141">
        <f>COUNTIFS($D$10:$D$45,"L")</f>
        <v>12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D46" s="64" t="s">
        <v>1260</v>
      </c>
      <c r="AE46" s="64" t="s">
        <v>1261</v>
      </c>
      <c r="AF46" s="66" t="s">
        <v>1262</v>
      </c>
      <c r="AG46" s="63" t="s">
        <v>1009</v>
      </c>
      <c r="AH46" s="63" t="s">
        <v>1002</v>
      </c>
    </row>
    <row r="47" spans="1:39" ht="23.1" customHeight="1" x14ac:dyDescent="0.25">
      <c r="A47" s="217" t="s">
        <v>998</v>
      </c>
      <c r="B47" s="217"/>
      <c r="C47" s="150" t="s">
        <v>1000</v>
      </c>
      <c r="D47" s="141">
        <f>COUNTIFS($D$10:$D$45,"P")</f>
        <v>24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39" ht="23.1" customHeight="1" x14ac:dyDescent="0.25">
      <c r="A48" s="151"/>
      <c r="B48" s="152"/>
      <c r="C48" s="152"/>
      <c r="D48" s="151">
        <f>SUM(D46:D47)</f>
        <v>36</v>
      </c>
    </row>
    <row r="49" spans="4:4" x14ac:dyDescent="0.25">
      <c r="D49" s="5"/>
    </row>
  </sheetData>
  <sortState xmlns:xlrd2="http://schemas.microsoft.com/office/spreadsheetml/2017/richdata2" ref="B10:D45">
    <sortCondition ref="C10:C45"/>
  </sortState>
  <mergeCells count="15">
    <mergeCell ref="A47:B47"/>
    <mergeCell ref="S7:T7"/>
    <mergeCell ref="U7:AB7"/>
    <mergeCell ref="A46:B46"/>
    <mergeCell ref="A1:AB1"/>
    <mergeCell ref="A2:AB2"/>
    <mergeCell ref="A3:AB3"/>
    <mergeCell ref="A4:AB4"/>
    <mergeCell ref="A7:A9"/>
    <mergeCell ref="B7:B9"/>
    <mergeCell ref="C7:C9"/>
    <mergeCell ref="D7:D9"/>
    <mergeCell ref="E7:G7"/>
    <mergeCell ref="H7:R7"/>
    <mergeCell ref="E8:AB8"/>
  </mergeCells>
  <conditionalFormatting sqref="AL10:AL45">
    <cfRule type="expression" dxfId="55" priority="3">
      <formula>AL10&lt;&gt;#REF!</formula>
    </cfRule>
  </conditionalFormatting>
  <pageMargins left="0.36" right="0.118110236220472" top="0.55118110236220497" bottom="0.74803149606299202" header="0.31496062992126" footer="0.31496062992126"/>
  <pageSetup paperSize="10000" scale="70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M48"/>
  <sheetViews>
    <sheetView zoomScale="95" zoomScaleNormal="95" workbookViewId="0">
      <selection sqref="A1:AB49"/>
    </sheetView>
  </sheetViews>
  <sheetFormatPr defaultRowHeight="15" x14ac:dyDescent="0.25"/>
  <cols>
    <col min="1" max="1" width="3.85546875" style="5" bestFit="1" customWidth="1"/>
    <col min="2" max="2" width="20.85546875" style="8" customWidth="1"/>
    <col min="3" max="3" width="39.7109375" style="8" customWidth="1"/>
    <col min="4" max="4" width="5.85546875" customWidth="1"/>
    <col min="5" max="20" width="2.7109375" customWidth="1"/>
    <col min="21" max="28" width="3.28515625" customWidth="1"/>
    <col min="29" max="29" width="20.5703125" hidden="1" customWidth="1"/>
    <col min="30" max="30" width="14.7109375" hidden="1" customWidth="1"/>
    <col min="31" max="31" width="30.140625" hidden="1" customWidth="1"/>
    <col min="32" max="32" width="11.85546875" hidden="1" customWidth="1"/>
    <col min="33" max="33" width="6.28515625" hidden="1" customWidth="1"/>
    <col min="34" max="34" width="5.140625" hidden="1" customWidth="1"/>
    <col min="35" max="35" width="6" customWidth="1"/>
    <col min="37" max="37" width="19.28515625" customWidth="1"/>
    <col min="38" max="38" width="36.28515625" customWidth="1"/>
  </cols>
  <sheetData>
    <row r="1" spans="1:39" x14ac:dyDescent="0.25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</row>
    <row r="2" spans="1:39" x14ac:dyDescent="0.25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</row>
    <row r="3" spans="1:39" ht="27" customHeight="1" x14ac:dyDescent="0.25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K3" t="s">
        <v>1127</v>
      </c>
    </row>
    <row r="4" spans="1:39" ht="21" x14ac:dyDescent="0.35">
      <c r="A4" s="183" t="s">
        <v>2236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</row>
    <row r="5" spans="1:39" ht="26.25" x14ac:dyDescent="0.4">
      <c r="O5" s="90"/>
      <c r="P5" s="91"/>
      <c r="Q5" s="91"/>
      <c r="R5" s="91"/>
    </row>
    <row r="7" spans="1:39" x14ac:dyDescent="0.25">
      <c r="A7" s="192" t="s">
        <v>991</v>
      </c>
      <c r="B7" s="192" t="s">
        <v>2216</v>
      </c>
      <c r="C7" s="192" t="s">
        <v>993</v>
      </c>
      <c r="D7" s="201" t="s">
        <v>994</v>
      </c>
      <c r="E7" s="203" t="s">
        <v>995</v>
      </c>
      <c r="F7" s="204"/>
      <c r="G7" s="205"/>
      <c r="H7" s="206" t="s">
        <v>2304</v>
      </c>
      <c r="I7" s="207"/>
      <c r="J7" s="207"/>
      <c r="K7" s="207"/>
      <c r="L7" s="207"/>
      <c r="M7" s="207"/>
      <c r="N7" s="207"/>
      <c r="O7" s="207"/>
      <c r="P7" s="207"/>
      <c r="Q7" s="207"/>
      <c r="R7" s="208"/>
      <c r="S7" s="209" t="s">
        <v>996</v>
      </c>
      <c r="T7" s="209"/>
      <c r="U7" s="210" t="s">
        <v>2305</v>
      </c>
      <c r="V7" s="211"/>
      <c r="W7" s="211"/>
      <c r="X7" s="211"/>
      <c r="Y7" s="211"/>
      <c r="Z7" s="211"/>
      <c r="AA7" s="211"/>
      <c r="AB7" s="211"/>
    </row>
    <row r="8" spans="1:39" x14ac:dyDescent="0.25">
      <c r="A8" s="192"/>
      <c r="B8" s="192"/>
      <c r="C8" s="192"/>
      <c r="D8" s="201"/>
      <c r="E8" s="212" t="s">
        <v>2303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4"/>
    </row>
    <row r="9" spans="1:39" x14ac:dyDescent="0.25">
      <c r="A9" s="196"/>
      <c r="B9" s="196"/>
      <c r="C9" s="192"/>
      <c r="D9" s="202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39" ht="23.1" customHeight="1" x14ac:dyDescent="0.25">
      <c r="A10" s="141">
        <v>1</v>
      </c>
      <c r="B10" s="132" t="s">
        <v>1851</v>
      </c>
      <c r="C10" s="171" t="s">
        <v>1127</v>
      </c>
      <c r="D10" s="134" t="s">
        <v>1001</v>
      </c>
      <c r="E10" s="8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D10" s="28">
        <v>106096923</v>
      </c>
      <c r="AE10" s="28" t="s">
        <v>1679</v>
      </c>
      <c r="AF10" s="69" t="s">
        <v>1680</v>
      </c>
      <c r="AG10" s="63" t="s">
        <v>1010</v>
      </c>
      <c r="AH10" s="63" t="s">
        <v>1001</v>
      </c>
      <c r="AJ10" s="95">
        <v>1</v>
      </c>
      <c r="AL10" s="106" t="s">
        <v>2237</v>
      </c>
      <c r="AM10" s="107" t="s">
        <v>1001</v>
      </c>
    </row>
    <row r="11" spans="1:39" ht="23.1" customHeight="1" x14ac:dyDescent="0.25">
      <c r="A11" s="141">
        <v>2</v>
      </c>
      <c r="B11" s="132" t="s">
        <v>1853</v>
      </c>
      <c r="C11" s="132" t="s">
        <v>1152</v>
      </c>
      <c r="D11" s="134" t="s">
        <v>1001</v>
      </c>
      <c r="E11" s="8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D11" s="60" t="s">
        <v>1609</v>
      </c>
      <c r="AE11" s="60" t="s">
        <v>1610</v>
      </c>
      <c r="AF11" s="70">
        <v>88.34</v>
      </c>
      <c r="AG11" s="63" t="s">
        <v>1010</v>
      </c>
      <c r="AH11" s="63" t="s">
        <v>1001</v>
      </c>
      <c r="AJ11" s="95">
        <v>2</v>
      </c>
      <c r="AK11" s="109" t="s">
        <v>1685</v>
      </c>
      <c r="AL11" s="110" t="s">
        <v>2241</v>
      </c>
      <c r="AM11" s="111" t="s">
        <v>1002</v>
      </c>
    </row>
    <row r="12" spans="1:39" ht="23.1" customHeight="1" x14ac:dyDescent="0.25">
      <c r="A12" s="141">
        <v>3</v>
      </c>
      <c r="B12" s="132" t="s">
        <v>2007</v>
      </c>
      <c r="C12" s="132" t="s">
        <v>1685</v>
      </c>
      <c r="D12" s="134" t="s">
        <v>1002</v>
      </c>
      <c r="E12" s="8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D12" s="29">
        <v>101534636</v>
      </c>
      <c r="AE12" s="29" t="s">
        <v>1685</v>
      </c>
      <c r="AF12" s="71" t="s">
        <v>1686</v>
      </c>
      <c r="AG12" s="63" t="s">
        <v>1010</v>
      </c>
      <c r="AH12" s="63" t="s">
        <v>1002</v>
      </c>
      <c r="AJ12" s="95">
        <v>3</v>
      </c>
      <c r="AK12" s="124" t="s">
        <v>1197</v>
      </c>
      <c r="AL12" s="106" t="s">
        <v>2245</v>
      </c>
      <c r="AM12" s="107" t="s">
        <v>1001</v>
      </c>
    </row>
    <row r="13" spans="1:39" ht="23.1" customHeight="1" x14ac:dyDescent="0.25">
      <c r="A13" s="141">
        <v>4</v>
      </c>
      <c r="B13" s="132" t="s">
        <v>1893</v>
      </c>
      <c r="C13" s="132" t="s">
        <v>1197</v>
      </c>
      <c r="D13" s="134" t="s">
        <v>1001</v>
      </c>
      <c r="E13" s="8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D13" s="28">
        <v>109722078</v>
      </c>
      <c r="AE13" s="28" t="s">
        <v>1677</v>
      </c>
      <c r="AF13" s="69" t="s">
        <v>1678</v>
      </c>
      <c r="AG13" s="63" t="s">
        <v>1010</v>
      </c>
      <c r="AH13" s="63" t="s">
        <v>1001</v>
      </c>
      <c r="AJ13" s="95">
        <v>4</v>
      </c>
      <c r="AK13" s="105" t="s">
        <v>1586</v>
      </c>
      <c r="AL13" s="106" t="s">
        <v>2246</v>
      </c>
      <c r="AM13" s="107" t="s">
        <v>1002</v>
      </c>
    </row>
    <row r="14" spans="1:39" ht="23.1" customHeight="1" x14ac:dyDescent="0.25">
      <c r="A14" s="141">
        <v>5</v>
      </c>
      <c r="B14" s="132" t="s">
        <v>2084</v>
      </c>
      <c r="C14" s="132" t="s">
        <v>1586</v>
      </c>
      <c r="D14" s="134" t="s">
        <v>1002</v>
      </c>
      <c r="E14" s="8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D14" s="29">
        <v>106420698</v>
      </c>
      <c r="AE14" s="29" t="s">
        <v>1687</v>
      </c>
      <c r="AF14" s="71" t="s">
        <v>1688</v>
      </c>
      <c r="AG14" s="63" t="s">
        <v>1010</v>
      </c>
      <c r="AH14" s="63" t="s">
        <v>1002</v>
      </c>
      <c r="AJ14" s="95">
        <v>5</v>
      </c>
      <c r="AK14" s="105" t="s">
        <v>1687</v>
      </c>
      <c r="AL14" s="106" t="s">
        <v>2241</v>
      </c>
      <c r="AM14" s="107" t="s">
        <v>1002</v>
      </c>
    </row>
    <row r="15" spans="1:39" ht="23.1" customHeight="1" x14ac:dyDescent="0.25">
      <c r="A15" s="141">
        <v>6</v>
      </c>
      <c r="B15" s="132" t="s">
        <v>2009</v>
      </c>
      <c r="C15" s="132" t="s">
        <v>1687</v>
      </c>
      <c r="D15" s="134" t="s">
        <v>1002</v>
      </c>
      <c r="E15" s="8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D15" s="64" t="s">
        <v>1286</v>
      </c>
      <c r="AE15" s="64" t="s">
        <v>1287</v>
      </c>
      <c r="AF15" s="72" t="s">
        <v>1288</v>
      </c>
      <c r="AG15" s="63" t="s">
        <v>1010</v>
      </c>
      <c r="AH15" s="63" t="s">
        <v>1002</v>
      </c>
      <c r="AJ15" s="95">
        <v>6</v>
      </c>
      <c r="AK15" s="105" t="s">
        <v>1775</v>
      </c>
      <c r="AL15" s="106" t="s">
        <v>2237</v>
      </c>
      <c r="AM15" s="107" t="s">
        <v>1002</v>
      </c>
    </row>
    <row r="16" spans="1:39" ht="23.1" customHeight="1" x14ac:dyDescent="0.25">
      <c r="A16" s="141">
        <v>7</v>
      </c>
      <c r="B16" s="132" t="s">
        <v>1856</v>
      </c>
      <c r="C16" s="132" t="s">
        <v>1775</v>
      </c>
      <c r="D16" s="134" t="s">
        <v>1002</v>
      </c>
      <c r="E16" s="8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D16" s="60" t="s">
        <v>1611</v>
      </c>
      <c r="AE16" s="60" t="s">
        <v>1612</v>
      </c>
      <c r="AF16" s="70">
        <v>87.85</v>
      </c>
      <c r="AG16" s="63" t="s">
        <v>1010</v>
      </c>
      <c r="AH16" s="63" t="s">
        <v>1002</v>
      </c>
      <c r="AJ16" s="95">
        <v>7</v>
      </c>
      <c r="AK16" s="105" t="s">
        <v>1500</v>
      </c>
      <c r="AL16" s="106" t="s">
        <v>2249</v>
      </c>
      <c r="AM16" s="107" t="s">
        <v>1002</v>
      </c>
    </row>
    <row r="17" spans="1:39" ht="23.1" customHeight="1" x14ac:dyDescent="0.25">
      <c r="A17" s="141">
        <v>8</v>
      </c>
      <c r="B17" s="132" t="s">
        <v>2181</v>
      </c>
      <c r="C17" s="132" t="s">
        <v>1500</v>
      </c>
      <c r="D17" s="134" t="s">
        <v>1002</v>
      </c>
      <c r="E17" s="8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D17" s="63" t="s">
        <v>1316</v>
      </c>
      <c r="AE17" s="63" t="s">
        <v>1317</v>
      </c>
      <c r="AF17" s="72" t="s">
        <v>1318</v>
      </c>
      <c r="AG17" s="63" t="s">
        <v>1010</v>
      </c>
      <c r="AH17" s="63" t="s">
        <v>1002</v>
      </c>
      <c r="AJ17" s="95">
        <v>8</v>
      </c>
      <c r="AK17" s="105" t="s">
        <v>1142</v>
      </c>
      <c r="AL17" s="106" t="s">
        <v>2237</v>
      </c>
      <c r="AM17" s="107" t="s">
        <v>1002</v>
      </c>
    </row>
    <row r="18" spans="1:39" ht="23.1" customHeight="1" x14ac:dyDescent="0.25">
      <c r="A18" s="141">
        <v>9</v>
      </c>
      <c r="B18" s="132" t="s">
        <v>1858</v>
      </c>
      <c r="C18" s="132" t="s">
        <v>1142</v>
      </c>
      <c r="D18" s="134" t="s">
        <v>1002</v>
      </c>
      <c r="E18" s="8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D18" s="29">
        <v>95911412</v>
      </c>
      <c r="AE18" s="29" t="s">
        <v>1689</v>
      </c>
      <c r="AF18" s="71" t="s">
        <v>1670</v>
      </c>
      <c r="AG18" s="63" t="s">
        <v>1010</v>
      </c>
      <c r="AH18" s="63" t="s">
        <v>1002</v>
      </c>
      <c r="AJ18" s="95">
        <v>9</v>
      </c>
      <c r="AK18" s="105" t="s">
        <v>1408</v>
      </c>
      <c r="AL18" s="106" t="s">
        <v>2238</v>
      </c>
      <c r="AM18" s="107" t="s">
        <v>1002</v>
      </c>
    </row>
    <row r="19" spans="1:39" ht="23.1" customHeight="1" x14ac:dyDescent="0.25">
      <c r="A19" s="141">
        <v>10</v>
      </c>
      <c r="B19" s="132" t="s">
        <v>2049</v>
      </c>
      <c r="C19" s="132" t="s">
        <v>1408</v>
      </c>
      <c r="D19" s="134" t="s">
        <v>1002</v>
      </c>
      <c r="E19" s="8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D19" s="64" t="s">
        <v>1304</v>
      </c>
      <c r="AE19" s="64" t="s">
        <v>1305</v>
      </c>
      <c r="AF19" s="72" t="s">
        <v>1306</v>
      </c>
      <c r="AG19" s="63" t="s">
        <v>1010</v>
      </c>
      <c r="AH19" s="63" t="s">
        <v>1002</v>
      </c>
      <c r="AJ19" s="95">
        <v>10</v>
      </c>
      <c r="AK19" s="105" t="s">
        <v>1612</v>
      </c>
      <c r="AL19" s="106" t="s">
        <v>2241</v>
      </c>
      <c r="AM19" s="107" t="s">
        <v>1002</v>
      </c>
    </row>
    <row r="20" spans="1:39" ht="23.1" customHeight="1" x14ac:dyDescent="0.25">
      <c r="A20" s="141">
        <v>11</v>
      </c>
      <c r="B20" s="132" t="s">
        <v>2011</v>
      </c>
      <c r="C20" s="132" t="s">
        <v>1612</v>
      </c>
      <c r="D20" s="134" t="s">
        <v>1002</v>
      </c>
      <c r="E20" s="8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D20" s="29">
        <v>109089490</v>
      </c>
      <c r="AE20" s="29" t="s">
        <v>1800</v>
      </c>
      <c r="AF20" s="71" t="s">
        <v>1801</v>
      </c>
      <c r="AG20" s="67" t="s">
        <v>1010</v>
      </c>
      <c r="AH20" s="28" t="s">
        <v>1002</v>
      </c>
      <c r="AJ20" s="95">
        <v>11</v>
      </c>
      <c r="AK20" s="105" t="s">
        <v>1508</v>
      </c>
      <c r="AL20" s="106" t="s">
        <v>2249</v>
      </c>
      <c r="AM20" s="107" t="s">
        <v>1001</v>
      </c>
    </row>
    <row r="21" spans="1:39" ht="23.1" customHeight="1" x14ac:dyDescent="0.25">
      <c r="A21" s="141">
        <v>12</v>
      </c>
      <c r="B21" s="132" t="s">
        <v>2184</v>
      </c>
      <c r="C21" s="132" t="s">
        <v>1508</v>
      </c>
      <c r="D21" s="134" t="s">
        <v>1001</v>
      </c>
      <c r="E21" s="8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D21" s="64" t="s">
        <v>1310</v>
      </c>
      <c r="AE21" s="64" t="s">
        <v>1311</v>
      </c>
      <c r="AF21" s="72" t="s">
        <v>1312</v>
      </c>
      <c r="AG21" s="63" t="s">
        <v>1010</v>
      </c>
      <c r="AH21" s="63" t="s">
        <v>1002</v>
      </c>
      <c r="AJ21" s="95">
        <v>12</v>
      </c>
      <c r="AK21" s="105" t="s">
        <v>1827</v>
      </c>
      <c r="AL21" s="106" t="s">
        <v>2241</v>
      </c>
    </row>
    <row r="22" spans="1:39" ht="23.1" customHeight="1" x14ac:dyDescent="0.25">
      <c r="A22" s="141">
        <v>13</v>
      </c>
      <c r="B22" s="132" t="s">
        <v>2014</v>
      </c>
      <c r="C22" s="132" t="s">
        <v>1827</v>
      </c>
      <c r="D22" s="134" t="s">
        <v>1002</v>
      </c>
      <c r="E22" s="8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D22" s="64" t="s">
        <v>1292</v>
      </c>
      <c r="AE22" s="64" t="s">
        <v>1293</v>
      </c>
      <c r="AF22" s="73" t="s">
        <v>1294</v>
      </c>
      <c r="AG22" s="63" t="s">
        <v>1010</v>
      </c>
      <c r="AH22" s="63" t="s">
        <v>1002</v>
      </c>
      <c r="AJ22" s="95">
        <v>13</v>
      </c>
      <c r="AK22" s="105" t="s">
        <v>1578</v>
      </c>
      <c r="AL22" s="106" t="s">
        <v>2246</v>
      </c>
      <c r="AM22" s="107" t="s">
        <v>1002</v>
      </c>
    </row>
    <row r="23" spans="1:39" ht="23.1" customHeight="1" x14ac:dyDescent="0.25">
      <c r="A23" s="141">
        <v>14</v>
      </c>
      <c r="B23" s="132" t="s">
        <v>2091</v>
      </c>
      <c r="C23" s="132" t="s">
        <v>1578</v>
      </c>
      <c r="D23" s="134" t="s">
        <v>1002</v>
      </c>
      <c r="E23" s="8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D23" s="64" t="s">
        <v>1295</v>
      </c>
      <c r="AE23" s="64" t="s">
        <v>1296</v>
      </c>
      <c r="AF23" s="72" t="s">
        <v>1297</v>
      </c>
      <c r="AG23" s="63" t="s">
        <v>1010</v>
      </c>
      <c r="AH23" s="63" t="s">
        <v>1001</v>
      </c>
      <c r="AJ23" s="95">
        <v>14</v>
      </c>
      <c r="AK23" s="105" t="s">
        <v>1208</v>
      </c>
      <c r="AL23" s="106" t="s">
        <v>2245</v>
      </c>
      <c r="AM23" s="107" t="s">
        <v>1002</v>
      </c>
    </row>
    <row r="24" spans="1:39" ht="23.1" customHeight="1" x14ac:dyDescent="0.25">
      <c r="A24" s="141">
        <v>15</v>
      </c>
      <c r="B24" s="132" t="s">
        <v>1903</v>
      </c>
      <c r="C24" s="132" t="s">
        <v>1208</v>
      </c>
      <c r="D24" s="134" t="s">
        <v>1002</v>
      </c>
      <c r="E24" s="8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D24" s="60" t="s">
        <v>1613</v>
      </c>
      <c r="AE24" s="60" t="s">
        <v>1614</v>
      </c>
      <c r="AF24" s="70">
        <v>87.58</v>
      </c>
      <c r="AG24" s="63" t="s">
        <v>1010</v>
      </c>
      <c r="AH24" s="63" t="s">
        <v>1002</v>
      </c>
      <c r="AJ24" s="95">
        <v>15</v>
      </c>
      <c r="AK24" s="105" t="s">
        <v>1350</v>
      </c>
      <c r="AL24" s="106" t="s">
        <v>2238</v>
      </c>
      <c r="AM24" s="107" t="s">
        <v>1002</v>
      </c>
    </row>
    <row r="25" spans="1:39" ht="23.1" customHeight="1" x14ac:dyDescent="0.25">
      <c r="A25" s="141">
        <v>16</v>
      </c>
      <c r="B25" s="132" t="s">
        <v>2129</v>
      </c>
      <c r="C25" s="132" t="s">
        <v>1564</v>
      </c>
      <c r="D25" s="134" t="s">
        <v>1001</v>
      </c>
      <c r="E25" s="8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D25" s="60" t="s">
        <v>1617</v>
      </c>
      <c r="AE25" s="60" t="s">
        <v>1618</v>
      </c>
      <c r="AF25" s="70">
        <v>87.06</v>
      </c>
      <c r="AG25" s="63" t="s">
        <v>1010</v>
      </c>
      <c r="AH25" s="63" t="s">
        <v>1001</v>
      </c>
      <c r="AJ25" s="95">
        <v>16</v>
      </c>
      <c r="AK25" s="105" t="s">
        <v>1840</v>
      </c>
      <c r="AL25" s="106" t="s">
        <v>2249</v>
      </c>
      <c r="AM25" s="107" t="s">
        <v>1002</v>
      </c>
    </row>
    <row r="26" spans="1:39" ht="23.1" customHeight="1" x14ac:dyDescent="0.25">
      <c r="A26" s="141">
        <v>17</v>
      </c>
      <c r="B26" s="132" t="s">
        <v>2059</v>
      </c>
      <c r="C26" s="132" t="s">
        <v>1350</v>
      </c>
      <c r="D26" s="134" t="s">
        <v>1002</v>
      </c>
      <c r="E26" s="8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D26" s="60" t="s">
        <v>1619</v>
      </c>
      <c r="AE26" s="60" t="s">
        <v>1620</v>
      </c>
      <c r="AF26" s="70">
        <v>86.81</v>
      </c>
      <c r="AG26" s="63" t="s">
        <v>1010</v>
      </c>
      <c r="AH26" s="63" t="s">
        <v>1002</v>
      </c>
      <c r="AJ26" s="95">
        <v>17</v>
      </c>
      <c r="AK26" s="105" t="s">
        <v>1984</v>
      </c>
      <c r="AL26" s="106" t="s">
        <v>2242</v>
      </c>
      <c r="AM26" s="107" t="s">
        <v>1002</v>
      </c>
    </row>
    <row r="27" spans="1:39" ht="23.1" customHeight="1" x14ac:dyDescent="0.25">
      <c r="A27" s="141">
        <v>18</v>
      </c>
      <c r="B27" s="132" t="s">
        <v>2191</v>
      </c>
      <c r="C27" s="132" t="s">
        <v>1840</v>
      </c>
      <c r="D27" s="134" t="s">
        <v>1002</v>
      </c>
      <c r="E27" s="8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D27" s="29">
        <v>92101230</v>
      </c>
      <c r="AE27" s="29" t="s">
        <v>1690</v>
      </c>
      <c r="AF27" s="71" t="s">
        <v>1691</v>
      </c>
      <c r="AG27" s="63" t="s">
        <v>1010</v>
      </c>
      <c r="AH27" s="63" t="s">
        <v>1002</v>
      </c>
      <c r="AJ27" s="95">
        <v>18</v>
      </c>
      <c r="AK27" s="109" t="s">
        <v>2251</v>
      </c>
      <c r="AL27" s="110" t="s">
        <v>2249</v>
      </c>
      <c r="AM27" s="107" t="s">
        <v>1001</v>
      </c>
    </row>
    <row r="28" spans="1:39" ht="23.1" customHeight="1" x14ac:dyDescent="0.25">
      <c r="A28" s="141">
        <v>19</v>
      </c>
      <c r="B28" s="132" t="s">
        <v>1983</v>
      </c>
      <c r="C28" s="132" t="s">
        <v>1984</v>
      </c>
      <c r="D28" s="134" t="s">
        <v>1001</v>
      </c>
      <c r="E28" s="8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D28" s="60" t="s">
        <v>1621</v>
      </c>
      <c r="AE28" s="60" t="s">
        <v>1622</v>
      </c>
      <c r="AF28" s="70">
        <v>86.65</v>
      </c>
      <c r="AG28" s="63" t="s">
        <v>1010</v>
      </c>
      <c r="AH28" s="63" t="s">
        <v>1002</v>
      </c>
      <c r="AJ28" s="95">
        <v>19</v>
      </c>
      <c r="AK28" s="105" t="s">
        <v>1844</v>
      </c>
      <c r="AL28" s="106" t="s">
        <v>2238</v>
      </c>
      <c r="AM28" s="111" t="s">
        <v>1001</v>
      </c>
    </row>
    <row r="29" spans="1:39" ht="23.1" customHeight="1" x14ac:dyDescent="0.25">
      <c r="A29" s="141">
        <v>20</v>
      </c>
      <c r="B29" s="132" t="s">
        <v>2192</v>
      </c>
      <c r="C29" s="132" t="s">
        <v>2251</v>
      </c>
      <c r="D29" s="134" t="s">
        <v>1001</v>
      </c>
      <c r="E29" s="8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D29" s="63" t="s">
        <v>1319</v>
      </c>
      <c r="AE29" s="63" t="s">
        <v>1320</v>
      </c>
      <c r="AF29" s="72" t="s">
        <v>1321</v>
      </c>
      <c r="AG29" s="63" t="s">
        <v>1010</v>
      </c>
      <c r="AH29" s="63" t="s">
        <v>1001</v>
      </c>
      <c r="AJ29" s="95">
        <v>20</v>
      </c>
      <c r="AK29" s="109" t="s">
        <v>1842</v>
      </c>
      <c r="AL29" s="110" t="s">
        <v>2246</v>
      </c>
      <c r="AM29" s="107" t="s">
        <v>1001</v>
      </c>
    </row>
    <row r="30" spans="1:39" ht="23.1" customHeight="1" x14ac:dyDescent="0.25">
      <c r="A30" s="141">
        <v>21</v>
      </c>
      <c r="B30" s="132" t="s">
        <v>2062</v>
      </c>
      <c r="C30" s="132" t="s">
        <v>1844</v>
      </c>
      <c r="D30" s="134" t="s">
        <v>1001</v>
      </c>
      <c r="E30" s="8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D30" s="64" t="s">
        <v>1313</v>
      </c>
      <c r="AE30" s="64" t="s">
        <v>1314</v>
      </c>
      <c r="AF30" s="72" t="s">
        <v>1315</v>
      </c>
      <c r="AG30" s="63" t="s">
        <v>1010</v>
      </c>
      <c r="AH30" s="63" t="s">
        <v>1001</v>
      </c>
      <c r="AJ30" s="95">
        <v>21</v>
      </c>
      <c r="AK30" s="105" t="s">
        <v>1765</v>
      </c>
      <c r="AL30" s="106" t="s">
        <v>2249</v>
      </c>
      <c r="AM30" s="111" t="s">
        <v>1001</v>
      </c>
    </row>
    <row r="31" spans="1:39" ht="23.1" customHeight="1" x14ac:dyDescent="0.25">
      <c r="A31" s="141">
        <v>22</v>
      </c>
      <c r="B31" s="132" t="s">
        <v>2101</v>
      </c>
      <c r="C31" s="132" t="s">
        <v>1842</v>
      </c>
      <c r="D31" s="134" t="s">
        <v>1001</v>
      </c>
      <c r="E31" s="8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D31" s="63" t="s">
        <v>1325</v>
      </c>
      <c r="AE31" s="63" t="s">
        <v>1326</v>
      </c>
      <c r="AF31" s="72" t="s">
        <v>1327</v>
      </c>
      <c r="AG31" s="63" t="s">
        <v>1010</v>
      </c>
      <c r="AH31" s="63" t="s">
        <v>1001</v>
      </c>
      <c r="AJ31" s="95">
        <v>22</v>
      </c>
      <c r="AK31" s="115" t="s">
        <v>2224</v>
      </c>
      <c r="AL31" s="116" t="s">
        <v>2246</v>
      </c>
      <c r="AM31" s="107" t="s">
        <v>1001</v>
      </c>
    </row>
    <row r="32" spans="1:39" ht="23.1" customHeight="1" x14ac:dyDescent="0.25">
      <c r="A32" s="141">
        <v>23</v>
      </c>
      <c r="B32" s="132" t="s">
        <v>2197</v>
      </c>
      <c r="C32" s="132" t="s">
        <v>1765</v>
      </c>
      <c r="D32" s="134" t="s">
        <v>1001</v>
      </c>
      <c r="E32" s="8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D32" s="64" t="s">
        <v>1307</v>
      </c>
      <c r="AE32" s="64" t="s">
        <v>1308</v>
      </c>
      <c r="AF32" s="72" t="s">
        <v>1309</v>
      </c>
      <c r="AG32" s="63" t="s">
        <v>1010</v>
      </c>
      <c r="AH32" s="63" t="s">
        <v>1001</v>
      </c>
      <c r="AJ32" s="95">
        <v>23</v>
      </c>
      <c r="AK32" s="105" t="s">
        <v>1653</v>
      </c>
      <c r="AL32" s="106" t="s">
        <v>2249</v>
      </c>
      <c r="AM32" s="117" t="s">
        <v>1002</v>
      </c>
    </row>
    <row r="33" spans="1:39" ht="23.1" customHeight="1" x14ac:dyDescent="0.25">
      <c r="A33" s="141">
        <v>24</v>
      </c>
      <c r="B33" s="132" t="s">
        <v>2223</v>
      </c>
      <c r="C33" s="132" t="s">
        <v>2224</v>
      </c>
      <c r="D33" s="134" t="s">
        <v>1002</v>
      </c>
      <c r="E33" s="8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D33" s="29">
        <v>98252155</v>
      </c>
      <c r="AE33" s="29" t="s">
        <v>1802</v>
      </c>
      <c r="AF33" s="71" t="s">
        <v>1803</v>
      </c>
      <c r="AG33" s="67" t="s">
        <v>1010</v>
      </c>
      <c r="AH33" s="28" t="s">
        <v>1001</v>
      </c>
      <c r="AJ33" s="95">
        <v>24</v>
      </c>
      <c r="AK33" s="113" t="s">
        <v>1647</v>
      </c>
      <c r="AL33" s="106" t="s">
        <v>2243</v>
      </c>
      <c r="AM33" s="107" t="s">
        <v>1002</v>
      </c>
    </row>
    <row r="34" spans="1:39" ht="23.1" customHeight="1" x14ac:dyDescent="0.25">
      <c r="A34" s="141">
        <v>25</v>
      </c>
      <c r="B34" s="132" t="s">
        <v>2198</v>
      </c>
      <c r="C34" s="132" t="s">
        <v>1653</v>
      </c>
      <c r="D34" s="134" t="s">
        <v>1002</v>
      </c>
      <c r="E34" s="8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D34" s="60" t="s">
        <v>1615</v>
      </c>
      <c r="AE34" s="60" t="s">
        <v>1616</v>
      </c>
      <c r="AF34" s="70">
        <v>87.42</v>
      </c>
      <c r="AG34" s="63" t="s">
        <v>1010</v>
      </c>
      <c r="AH34" s="63" t="s">
        <v>1002</v>
      </c>
      <c r="AJ34" s="95">
        <v>25</v>
      </c>
      <c r="AK34" s="105" t="s">
        <v>1256</v>
      </c>
      <c r="AL34" s="106" t="s">
        <v>2242</v>
      </c>
      <c r="AM34" s="107" t="s">
        <v>1002</v>
      </c>
    </row>
    <row r="35" spans="1:39" ht="23.1" customHeight="1" x14ac:dyDescent="0.25">
      <c r="A35" s="141">
        <v>26</v>
      </c>
      <c r="B35" s="132" t="s">
        <v>2201</v>
      </c>
      <c r="C35" s="132" t="s">
        <v>1647</v>
      </c>
      <c r="D35" s="134" t="s">
        <v>1002</v>
      </c>
      <c r="E35" s="8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D35" s="60" t="s">
        <v>1607</v>
      </c>
      <c r="AE35" s="60" t="s">
        <v>1608</v>
      </c>
      <c r="AF35" s="70">
        <v>89.54</v>
      </c>
      <c r="AG35" s="63" t="s">
        <v>1010</v>
      </c>
      <c r="AH35" s="63" t="s">
        <v>1002</v>
      </c>
      <c r="AJ35" s="95">
        <v>26</v>
      </c>
      <c r="AK35" s="113" t="s">
        <v>1484</v>
      </c>
      <c r="AL35" s="106" t="s">
        <v>2249</v>
      </c>
      <c r="AM35" s="107" t="s">
        <v>1002</v>
      </c>
    </row>
    <row r="36" spans="1:39" ht="23.1" customHeight="1" x14ac:dyDescent="0.25">
      <c r="A36" s="141">
        <v>27</v>
      </c>
      <c r="B36" s="132" t="s">
        <v>1992</v>
      </c>
      <c r="C36" s="132" t="s">
        <v>1256</v>
      </c>
      <c r="D36" s="134" t="s">
        <v>1002</v>
      </c>
      <c r="E36" s="8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D36" s="63" t="s">
        <v>1298</v>
      </c>
      <c r="AE36" s="63" t="s">
        <v>1299</v>
      </c>
      <c r="AF36" s="72" t="s">
        <v>1300</v>
      </c>
      <c r="AG36" s="63" t="s">
        <v>1010</v>
      </c>
      <c r="AH36" s="63" t="s">
        <v>1002</v>
      </c>
      <c r="AJ36" s="95">
        <v>27</v>
      </c>
      <c r="AK36" s="105" t="s">
        <v>1518</v>
      </c>
      <c r="AL36" s="106" t="s">
        <v>2249</v>
      </c>
      <c r="AM36" s="107" t="s">
        <v>1001</v>
      </c>
    </row>
    <row r="37" spans="1:39" ht="23.1" customHeight="1" x14ac:dyDescent="0.25">
      <c r="A37" s="141">
        <v>28</v>
      </c>
      <c r="B37" s="132" t="s">
        <v>2204</v>
      </c>
      <c r="C37" s="132" t="s">
        <v>1484</v>
      </c>
      <c r="D37" s="134" t="s">
        <v>1001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D37" s="63" t="s">
        <v>1322</v>
      </c>
      <c r="AE37" s="63" t="s">
        <v>1323</v>
      </c>
      <c r="AF37" s="72" t="s">
        <v>1324</v>
      </c>
      <c r="AG37" s="63" t="s">
        <v>1010</v>
      </c>
      <c r="AH37" s="63" t="s">
        <v>1001</v>
      </c>
      <c r="AJ37" s="95">
        <v>28</v>
      </c>
      <c r="AK37" s="105" t="s">
        <v>1530</v>
      </c>
      <c r="AL37" s="106" t="s">
        <v>2249</v>
      </c>
      <c r="AM37" s="107" t="s">
        <v>1002</v>
      </c>
    </row>
    <row r="38" spans="1:39" ht="23.1" customHeight="1" x14ac:dyDescent="0.25">
      <c r="A38" s="141">
        <v>29</v>
      </c>
      <c r="B38" s="132" t="s">
        <v>2206</v>
      </c>
      <c r="C38" s="132" t="s">
        <v>1518</v>
      </c>
      <c r="D38" s="134" t="s">
        <v>1002</v>
      </c>
      <c r="E38" s="8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D38" s="64" t="s">
        <v>1289</v>
      </c>
      <c r="AE38" s="64" t="s">
        <v>1290</v>
      </c>
      <c r="AF38" s="72" t="s">
        <v>1291</v>
      </c>
      <c r="AG38" s="63" t="s">
        <v>1010</v>
      </c>
      <c r="AH38" s="63" t="s">
        <v>1002</v>
      </c>
      <c r="AJ38" s="95">
        <v>29</v>
      </c>
      <c r="AK38" s="105" t="s">
        <v>1698</v>
      </c>
      <c r="AL38" s="106" t="s">
        <v>2238</v>
      </c>
      <c r="AM38" s="107" t="s">
        <v>1001</v>
      </c>
    </row>
    <row r="39" spans="1:39" ht="23.1" customHeight="1" x14ac:dyDescent="0.25">
      <c r="A39" s="141">
        <v>30</v>
      </c>
      <c r="B39" s="132" t="s">
        <v>2208</v>
      </c>
      <c r="C39" s="132" t="s">
        <v>1530</v>
      </c>
      <c r="D39" s="134" t="s">
        <v>1001</v>
      </c>
      <c r="E39" s="8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D39" s="64" t="s">
        <v>1301</v>
      </c>
      <c r="AE39" s="64" t="s">
        <v>1302</v>
      </c>
      <c r="AF39" s="72" t="s">
        <v>1303</v>
      </c>
      <c r="AG39" s="63" t="s">
        <v>1010</v>
      </c>
      <c r="AH39" s="63" t="s">
        <v>1002</v>
      </c>
      <c r="AJ39" s="95">
        <v>30</v>
      </c>
      <c r="AK39" s="105" t="s">
        <v>1882</v>
      </c>
      <c r="AL39" s="106" t="s">
        <v>2237</v>
      </c>
      <c r="AM39" s="107" t="s">
        <v>1001</v>
      </c>
    </row>
    <row r="40" spans="1:39" ht="23.1" customHeight="1" x14ac:dyDescent="0.25">
      <c r="A40" s="141">
        <v>31</v>
      </c>
      <c r="B40" s="132" t="s">
        <v>2071</v>
      </c>
      <c r="C40" s="132" t="s">
        <v>1698</v>
      </c>
      <c r="D40" s="134" t="s">
        <v>1001</v>
      </c>
      <c r="E40" s="8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D40" s="28">
        <v>103816414</v>
      </c>
      <c r="AE40" s="28" t="s">
        <v>1675</v>
      </c>
      <c r="AF40" s="69" t="s">
        <v>1676</v>
      </c>
      <c r="AG40" s="63" t="s">
        <v>1010</v>
      </c>
      <c r="AH40" s="63" t="s">
        <v>1002</v>
      </c>
      <c r="AJ40" s="95">
        <v>31</v>
      </c>
      <c r="AK40" s="127" t="s">
        <v>1645</v>
      </c>
      <c r="AL40" s="106" t="s">
        <v>2240</v>
      </c>
      <c r="AM40" s="107" t="s">
        <v>1002</v>
      </c>
    </row>
    <row r="41" spans="1:39" ht="23.1" customHeight="1" x14ac:dyDescent="0.25">
      <c r="A41" s="141">
        <v>32</v>
      </c>
      <c r="B41" s="132" t="s">
        <v>1881</v>
      </c>
      <c r="C41" s="132" t="s">
        <v>1882</v>
      </c>
      <c r="D41" s="134" t="s">
        <v>1002</v>
      </c>
      <c r="E41" s="8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D41" s="60" t="s">
        <v>1623</v>
      </c>
      <c r="AE41" s="60" t="s">
        <v>1624</v>
      </c>
      <c r="AF41" s="70">
        <v>86.54</v>
      </c>
      <c r="AG41" s="63" t="s">
        <v>1010</v>
      </c>
      <c r="AH41" s="63" t="s">
        <v>1002</v>
      </c>
      <c r="AJ41" s="95">
        <v>32</v>
      </c>
      <c r="AK41" s="128" t="s">
        <v>1694</v>
      </c>
      <c r="AL41" s="106" t="s">
        <v>2242</v>
      </c>
      <c r="AM41" s="107" t="s">
        <v>1002</v>
      </c>
    </row>
    <row r="42" spans="1:39" ht="23.1" customHeight="1" x14ac:dyDescent="0.25">
      <c r="A42" s="141">
        <v>33</v>
      </c>
      <c r="B42" s="132" t="s">
        <v>1998</v>
      </c>
      <c r="C42" s="132" t="s">
        <v>1694</v>
      </c>
      <c r="D42" s="134" t="s">
        <v>1002</v>
      </c>
      <c r="E42" s="8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D42" s="28">
        <v>96256266</v>
      </c>
      <c r="AE42" s="28" t="s">
        <v>1683</v>
      </c>
      <c r="AF42" s="28" t="s">
        <v>1684</v>
      </c>
      <c r="AG42" s="63" t="s">
        <v>1010</v>
      </c>
      <c r="AH42" s="63" t="s">
        <v>1001</v>
      </c>
      <c r="AJ42" s="95">
        <v>33</v>
      </c>
      <c r="AK42" s="105" t="s">
        <v>1123</v>
      </c>
      <c r="AL42" s="106" t="s">
        <v>2237</v>
      </c>
      <c r="AM42" s="107" t="s">
        <v>1002</v>
      </c>
    </row>
    <row r="43" spans="1:39" ht="23.1" customHeight="1" x14ac:dyDescent="0.25">
      <c r="A43" s="141">
        <v>34</v>
      </c>
      <c r="B43" s="132" t="s">
        <v>1885</v>
      </c>
      <c r="C43" s="132" t="s">
        <v>1123</v>
      </c>
      <c r="D43" s="134" t="s">
        <v>1002</v>
      </c>
      <c r="E43" s="8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D43" s="28">
        <v>106598961</v>
      </c>
      <c r="AE43" s="28" t="s">
        <v>1681</v>
      </c>
      <c r="AF43" s="28" t="s">
        <v>1682</v>
      </c>
      <c r="AG43" s="63" t="s">
        <v>1010</v>
      </c>
      <c r="AH43" s="63" t="s">
        <v>1002</v>
      </c>
      <c r="AJ43" s="95">
        <v>34</v>
      </c>
      <c r="AK43" s="126" t="s">
        <v>1194</v>
      </c>
      <c r="AL43" s="122" t="s">
        <v>2245</v>
      </c>
      <c r="AM43" s="107" t="s">
        <v>1002</v>
      </c>
    </row>
    <row r="44" spans="1:39" ht="23.1" customHeight="1" x14ac:dyDescent="0.25">
      <c r="A44" s="153">
        <v>35</v>
      </c>
      <c r="B44" s="158" t="s">
        <v>1922</v>
      </c>
      <c r="C44" s="158" t="s">
        <v>1194</v>
      </c>
      <c r="D44" s="159" t="s">
        <v>1002</v>
      </c>
      <c r="E44" s="130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J44" s="95">
        <v>35</v>
      </c>
      <c r="AK44" s="105" t="s">
        <v>1389</v>
      </c>
      <c r="AL44" s="106" t="s">
        <v>2246</v>
      </c>
      <c r="AM44" s="107" t="s">
        <v>1002</v>
      </c>
    </row>
    <row r="45" spans="1:39" ht="23.1" customHeight="1" x14ac:dyDescent="0.25">
      <c r="A45" s="141">
        <v>36</v>
      </c>
      <c r="B45" s="132" t="s">
        <v>2112</v>
      </c>
      <c r="C45" s="132" t="s">
        <v>1389</v>
      </c>
      <c r="D45" s="134" t="s">
        <v>1001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J45" s="95">
        <v>36</v>
      </c>
      <c r="AM45" s="107" t="s">
        <v>1001</v>
      </c>
    </row>
    <row r="46" spans="1:39" ht="23.1" customHeight="1" x14ac:dyDescent="0.25">
      <c r="A46" s="219" t="s">
        <v>997</v>
      </c>
      <c r="B46" s="219"/>
      <c r="C46" s="144"/>
      <c r="D46" s="155">
        <f>COUNTIFS($D$10:$D$45,"L")</f>
        <v>14</v>
      </c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39" ht="23.1" customHeight="1" x14ac:dyDescent="0.25">
      <c r="A47" s="218" t="s">
        <v>998</v>
      </c>
      <c r="B47" s="218"/>
      <c r="C47" s="146"/>
      <c r="D47" s="141">
        <f>COUNTIFS($D$10:$D$45,"P")</f>
        <v>22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39" ht="15.75" x14ac:dyDescent="0.25">
      <c r="A48" s="138"/>
      <c r="B48" s="139"/>
      <c r="C48" s="139"/>
      <c r="D48" s="151">
        <f>D46+D47</f>
        <v>36</v>
      </c>
    </row>
  </sheetData>
  <sortState xmlns:xlrd2="http://schemas.microsoft.com/office/spreadsheetml/2017/richdata2" ref="B10:D45">
    <sortCondition ref="C10:C45"/>
  </sortState>
  <mergeCells count="15">
    <mergeCell ref="A47:B47"/>
    <mergeCell ref="S7:T7"/>
    <mergeCell ref="U7:AB7"/>
    <mergeCell ref="A46:B46"/>
    <mergeCell ref="A1:AB1"/>
    <mergeCell ref="A2:AB2"/>
    <mergeCell ref="A3:AB3"/>
    <mergeCell ref="A4:AB4"/>
    <mergeCell ref="A7:A9"/>
    <mergeCell ref="B7:B9"/>
    <mergeCell ref="D7:D9"/>
    <mergeCell ref="E7:G7"/>
    <mergeCell ref="H7:R7"/>
    <mergeCell ref="C7:C9"/>
    <mergeCell ref="E8:AB8"/>
  </mergeCells>
  <conditionalFormatting sqref="AK3">
    <cfRule type="expression" dxfId="54" priority="59">
      <formula>AK3&lt;&gt;XDX10</formula>
    </cfRule>
  </conditionalFormatting>
  <conditionalFormatting sqref="AL10:AL20">
    <cfRule type="expression" dxfId="53" priority="60">
      <formula>AL10&lt;&gt;AK3</formula>
    </cfRule>
  </conditionalFormatting>
  <conditionalFormatting sqref="AL21:AL44">
    <cfRule type="expression" dxfId="52" priority="50">
      <formula>AL21&lt;&gt;#REF!</formula>
    </cfRule>
  </conditionalFormatting>
  <pageMargins left="0.3" right="0.11811023622047245" top="0.55118110236220474" bottom="0.74803149606299213" header="0.31496062992125984" footer="0.31496062992125984"/>
  <pageSetup paperSize="9" scale="72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N48"/>
  <sheetViews>
    <sheetView tabSelected="1" zoomScale="80" zoomScaleNormal="80" workbookViewId="0">
      <selection activeCell="U23" sqref="U23"/>
    </sheetView>
  </sheetViews>
  <sheetFormatPr defaultRowHeight="15.75" x14ac:dyDescent="0.25"/>
  <cols>
    <col min="1" max="1" width="3.85546875" style="5" bestFit="1" customWidth="1"/>
    <col min="2" max="2" width="22" style="8" customWidth="1"/>
    <col min="3" max="3" width="40.5703125" style="8" customWidth="1"/>
    <col min="4" max="4" width="9.28515625" customWidth="1"/>
    <col min="5" max="20" width="2.7109375" customWidth="1"/>
    <col min="21" max="28" width="3.28515625" customWidth="1"/>
    <col min="29" max="29" width="0" hidden="1" customWidth="1"/>
    <col min="30" max="30" width="15.85546875" style="62" hidden="1" customWidth="1"/>
    <col min="31" max="31" width="37.5703125" style="62" hidden="1" customWidth="1"/>
    <col min="32" max="32" width="12.5703125" style="62" hidden="1" customWidth="1"/>
    <col min="33" max="33" width="4.7109375" style="62" hidden="1" customWidth="1"/>
    <col min="34" max="34" width="5.140625" style="62" hidden="1" customWidth="1"/>
    <col min="35" max="35" width="5.42578125" customWidth="1"/>
    <col min="37" max="37" width="22.85546875" customWidth="1"/>
    <col min="38" max="38" width="26.28515625" customWidth="1"/>
  </cols>
  <sheetData>
    <row r="1" spans="1:40" x14ac:dyDescent="0.25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</row>
    <row r="2" spans="1:40" x14ac:dyDescent="0.25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</row>
    <row r="3" spans="1:40" ht="27" customHeight="1" x14ac:dyDescent="0.25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</row>
    <row r="4" spans="1:40" ht="21" x14ac:dyDescent="0.35">
      <c r="A4" s="183" t="s">
        <v>2236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</row>
    <row r="5" spans="1:40" ht="26.25" x14ac:dyDescent="0.4">
      <c r="O5" s="90"/>
    </row>
    <row r="7" spans="1:40" x14ac:dyDescent="0.25">
      <c r="A7" s="192" t="s">
        <v>991</v>
      </c>
      <c r="B7" s="192" t="s">
        <v>2216</v>
      </c>
      <c r="C7" s="192" t="s">
        <v>993</v>
      </c>
      <c r="D7" s="201" t="s">
        <v>994</v>
      </c>
      <c r="E7" s="203" t="s">
        <v>995</v>
      </c>
      <c r="F7" s="204"/>
      <c r="G7" s="205"/>
      <c r="H7" s="206" t="s">
        <v>2306</v>
      </c>
      <c r="I7" s="207"/>
      <c r="J7" s="207"/>
      <c r="K7" s="207"/>
      <c r="L7" s="207"/>
      <c r="M7" s="207"/>
      <c r="N7" s="207"/>
      <c r="O7" s="207"/>
      <c r="P7" s="207"/>
      <c r="Q7" s="207"/>
      <c r="R7" s="208"/>
      <c r="S7" s="209" t="s">
        <v>996</v>
      </c>
      <c r="T7" s="209"/>
      <c r="U7" s="210">
        <v>1.9880715202421101E+17</v>
      </c>
      <c r="V7" s="211"/>
      <c r="W7" s="211"/>
      <c r="X7" s="211"/>
      <c r="Y7" s="211"/>
      <c r="Z7" s="211"/>
      <c r="AA7" s="211"/>
      <c r="AB7" s="211"/>
    </row>
    <row r="8" spans="1:40" x14ac:dyDescent="0.25">
      <c r="A8" s="192"/>
      <c r="B8" s="192"/>
      <c r="C8" s="192"/>
      <c r="D8" s="201"/>
      <c r="E8" s="212" t="s">
        <v>2303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4"/>
      <c r="AK8" s="97" t="s">
        <v>2188</v>
      </c>
    </row>
    <row r="9" spans="1:40" x14ac:dyDescent="0.25">
      <c r="A9" s="196"/>
      <c r="B9" s="196"/>
      <c r="C9" s="196"/>
      <c r="D9" s="202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40" ht="23.1" customHeight="1" x14ac:dyDescent="0.25">
      <c r="A10" s="141">
        <v>1</v>
      </c>
      <c r="B10" s="132" t="s">
        <v>1932</v>
      </c>
      <c r="C10" s="132" t="s">
        <v>1238</v>
      </c>
      <c r="D10" s="134" t="s">
        <v>1002</v>
      </c>
      <c r="E10" s="8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D10" s="60" t="s">
        <v>1589</v>
      </c>
      <c r="AE10" s="60" t="s">
        <v>1590</v>
      </c>
      <c r="AF10" s="65">
        <v>89.47</v>
      </c>
      <c r="AG10" s="63" t="s">
        <v>1011</v>
      </c>
      <c r="AH10" s="63" t="s">
        <v>1002</v>
      </c>
      <c r="AK10" s="97" t="s">
        <v>1932</v>
      </c>
      <c r="AL10" s="98" t="s">
        <v>1238</v>
      </c>
      <c r="AM10" s="99" t="s">
        <v>1002</v>
      </c>
      <c r="AN10" s="122" t="s">
        <v>2240</v>
      </c>
    </row>
    <row r="11" spans="1:40" ht="23.1" customHeight="1" x14ac:dyDescent="0.25">
      <c r="A11" s="141">
        <v>2</v>
      </c>
      <c r="B11" s="132" t="s">
        <v>1895</v>
      </c>
      <c r="C11" s="132" t="s">
        <v>1219</v>
      </c>
      <c r="D11" s="134" t="s">
        <v>1002</v>
      </c>
      <c r="E11" s="8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D11" s="29">
        <v>102753361</v>
      </c>
      <c r="AE11" s="29" t="s">
        <v>1708</v>
      </c>
      <c r="AF11" s="29" t="s">
        <v>1709</v>
      </c>
      <c r="AG11" s="63" t="s">
        <v>1011</v>
      </c>
      <c r="AH11" s="63" t="s">
        <v>1001</v>
      </c>
      <c r="AK11" s="97" t="s">
        <v>1895</v>
      </c>
      <c r="AL11" s="98" t="s">
        <v>1219</v>
      </c>
      <c r="AM11" s="99" t="s">
        <v>1002</v>
      </c>
      <c r="AN11" s="122" t="s">
        <v>2245</v>
      </c>
    </row>
    <row r="12" spans="1:40" ht="23.1" customHeight="1" x14ac:dyDescent="0.25">
      <c r="A12" s="141">
        <v>3</v>
      </c>
      <c r="B12" s="132" t="s">
        <v>2050</v>
      </c>
      <c r="C12" s="132" t="s">
        <v>2255</v>
      </c>
      <c r="D12" s="134" t="s">
        <v>1002</v>
      </c>
      <c r="E12" s="8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D12" s="60" t="s">
        <v>1599</v>
      </c>
      <c r="AE12" s="60" t="s">
        <v>1600</v>
      </c>
      <c r="AF12" s="65">
        <v>87.01</v>
      </c>
      <c r="AG12" s="63" t="s">
        <v>1011</v>
      </c>
      <c r="AH12" s="63" t="s">
        <v>1002</v>
      </c>
      <c r="AK12" s="97" t="s">
        <v>2050</v>
      </c>
      <c r="AL12" s="101" t="s">
        <v>1267</v>
      </c>
      <c r="AM12" s="99" t="s">
        <v>1002</v>
      </c>
      <c r="AN12" s="122" t="s">
        <v>2238</v>
      </c>
    </row>
    <row r="13" spans="1:40" ht="23.1" customHeight="1" x14ac:dyDescent="0.25">
      <c r="A13" s="141">
        <v>4</v>
      </c>
      <c r="B13" s="132" t="s">
        <v>2119</v>
      </c>
      <c r="C13" s="132" t="s">
        <v>1735</v>
      </c>
      <c r="D13" s="134" t="s">
        <v>1002</v>
      </c>
      <c r="E13" s="8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D13" s="63" t="s">
        <v>1337</v>
      </c>
      <c r="AE13" s="63" t="s">
        <v>1338</v>
      </c>
      <c r="AF13" s="66" t="s">
        <v>1339</v>
      </c>
      <c r="AG13" s="63" t="s">
        <v>1011</v>
      </c>
      <c r="AH13" s="63" t="s">
        <v>1001</v>
      </c>
      <c r="AK13" s="97" t="s">
        <v>2122</v>
      </c>
      <c r="AL13" s="101" t="s">
        <v>1554</v>
      </c>
      <c r="AM13" s="99" t="s">
        <v>1001</v>
      </c>
      <c r="AN13" s="122" t="s">
        <v>2239</v>
      </c>
    </row>
    <row r="14" spans="1:40" ht="23.1" customHeight="1" x14ac:dyDescent="0.25">
      <c r="A14" s="141">
        <v>5</v>
      </c>
      <c r="B14" s="132" t="s">
        <v>2122</v>
      </c>
      <c r="C14" s="160" t="s">
        <v>2257</v>
      </c>
      <c r="D14" s="134" t="s">
        <v>1001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D14" s="29">
        <v>98598715</v>
      </c>
      <c r="AE14" s="29" t="s">
        <v>1704</v>
      </c>
      <c r="AF14" s="29" t="s">
        <v>1705</v>
      </c>
      <c r="AG14" s="63" t="s">
        <v>1011</v>
      </c>
      <c r="AH14" s="63" t="s">
        <v>1002</v>
      </c>
      <c r="AK14" s="97" t="s">
        <v>2051</v>
      </c>
      <c r="AL14" s="101" t="s">
        <v>1201</v>
      </c>
      <c r="AM14" s="99" t="s">
        <v>1002</v>
      </c>
      <c r="AN14" s="122" t="s">
        <v>2238</v>
      </c>
    </row>
    <row r="15" spans="1:40" ht="23.1" customHeight="1" x14ac:dyDescent="0.25">
      <c r="A15" s="141">
        <v>6</v>
      </c>
      <c r="B15" s="132" t="s">
        <v>2051</v>
      </c>
      <c r="C15" s="132" t="s">
        <v>1201</v>
      </c>
      <c r="D15" s="134" t="s">
        <v>1002</v>
      </c>
      <c r="E15" s="8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D15" s="29">
        <v>97582178</v>
      </c>
      <c r="AE15" s="29" t="s">
        <v>1706</v>
      </c>
      <c r="AF15" s="29" t="s">
        <v>1707</v>
      </c>
      <c r="AG15" s="63" t="s">
        <v>1011</v>
      </c>
      <c r="AH15" s="63" t="s">
        <v>1001</v>
      </c>
      <c r="AK15" s="97" t="s">
        <v>2016</v>
      </c>
      <c r="AL15" s="98" t="s">
        <v>1311</v>
      </c>
      <c r="AM15" s="99" t="s">
        <v>1002</v>
      </c>
      <c r="AN15" s="122" t="s">
        <v>2241</v>
      </c>
    </row>
    <row r="16" spans="1:40" ht="23.1" customHeight="1" x14ac:dyDescent="0.25">
      <c r="A16" s="141">
        <v>7</v>
      </c>
      <c r="B16" s="132" t="s">
        <v>1899</v>
      </c>
      <c r="C16" s="132" t="s">
        <v>1225</v>
      </c>
      <c r="D16" s="134" t="s">
        <v>1002</v>
      </c>
      <c r="E16" s="8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D16" s="64" t="s">
        <v>1340</v>
      </c>
      <c r="AE16" s="64" t="s">
        <v>1341</v>
      </c>
      <c r="AF16" s="66" t="s">
        <v>1342</v>
      </c>
      <c r="AG16" s="63" t="s">
        <v>1011</v>
      </c>
      <c r="AH16" s="63" t="s">
        <v>1002</v>
      </c>
      <c r="AK16" s="97" t="s">
        <v>2125</v>
      </c>
      <c r="AL16" s="101" t="s">
        <v>1570</v>
      </c>
      <c r="AM16" s="99" t="s">
        <v>1002</v>
      </c>
      <c r="AN16" s="122" t="s">
        <v>2239</v>
      </c>
    </row>
    <row r="17" spans="1:40" ht="23.1" customHeight="1" x14ac:dyDescent="0.25">
      <c r="A17" s="141">
        <v>8</v>
      </c>
      <c r="B17" s="132" t="s">
        <v>2016</v>
      </c>
      <c r="C17" s="132" t="s">
        <v>1311</v>
      </c>
      <c r="D17" s="134" t="s">
        <v>1002</v>
      </c>
      <c r="E17" s="8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D17" s="60" t="s">
        <v>1605</v>
      </c>
      <c r="AE17" s="60" t="s">
        <v>1606</v>
      </c>
      <c r="AF17" s="65">
        <v>86.53</v>
      </c>
      <c r="AG17" s="63" t="s">
        <v>1011</v>
      </c>
      <c r="AH17" s="63" t="s">
        <v>1002</v>
      </c>
      <c r="AK17" s="97" t="s">
        <v>2156</v>
      </c>
      <c r="AL17" s="98" t="s">
        <v>1742</v>
      </c>
      <c r="AM17" s="99" t="s">
        <v>1001</v>
      </c>
      <c r="AN17" s="122" t="s">
        <v>2243</v>
      </c>
    </row>
    <row r="18" spans="1:40" ht="23.1" customHeight="1" x14ac:dyDescent="0.25">
      <c r="A18" s="141">
        <v>9</v>
      </c>
      <c r="B18" s="132" t="s">
        <v>2125</v>
      </c>
      <c r="C18" s="132" t="s">
        <v>2253</v>
      </c>
      <c r="D18" s="134" t="s">
        <v>1002</v>
      </c>
      <c r="E18" s="8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D18" s="28">
        <v>102498373</v>
      </c>
      <c r="AE18" s="28" t="s">
        <v>1700</v>
      </c>
      <c r="AF18" s="28" t="s">
        <v>1701</v>
      </c>
      <c r="AG18" s="63" t="s">
        <v>1011</v>
      </c>
      <c r="AH18" s="63" t="s">
        <v>1002</v>
      </c>
      <c r="AK18" s="97" t="s">
        <v>2017</v>
      </c>
      <c r="AL18" s="98" t="s">
        <v>1293</v>
      </c>
      <c r="AM18" s="99" t="s">
        <v>1002</v>
      </c>
      <c r="AN18" s="122" t="s">
        <v>2241</v>
      </c>
    </row>
    <row r="19" spans="1:40" ht="23.1" customHeight="1" x14ac:dyDescent="0.25">
      <c r="A19" s="141">
        <v>10</v>
      </c>
      <c r="B19" s="132" t="s">
        <v>2156</v>
      </c>
      <c r="C19" s="132" t="s">
        <v>2256</v>
      </c>
      <c r="D19" s="134" t="s">
        <v>1001</v>
      </c>
      <c r="E19" s="8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D19" s="64" t="s">
        <v>1331</v>
      </c>
      <c r="AE19" s="64" t="s">
        <v>1332</v>
      </c>
      <c r="AF19" s="66" t="s">
        <v>1333</v>
      </c>
      <c r="AG19" s="63" t="s">
        <v>1011</v>
      </c>
      <c r="AH19" s="63" t="s">
        <v>1001</v>
      </c>
      <c r="AK19" s="97" t="s">
        <v>1902</v>
      </c>
      <c r="AL19" s="98" t="s">
        <v>1176</v>
      </c>
      <c r="AM19" s="99" t="s">
        <v>1002</v>
      </c>
      <c r="AN19" s="122" t="s">
        <v>2245</v>
      </c>
    </row>
    <row r="20" spans="1:40" ht="23.1" customHeight="1" x14ac:dyDescent="0.25">
      <c r="A20" s="141">
        <v>11</v>
      </c>
      <c r="B20" s="132" t="s">
        <v>2017</v>
      </c>
      <c r="C20" s="132" t="s">
        <v>1293</v>
      </c>
      <c r="D20" s="134" t="s">
        <v>1002</v>
      </c>
      <c r="E20" s="8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D20" s="63" t="s">
        <v>1355</v>
      </c>
      <c r="AE20" s="63" t="s">
        <v>1356</v>
      </c>
      <c r="AF20" s="66" t="s">
        <v>1357</v>
      </c>
      <c r="AG20" s="63" t="s">
        <v>1011</v>
      </c>
      <c r="AH20" s="63" t="s">
        <v>1002</v>
      </c>
      <c r="AK20" s="97" t="s">
        <v>2021</v>
      </c>
      <c r="AL20" s="98" t="s">
        <v>1620</v>
      </c>
      <c r="AM20" s="99" t="s">
        <v>1002</v>
      </c>
      <c r="AN20" s="122" t="s">
        <v>2241</v>
      </c>
    </row>
    <row r="21" spans="1:40" ht="23.1" customHeight="1" x14ac:dyDescent="0.25">
      <c r="A21" s="141">
        <v>12</v>
      </c>
      <c r="B21" s="132" t="s">
        <v>2127</v>
      </c>
      <c r="C21" s="132" t="s">
        <v>1731</v>
      </c>
      <c r="D21" s="134" t="s">
        <v>1002</v>
      </c>
      <c r="E21" s="8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D21" s="60" t="s">
        <v>1603</v>
      </c>
      <c r="AE21" s="60" t="s">
        <v>1604</v>
      </c>
      <c r="AF21" s="65">
        <v>86.64</v>
      </c>
      <c r="AG21" s="63" t="s">
        <v>1011</v>
      </c>
      <c r="AH21" s="63" t="s">
        <v>1002</v>
      </c>
      <c r="AK21" s="97" t="s">
        <v>1906</v>
      </c>
      <c r="AL21" s="98" t="s">
        <v>1847</v>
      </c>
      <c r="AM21" s="99" t="s">
        <v>1001</v>
      </c>
      <c r="AN21" s="122" t="s">
        <v>2245</v>
      </c>
    </row>
    <row r="22" spans="1:40" ht="23.1" customHeight="1" x14ac:dyDescent="0.25">
      <c r="A22" s="141">
        <v>13</v>
      </c>
      <c r="B22" s="132" t="s">
        <v>2021</v>
      </c>
      <c r="C22" s="132" t="s">
        <v>1620</v>
      </c>
      <c r="D22" s="134" t="s">
        <v>1002</v>
      </c>
      <c r="E22" s="8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D22" s="64" t="s">
        <v>1349</v>
      </c>
      <c r="AE22" s="64" t="s">
        <v>1350</v>
      </c>
      <c r="AF22" s="66" t="s">
        <v>1351</v>
      </c>
      <c r="AG22" s="63" t="s">
        <v>1011</v>
      </c>
      <c r="AH22" s="63" t="s">
        <v>1002</v>
      </c>
      <c r="AK22" s="97" t="s">
        <v>2165</v>
      </c>
      <c r="AL22" s="98" t="s">
        <v>2166</v>
      </c>
      <c r="AM22" s="99" t="s">
        <v>1001</v>
      </c>
      <c r="AN22" s="122" t="s">
        <v>2243</v>
      </c>
    </row>
    <row r="23" spans="1:40" ht="23.1" customHeight="1" x14ac:dyDescent="0.25">
      <c r="A23" s="141">
        <v>14</v>
      </c>
      <c r="B23" s="132" t="s">
        <v>1906</v>
      </c>
      <c r="C23" s="132" t="s">
        <v>1847</v>
      </c>
      <c r="D23" s="134" t="s">
        <v>1001</v>
      </c>
      <c r="E23" s="8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D23" s="29">
        <v>95739171</v>
      </c>
      <c r="AE23" s="29" t="s">
        <v>1804</v>
      </c>
      <c r="AF23" s="29" t="s">
        <v>1195</v>
      </c>
      <c r="AG23" s="67" t="s">
        <v>1011</v>
      </c>
      <c r="AH23" s="28" t="s">
        <v>1002</v>
      </c>
      <c r="AK23" s="97" t="s">
        <v>2167</v>
      </c>
      <c r="AL23" s="98" t="s">
        <v>1550</v>
      </c>
      <c r="AM23" s="99" t="s">
        <v>1001</v>
      </c>
      <c r="AN23" s="122" t="s">
        <v>2243</v>
      </c>
    </row>
    <row r="24" spans="1:40" ht="23.1" customHeight="1" x14ac:dyDescent="0.25">
      <c r="A24" s="141">
        <v>15</v>
      </c>
      <c r="B24" s="132" t="s">
        <v>2165</v>
      </c>
      <c r="C24" s="132" t="s">
        <v>2166</v>
      </c>
      <c r="D24" s="134" t="s">
        <v>1001</v>
      </c>
      <c r="E24" s="8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D24" s="64" t="s">
        <v>1352</v>
      </c>
      <c r="AE24" s="64" t="s">
        <v>1353</v>
      </c>
      <c r="AF24" s="66" t="s">
        <v>1354</v>
      </c>
      <c r="AG24" s="63" t="s">
        <v>1011</v>
      </c>
      <c r="AH24" s="63" t="s">
        <v>1002</v>
      </c>
      <c r="AK24" s="97" t="s">
        <v>2033</v>
      </c>
      <c r="AL24" s="98" t="s">
        <v>1616</v>
      </c>
      <c r="AM24" s="99" t="s">
        <v>1002</v>
      </c>
      <c r="AN24" s="122" t="s">
        <v>2241</v>
      </c>
    </row>
    <row r="25" spans="1:40" ht="23.1" customHeight="1" x14ac:dyDescent="0.25">
      <c r="A25" s="141">
        <v>16</v>
      </c>
      <c r="B25" s="132" t="s">
        <v>2167</v>
      </c>
      <c r="C25" s="132" t="s">
        <v>1550</v>
      </c>
      <c r="D25" s="134" t="s">
        <v>1001</v>
      </c>
      <c r="E25" s="8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D25" s="60" t="s">
        <v>1597</v>
      </c>
      <c r="AE25" s="60" t="s">
        <v>1598</v>
      </c>
      <c r="AF25" s="65">
        <v>87.34</v>
      </c>
      <c r="AG25" s="63" t="s">
        <v>1011</v>
      </c>
      <c r="AH25" s="63" t="s">
        <v>1001</v>
      </c>
      <c r="AK25" s="97" t="s">
        <v>2065</v>
      </c>
      <c r="AL25" s="101" t="s">
        <v>1436</v>
      </c>
      <c r="AM25" s="99" t="s">
        <v>1002</v>
      </c>
      <c r="AN25" s="122" t="s">
        <v>2238</v>
      </c>
    </row>
    <row r="26" spans="1:40" ht="23.1" customHeight="1" x14ac:dyDescent="0.25">
      <c r="A26" s="141">
        <v>17</v>
      </c>
      <c r="B26" s="132" t="s">
        <v>2033</v>
      </c>
      <c r="C26" s="132" t="s">
        <v>1616</v>
      </c>
      <c r="D26" s="134" t="s">
        <v>1002</v>
      </c>
      <c r="E26" s="8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D26" s="63" t="s">
        <v>1358</v>
      </c>
      <c r="AE26" s="63" t="s">
        <v>1359</v>
      </c>
      <c r="AF26" s="66" t="s">
        <v>1360</v>
      </c>
      <c r="AG26" s="63" t="s">
        <v>1011</v>
      </c>
      <c r="AH26" s="63" t="s">
        <v>1001</v>
      </c>
      <c r="AK26" s="97" t="s">
        <v>1909</v>
      </c>
      <c r="AL26" s="98" t="s">
        <v>1077</v>
      </c>
      <c r="AM26" s="99" t="s">
        <v>1002</v>
      </c>
      <c r="AN26" s="122" t="s">
        <v>2245</v>
      </c>
    </row>
    <row r="27" spans="1:40" ht="23.1" customHeight="1" x14ac:dyDescent="0.25">
      <c r="A27" s="141">
        <v>18</v>
      </c>
      <c r="B27" s="132" t="s">
        <v>2065</v>
      </c>
      <c r="C27" s="132" t="s">
        <v>1436</v>
      </c>
      <c r="D27" s="134" t="s">
        <v>1002</v>
      </c>
      <c r="E27" s="8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D27" s="64" t="s">
        <v>1343</v>
      </c>
      <c r="AE27" s="64" t="s">
        <v>1344</v>
      </c>
      <c r="AF27" s="66" t="s">
        <v>1345</v>
      </c>
      <c r="AG27" s="63" t="s">
        <v>1011</v>
      </c>
      <c r="AH27" s="63" t="s">
        <v>1001</v>
      </c>
      <c r="AK27" s="97" t="s">
        <v>1872</v>
      </c>
      <c r="AL27" s="98" t="s">
        <v>1116</v>
      </c>
      <c r="AM27" s="99" t="s">
        <v>1002</v>
      </c>
      <c r="AN27" s="122" t="s">
        <v>2237</v>
      </c>
    </row>
    <row r="28" spans="1:40" ht="23.1" customHeight="1" x14ac:dyDescent="0.25">
      <c r="A28" s="141">
        <v>19</v>
      </c>
      <c r="B28" s="132" t="s">
        <v>1872</v>
      </c>
      <c r="C28" s="132" t="s">
        <v>1116</v>
      </c>
      <c r="D28" s="134" t="s">
        <v>1002</v>
      </c>
      <c r="E28" s="8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D28" s="63" t="s">
        <v>1346</v>
      </c>
      <c r="AE28" s="63" t="s">
        <v>1347</v>
      </c>
      <c r="AF28" s="66" t="s">
        <v>1348</v>
      </c>
      <c r="AG28" s="63" t="s">
        <v>1011</v>
      </c>
      <c r="AH28" s="63" t="s">
        <v>1001</v>
      </c>
      <c r="AK28" s="97" t="s">
        <v>1950</v>
      </c>
      <c r="AL28" s="98" t="s">
        <v>1235</v>
      </c>
      <c r="AM28" s="99" t="s">
        <v>1002</v>
      </c>
      <c r="AN28" s="122" t="s">
        <v>2240</v>
      </c>
    </row>
    <row r="29" spans="1:40" ht="23.1" customHeight="1" x14ac:dyDescent="0.25">
      <c r="A29" s="141">
        <v>20</v>
      </c>
      <c r="B29" s="132" t="s">
        <v>2067</v>
      </c>
      <c r="C29" s="132" t="s">
        <v>1825</v>
      </c>
      <c r="D29" s="134" t="s">
        <v>1002</v>
      </c>
      <c r="E29" s="8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D29" s="60" t="s">
        <v>1593</v>
      </c>
      <c r="AE29" s="60" t="s">
        <v>1594</v>
      </c>
      <c r="AF29" s="65">
        <v>87.85</v>
      </c>
      <c r="AG29" s="63" t="s">
        <v>1011</v>
      </c>
      <c r="AH29" s="63" t="s">
        <v>1002</v>
      </c>
      <c r="AK29" s="97" t="s">
        <v>1951</v>
      </c>
      <c r="AL29" s="98" t="s">
        <v>1642</v>
      </c>
      <c r="AM29" s="99" t="s">
        <v>1002</v>
      </c>
      <c r="AN29" s="122" t="s">
        <v>2240</v>
      </c>
    </row>
    <row r="30" spans="1:40" ht="23.1" customHeight="1" x14ac:dyDescent="0.25">
      <c r="A30" s="141">
        <v>21</v>
      </c>
      <c r="B30" s="132" t="s">
        <v>1950</v>
      </c>
      <c r="C30" s="132" t="s">
        <v>1235</v>
      </c>
      <c r="D30" s="134" t="s">
        <v>1002</v>
      </c>
      <c r="E30" s="8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D30" s="28">
        <v>94576750</v>
      </c>
      <c r="AE30" s="28" t="s">
        <v>1696</v>
      </c>
      <c r="AF30" s="28" t="s">
        <v>1697</v>
      </c>
      <c r="AG30" s="63" t="s">
        <v>1011</v>
      </c>
      <c r="AH30" s="63" t="s">
        <v>1002</v>
      </c>
      <c r="AK30" s="97" t="s">
        <v>2137</v>
      </c>
      <c r="AL30" s="101" t="s">
        <v>1411</v>
      </c>
      <c r="AM30" s="99" t="s">
        <v>1002</v>
      </c>
      <c r="AN30" s="122" t="s">
        <v>2239</v>
      </c>
    </row>
    <row r="31" spans="1:40" ht="23.1" customHeight="1" x14ac:dyDescent="0.25">
      <c r="A31" s="141">
        <v>22</v>
      </c>
      <c r="B31" s="132" t="s">
        <v>1951</v>
      </c>
      <c r="C31" s="132" t="s">
        <v>1642</v>
      </c>
      <c r="D31" s="134" t="s">
        <v>1002</v>
      </c>
      <c r="E31" s="8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D31" s="60" t="s">
        <v>1591</v>
      </c>
      <c r="AE31" s="60" t="s">
        <v>1592</v>
      </c>
      <c r="AF31" s="65">
        <v>88.34</v>
      </c>
      <c r="AG31" s="63" t="s">
        <v>1011</v>
      </c>
      <c r="AH31" s="63" t="s">
        <v>1002</v>
      </c>
      <c r="AK31" s="97" t="s">
        <v>1912</v>
      </c>
      <c r="AL31" s="98" t="s">
        <v>1158</v>
      </c>
      <c r="AM31" s="99" t="s">
        <v>1002</v>
      </c>
      <c r="AN31" s="122" t="s">
        <v>2245</v>
      </c>
    </row>
    <row r="32" spans="1:40" ht="23.1" customHeight="1" x14ac:dyDescent="0.25">
      <c r="A32" s="141">
        <v>23</v>
      </c>
      <c r="B32" s="132" t="s">
        <v>1912</v>
      </c>
      <c r="C32" s="132" t="s">
        <v>1158</v>
      </c>
      <c r="D32" s="134" t="s">
        <v>1002</v>
      </c>
      <c r="E32" s="8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D32" s="64" t="s">
        <v>1361</v>
      </c>
      <c r="AE32" s="64" t="s">
        <v>1362</v>
      </c>
      <c r="AF32" s="66" t="s">
        <v>1363</v>
      </c>
      <c r="AG32" s="63" t="s">
        <v>1011</v>
      </c>
      <c r="AH32" s="63" t="s">
        <v>1001</v>
      </c>
      <c r="AK32" s="97" t="s">
        <v>2202</v>
      </c>
      <c r="AL32" s="101" t="s">
        <v>1532</v>
      </c>
      <c r="AM32" s="99" t="s">
        <v>1002</v>
      </c>
      <c r="AN32" s="122" t="s">
        <v>2249</v>
      </c>
    </row>
    <row r="33" spans="1:40" ht="23.1" customHeight="1" x14ac:dyDescent="0.25">
      <c r="A33" s="141">
        <v>24</v>
      </c>
      <c r="B33" s="132" t="s">
        <v>2037</v>
      </c>
      <c r="C33" s="147" t="s">
        <v>1667</v>
      </c>
      <c r="D33" s="134" t="s">
        <v>1002</v>
      </c>
      <c r="E33" s="8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D33" s="60" t="s">
        <v>1601</v>
      </c>
      <c r="AE33" s="60" t="s">
        <v>1602</v>
      </c>
      <c r="AF33" s="65">
        <v>86.81</v>
      </c>
      <c r="AG33" s="63" t="s">
        <v>1011</v>
      </c>
      <c r="AH33" s="63" t="s">
        <v>1001</v>
      </c>
      <c r="AK33" s="97" t="s">
        <v>2037</v>
      </c>
      <c r="AL33" s="98" t="s">
        <v>1667</v>
      </c>
      <c r="AM33" s="99" t="s">
        <v>1002</v>
      </c>
      <c r="AN33" s="122" t="s">
        <v>2241</v>
      </c>
    </row>
    <row r="34" spans="1:40" ht="23.1" customHeight="1" x14ac:dyDescent="0.25">
      <c r="A34" s="141">
        <v>26</v>
      </c>
      <c r="B34" s="132" t="s">
        <v>1955</v>
      </c>
      <c r="C34" s="132" t="s">
        <v>1655</v>
      </c>
      <c r="D34" s="134" t="s">
        <v>1002</v>
      </c>
      <c r="E34" s="8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D34" s="28">
        <v>101073797</v>
      </c>
      <c r="AE34" s="28" t="s">
        <v>1698</v>
      </c>
      <c r="AF34" s="28" t="s">
        <v>1699</v>
      </c>
      <c r="AG34" s="63" t="s">
        <v>1011</v>
      </c>
      <c r="AH34" s="63" t="s">
        <v>1001</v>
      </c>
      <c r="AK34" s="97" t="s">
        <v>1955</v>
      </c>
      <c r="AL34" s="98" t="s">
        <v>1655</v>
      </c>
      <c r="AM34" s="99" t="s">
        <v>1002</v>
      </c>
      <c r="AN34" s="122" t="s">
        <v>2240</v>
      </c>
    </row>
    <row r="35" spans="1:40" ht="23.1" customHeight="1" x14ac:dyDescent="0.25">
      <c r="A35" s="141">
        <v>27</v>
      </c>
      <c r="B35" s="132" t="s">
        <v>1919</v>
      </c>
      <c r="C35" s="132" t="s">
        <v>1199</v>
      </c>
      <c r="D35" s="134" t="s">
        <v>1001</v>
      </c>
      <c r="E35" s="8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D35" s="29">
        <v>97996968</v>
      </c>
      <c r="AE35" s="29" t="s">
        <v>1805</v>
      </c>
      <c r="AF35" s="29" t="s">
        <v>1806</v>
      </c>
      <c r="AG35" s="67" t="s">
        <v>1011</v>
      </c>
      <c r="AH35" s="28" t="s">
        <v>1001</v>
      </c>
      <c r="AK35" s="97" t="s">
        <v>1919</v>
      </c>
      <c r="AL35" s="98" t="s">
        <v>1199</v>
      </c>
      <c r="AM35" s="99" t="s">
        <v>1001</v>
      </c>
      <c r="AN35" s="122" t="s">
        <v>2245</v>
      </c>
    </row>
    <row r="36" spans="1:40" ht="23.1" customHeight="1" x14ac:dyDescent="0.25">
      <c r="A36" s="141">
        <v>28</v>
      </c>
      <c r="B36" s="132" t="s">
        <v>2173</v>
      </c>
      <c r="C36" s="132" t="s">
        <v>1544</v>
      </c>
      <c r="D36" s="134" t="s">
        <v>1002</v>
      </c>
      <c r="E36" s="8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D36" s="28">
        <v>92876045</v>
      </c>
      <c r="AE36" s="28" t="s">
        <v>1694</v>
      </c>
      <c r="AF36" s="28" t="s">
        <v>1695</v>
      </c>
      <c r="AG36" s="63" t="s">
        <v>1011</v>
      </c>
      <c r="AH36" s="63" t="s">
        <v>1002</v>
      </c>
      <c r="AK36" s="97" t="s">
        <v>2173</v>
      </c>
      <c r="AL36" s="98" t="s">
        <v>1544</v>
      </c>
      <c r="AM36" s="99" t="s">
        <v>1002</v>
      </c>
      <c r="AN36" s="122" t="s">
        <v>2243</v>
      </c>
    </row>
    <row r="37" spans="1:40" ht="23.1" customHeight="1" x14ac:dyDescent="0.25">
      <c r="A37" s="141">
        <v>29</v>
      </c>
      <c r="B37" s="132" t="s">
        <v>2205</v>
      </c>
      <c r="C37" s="132" t="s">
        <v>2252</v>
      </c>
      <c r="D37" s="134" t="s">
        <v>1002</v>
      </c>
      <c r="E37" s="88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D37" s="29">
        <v>106287537</v>
      </c>
      <c r="AE37" s="29" t="s">
        <v>1702</v>
      </c>
      <c r="AF37" s="29" t="s">
        <v>1703</v>
      </c>
      <c r="AG37" s="63" t="s">
        <v>1011</v>
      </c>
      <c r="AH37" s="63" t="s">
        <v>1002</v>
      </c>
      <c r="AK37" s="97" t="s">
        <v>2205</v>
      </c>
      <c r="AL37" s="101" t="s">
        <v>1522</v>
      </c>
      <c r="AM37" s="99" t="s">
        <v>1002</v>
      </c>
      <c r="AN37" s="122" t="s">
        <v>2249</v>
      </c>
    </row>
    <row r="38" spans="1:40" ht="23.1" customHeight="1" x14ac:dyDescent="0.25">
      <c r="A38" s="141">
        <v>30</v>
      </c>
      <c r="B38" s="132" t="s">
        <v>2140</v>
      </c>
      <c r="C38" s="132" t="s">
        <v>2258</v>
      </c>
      <c r="D38" s="134" t="s">
        <v>1002</v>
      </c>
      <c r="E38" s="8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D38" s="64" t="s">
        <v>1334</v>
      </c>
      <c r="AE38" s="64" t="s">
        <v>1335</v>
      </c>
      <c r="AF38" s="66" t="s">
        <v>1336</v>
      </c>
      <c r="AG38" s="63" t="s">
        <v>1011</v>
      </c>
      <c r="AH38" s="63" t="s">
        <v>1002</v>
      </c>
      <c r="AK38" s="97" t="s">
        <v>2140</v>
      </c>
      <c r="AL38" s="101" t="s">
        <v>1433</v>
      </c>
      <c r="AM38" s="99" t="s">
        <v>1002</v>
      </c>
      <c r="AN38" s="122" t="s">
        <v>2239</v>
      </c>
    </row>
    <row r="39" spans="1:40" ht="23.1" customHeight="1" x14ac:dyDescent="0.25">
      <c r="A39" s="141">
        <v>31</v>
      </c>
      <c r="B39" s="132" t="s">
        <v>1920</v>
      </c>
      <c r="C39" s="132" t="s">
        <v>1216</v>
      </c>
      <c r="D39" s="134" t="s">
        <v>1001</v>
      </c>
      <c r="E39" s="8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D39" s="60" t="s">
        <v>1595</v>
      </c>
      <c r="AE39" s="60" t="s">
        <v>1596</v>
      </c>
      <c r="AF39" s="65">
        <v>87.57</v>
      </c>
      <c r="AG39" s="63" t="s">
        <v>1011</v>
      </c>
      <c r="AH39" s="63" t="s">
        <v>1001</v>
      </c>
      <c r="AK39" s="97" t="s">
        <v>1920</v>
      </c>
      <c r="AL39" s="98" t="s">
        <v>1216</v>
      </c>
      <c r="AM39" s="99" t="s">
        <v>1001</v>
      </c>
      <c r="AN39" s="122" t="s">
        <v>2245</v>
      </c>
    </row>
    <row r="40" spans="1:40" ht="23.1" customHeight="1" x14ac:dyDescent="0.25">
      <c r="A40" s="141">
        <v>32</v>
      </c>
      <c r="B40" s="132" t="s">
        <v>2040</v>
      </c>
      <c r="C40" s="132" t="s">
        <v>1675</v>
      </c>
      <c r="D40" s="134" t="s">
        <v>1002</v>
      </c>
      <c r="E40" s="8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D40" s="63" t="s">
        <v>1366</v>
      </c>
      <c r="AE40" s="63" t="s">
        <v>1367</v>
      </c>
      <c r="AF40" s="66" t="s">
        <v>1368</v>
      </c>
      <c r="AG40" s="63" t="s">
        <v>1011</v>
      </c>
      <c r="AH40" s="63" t="s">
        <v>1002</v>
      </c>
      <c r="AK40" s="97" t="s">
        <v>2040</v>
      </c>
      <c r="AL40" s="98" t="s">
        <v>1675</v>
      </c>
      <c r="AM40" s="99" t="s">
        <v>1002</v>
      </c>
      <c r="AN40" s="122" t="s">
        <v>2241</v>
      </c>
    </row>
    <row r="41" spans="1:40" ht="23.1" customHeight="1" x14ac:dyDescent="0.25">
      <c r="A41" s="141">
        <v>33</v>
      </c>
      <c r="B41" s="132" t="s">
        <v>2073</v>
      </c>
      <c r="C41" s="132" t="s">
        <v>1702</v>
      </c>
      <c r="D41" s="165" t="s">
        <v>1002</v>
      </c>
      <c r="E41" s="8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D41" s="28">
        <v>97549501</v>
      </c>
      <c r="AE41" s="28" t="s">
        <v>1692</v>
      </c>
      <c r="AF41" s="28" t="s">
        <v>1693</v>
      </c>
      <c r="AG41" s="63" t="s">
        <v>1011</v>
      </c>
      <c r="AH41" s="63" t="s">
        <v>1002</v>
      </c>
      <c r="AK41" s="97"/>
      <c r="AL41" s="98"/>
      <c r="AM41" s="99"/>
      <c r="AN41" s="122"/>
    </row>
    <row r="42" spans="1:40" ht="23.1" customHeight="1" x14ac:dyDescent="0.25">
      <c r="A42" s="141">
        <v>34</v>
      </c>
      <c r="B42" s="132" t="s">
        <v>1925</v>
      </c>
      <c r="C42" s="132" t="s">
        <v>1926</v>
      </c>
      <c r="D42" s="134" t="s">
        <v>1002</v>
      </c>
      <c r="E42" s="8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D42" s="64" t="s">
        <v>1364</v>
      </c>
      <c r="AE42" s="64" t="s">
        <v>1365</v>
      </c>
      <c r="AF42" s="66" t="s">
        <v>1324</v>
      </c>
      <c r="AG42" s="63" t="s">
        <v>1011</v>
      </c>
      <c r="AH42" s="68" t="s">
        <v>1002</v>
      </c>
      <c r="AK42" s="97" t="s">
        <v>2073</v>
      </c>
      <c r="AL42" s="101" t="s">
        <v>1702</v>
      </c>
      <c r="AM42" s="99" t="s">
        <v>1002</v>
      </c>
      <c r="AN42" s="122" t="s">
        <v>2238</v>
      </c>
    </row>
    <row r="43" spans="1:40" ht="23.1" customHeight="1" x14ac:dyDescent="0.25">
      <c r="A43" s="141">
        <v>35</v>
      </c>
      <c r="B43" s="132" t="s">
        <v>1961</v>
      </c>
      <c r="C43" s="132" t="s">
        <v>1652</v>
      </c>
      <c r="D43" s="134" t="s">
        <v>1002</v>
      </c>
      <c r="E43" s="8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D43" s="64" t="s">
        <v>1328</v>
      </c>
      <c r="AE43" s="64" t="s">
        <v>1329</v>
      </c>
      <c r="AF43" s="66" t="s">
        <v>1330</v>
      </c>
      <c r="AG43" s="63" t="s">
        <v>1011</v>
      </c>
      <c r="AH43" s="68" t="s">
        <v>1001</v>
      </c>
      <c r="AK43" s="97" t="s">
        <v>1925</v>
      </c>
      <c r="AL43" s="98" t="s">
        <v>1926</v>
      </c>
      <c r="AM43" s="99" t="s">
        <v>1002</v>
      </c>
      <c r="AN43" s="122" t="s">
        <v>2245</v>
      </c>
    </row>
    <row r="44" spans="1:40" ht="23.1" customHeight="1" x14ac:dyDescent="0.25">
      <c r="A44" s="141">
        <v>25</v>
      </c>
      <c r="B44" s="132" t="s">
        <v>2075</v>
      </c>
      <c r="C44" s="132" t="s">
        <v>2254</v>
      </c>
      <c r="D44" s="134" t="s">
        <v>1001</v>
      </c>
      <c r="E44" s="8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D44" s="129"/>
      <c r="AE44" s="129"/>
      <c r="AF44" s="73"/>
      <c r="AK44" s="97" t="s">
        <v>2075</v>
      </c>
      <c r="AL44" s="101" t="s">
        <v>1596</v>
      </c>
      <c r="AM44" s="99" t="s">
        <v>1001</v>
      </c>
      <c r="AN44" s="122" t="s">
        <v>2238</v>
      </c>
    </row>
    <row r="45" spans="1:40" ht="23.1" customHeight="1" x14ac:dyDescent="0.25">
      <c r="A45" s="141">
        <v>36</v>
      </c>
      <c r="B45" s="132" t="s">
        <v>1927</v>
      </c>
      <c r="C45" s="132" t="s">
        <v>1210</v>
      </c>
      <c r="D45" s="134" t="s">
        <v>1002</v>
      </c>
      <c r="E45" s="88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K45" s="97" t="s">
        <v>1927</v>
      </c>
      <c r="AL45" s="98" t="s">
        <v>1210</v>
      </c>
      <c r="AM45" s="99" t="s">
        <v>1002</v>
      </c>
      <c r="AN45" s="122" t="s">
        <v>2245</v>
      </c>
    </row>
    <row r="46" spans="1:40" ht="23.1" customHeight="1" x14ac:dyDescent="0.25">
      <c r="A46" s="221" t="s">
        <v>997</v>
      </c>
      <c r="B46" s="221"/>
      <c r="C46" s="154" t="s">
        <v>999</v>
      </c>
      <c r="D46" s="155">
        <f>COUNTIFS($D$10:$D$45,"L")</f>
        <v>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40" ht="23.1" customHeight="1" x14ac:dyDescent="0.25">
      <c r="A47" s="220" t="s">
        <v>998</v>
      </c>
      <c r="B47" s="220"/>
      <c r="C47" s="150" t="s">
        <v>1000</v>
      </c>
      <c r="D47" s="141">
        <f>COUNTIFS($D$10:$D$45,"P")</f>
        <v>28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40" ht="23.1" customHeight="1" x14ac:dyDescent="0.25">
      <c r="A48" s="151"/>
      <c r="B48" s="152"/>
      <c r="C48" s="152"/>
      <c r="D48" s="151">
        <f>D46+D47</f>
        <v>36</v>
      </c>
    </row>
  </sheetData>
  <sortState xmlns:xlrd2="http://schemas.microsoft.com/office/spreadsheetml/2017/richdata2" ref="B10:D45">
    <sortCondition ref="C10:C45"/>
  </sortState>
  <mergeCells count="15">
    <mergeCell ref="A47:B47"/>
    <mergeCell ref="S7:T7"/>
    <mergeCell ref="U7:AB7"/>
    <mergeCell ref="A46:B46"/>
    <mergeCell ref="A1:AB1"/>
    <mergeCell ref="A2:AB2"/>
    <mergeCell ref="A3:AB3"/>
    <mergeCell ref="A4:AB4"/>
    <mergeCell ref="A7:A9"/>
    <mergeCell ref="B7:B9"/>
    <mergeCell ref="D7:D9"/>
    <mergeCell ref="E7:G7"/>
    <mergeCell ref="H7:R7"/>
    <mergeCell ref="C7:C9"/>
    <mergeCell ref="E8:AB8"/>
  </mergeCells>
  <conditionalFormatting sqref="AL10:AL44">
    <cfRule type="expression" dxfId="51" priority="1">
      <formula>AL10&lt;&gt;B10</formula>
    </cfRule>
  </conditionalFormatting>
  <pageMargins left="0.31" right="0.11811023622047245" top="0.55118110236220474" bottom="0.74803149606299213" header="0.31496062992125984" footer="0.31496062992125984"/>
  <pageSetup paperSize="9" scale="6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N49"/>
  <sheetViews>
    <sheetView zoomScale="89" zoomScaleNormal="89" workbookViewId="0">
      <selection activeCell="C17" sqref="C17"/>
    </sheetView>
  </sheetViews>
  <sheetFormatPr defaultRowHeight="15" x14ac:dyDescent="0.25"/>
  <cols>
    <col min="1" max="1" width="3.85546875" style="5" bestFit="1" customWidth="1"/>
    <col min="2" max="2" width="21.85546875" style="8" customWidth="1"/>
    <col min="3" max="3" width="40" customWidth="1"/>
    <col min="4" max="4" width="5.85546875" customWidth="1"/>
    <col min="5" max="20" width="2.7109375" customWidth="1"/>
    <col min="21" max="28" width="3.28515625" customWidth="1"/>
    <col min="29" max="29" width="0" hidden="1" customWidth="1"/>
    <col min="30" max="30" width="17.7109375" hidden="1" customWidth="1"/>
    <col min="31" max="31" width="33.42578125" hidden="1" customWidth="1"/>
    <col min="32" max="32" width="8.85546875" hidden="1" customWidth="1"/>
    <col min="33" max="33" width="5.5703125" hidden="1" customWidth="1"/>
    <col min="34" max="34" width="4.85546875" hidden="1" customWidth="1"/>
    <col min="35" max="35" width="5.140625" customWidth="1"/>
    <col min="36" max="36" width="16.42578125" customWidth="1"/>
    <col min="38" max="38" width="19.7109375" customWidth="1"/>
    <col min="39" max="39" width="34.140625" customWidth="1"/>
  </cols>
  <sheetData>
    <row r="1" spans="1:40" x14ac:dyDescent="0.25">
      <c r="A1"/>
      <c r="B1"/>
    </row>
    <row r="2" spans="1:40" x14ac:dyDescent="0.25">
      <c r="A2"/>
      <c r="B2"/>
    </row>
    <row r="3" spans="1:40" ht="27" customHeight="1" x14ac:dyDescent="0.25">
      <c r="A3"/>
      <c r="B3"/>
    </row>
    <row r="4" spans="1:40" ht="21" x14ac:dyDescent="0.35">
      <c r="A4" s="183" t="s">
        <v>2236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</row>
    <row r="5" spans="1:40" ht="26.25" x14ac:dyDescent="0.4">
      <c r="O5" s="90"/>
    </row>
    <row r="7" spans="1:40" x14ac:dyDescent="0.25">
      <c r="A7" s="192" t="s">
        <v>991</v>
      </c>
      <c r="B7" s="192" t="s">
        <v>2217</v>
      </c>
      <c r="C7" s="192" t="s">
        <v>993</v>
      </c>
      <c r="D7" s="201" t="s">
        <v>994</v>
      </c>
      <c r="E7" s="203" t="s">
        <v>995</v>
      </c>
      <c r="F7" s="204"/>
      <c r="G7" s="205"/>
      <c r="H7" s="206" t="s">
        <v>2307</v>
      </c>
      <c r="I7" s="207"/>
      <c r="J7" s="207"/>
      <c r="K7" s="207"/>
      <c r="L7" s="207"/>
      <c r="M7" s="207"/>
      <c r="N7" s="207"/>
      <c r="O7" s="207"/>
      <c r="P7" s="207"/>
      <c r="Q7" s="207"/>
      <c r="R7" s="208"/>
      <c r="S7" s="209" t="s">
        <v>996</v>
      </c>
      <c r="T7" s="209"/>
      <c r="U7" s="210" t="s">
        <v>2308</v>
      </c>
      <c r="V7" s="211"/>
      <c r="W7" s="211"/>
      <c r="X7" s="211"/>
      <c r="Y7" s="211"/>
      <c r="Z7" s="211"/>
      <c r="AA7" s="211"/>
      <c r="AB7" s="211"/>
    </row>
    <row r="8" spans="1:40" x14ac:dyDescent="0.25">
      <c r="A8" s="192"/>
      <c r="B8" s="192"/>
      <c r="C8" s="192"/>
      <c r="D8" s="201"/>
      <c r="E8" s="212" t="s">
        <v>2303</v>
      </c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4"/>
      <c r="AM8" s="133"/>
    </row>
    <row r="9" spans="1:40" x14ac:dyDescent="0.25">
      <c r="A9" s="192"/>
      <c r="B9" s="192"/>
      <c r="C9" s="192"/>
      <c r="D9" s="201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40" ht="23.1" customHeight="1" x14ac:dyDescent="0.25">
      <c r="A10" s="141">
        <v>1</v>
      </c>
      <c r="B10" s="132" t="s">
        <v>2179</v>
      </c>
      <c r="C10" s="133" t="s">
        <v>2261</v>
      </c>
      <c r="D10" s="134" t="s">
        <v>1001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D10" s="41">
        <v>93002126</v>
      </c>
      <c r="AE10" s="41" t="s">
        <v>1720</v>
      </c>
      <c r="AF10" s="61" t="s">
        <v>1721</v>
      </c>
      <c r="AG10" s="53" t="s">
        <v>1012</v>
      </c>
      <c r="AH10" s="53" t="s">
        <v>1001</v>
      </c>
      <c r="AK10" s="95">
        <v>1</v>
      </c>
      <c r="AL10" s="97" t="s">
        <v>2179</v>
      </c>
      <c r="AM10" s="101" t="s">
        <v>1493</v>
      </c>
      <c r="AN10" s="99" t="s">
        <v>1001</v>
      </c>
    </row>
    <row r="11" spans="1:40" ht="23.1" customHeight="1" x14ac:dyDescent="0.25">
      <c r="A11" s="141">
        <v>2</v>
      </c>
      <c r="B11" s="132" t="s">
        <v>2083</v>
      </c>
      <c r="C11" s="133" t="s">
        <v>2262</v>
      </c>
      <c r="D11" s="134" t="s">
        <v>1001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D11" s="60" t="s">
        <v>1573</v>
      </c>
      <c r="AE11" s="55" t="s">
        <v>1574</v>
      </c>
      <c r="AF11" s="56">
        <v>88.32</v>
      </c>
      <c r="AG11" s="53" t="s">
        <v>1012</v>
      </c>
      <c r="AH11" s="53" t="s">
        <v>1001</v>
      </c>
      <c r="AK11" s="95">
        <v>2</v>
      </c>
      <c r="AL11" s="97" t="s">
        <v>2083</v>
      </c>
      <c r="AM11" s="101" t="s">
        <v>1574</v>
      </c>
      <c r="AN11" s="99" t="s">
        <v>1001</v>
      </c>
    </row>
    <row r="12" spans="1:40" ht="23.1" customHeight="1" x14ac:dyDescent="0.25">
      <c r="A12" s="141">
        <v>3</v>
      </c>
      <c r="B12" s="132" t="s">
        <v>2183</v>
      </c>
      <c r="C12" s="133" t="s">
        <v>1520</v>
      </c>
      <c r="D12" s="134" t="s">
        <v>1002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D12" s="60" t="s">
        <v>1585</v>
      </c>
      <c r="AE12" s="55" t="s">
        <v>1586</v>
      </c>
      <c r="AF12" s="56">
        <v>86.61</v>
      </c>
      <c r="AG12" s="53" t="s">
        <v>1012</v>
      </c>
      <c r="AH12" s="53" t="s">
        <v>1002</v>
      </c>
      <c r="AK12" s="95">
        <v>3</v>
      </c>
      <c r="AL12" s="97" t="s">
        <v>2183</v>
      </c>
      <c r="AM12" s="101" t="s">
        <v>1520</v>
      </c>
      <c r="AN12" s="99" t="s">
        <v>1002</v>
      </c>
    </row>
    <row r="13" spans="1:40" ht="23.1" customHeight="1" x14ac:dyDescent="0.25">
      <c r="A13" s="141">
        <v>4</v>
      </c>
      <c r="B13" s="132" t="s">
        <v>2118</v>
      </c>
      <c r="C13" s="133" t="s">
        <v>1646</v>
      </c>
      <c r="D13" s="134" t="s">
        <v>1002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D13" s="60" t="s">
        <v>1587</v>
      </c>
      <c r="AE13" s="55" t="s">
        <v>1588</v>
      </c>
      <c r="AF13" s="56">
        <v>86.52</v>
      </c>
      <c r="AG13" s="53" t="s">
        <v>1012</v>
      </c>
      <c r="AH13" s="53" t="s">
        <v>1002</v>
      </c>
      <c r="AK13" s="95">
        <v>4</v>
      </c>
      <c r="AL13" s="97" t="s">
        <v>2118</v>
      </c>
      <c r="AM13" s="101" t="s">
        <v>1646</v>
      </c>
      <c r="AN13" s="99" t="s">
        <v>1002</v>
      </c>
    </row>
    <row r="14" spans="1:40" ht="23.1" customHeight="1" x14ac:dyDescent="0.25">
      <c r="A14" s="141">
        <v>5</v>
      </c>
      <c r="B14" s="172" t="s">
        <v>2052</v>
      </c>
      <c r="C14" s="172" t="s">
        <v>1706</v>
      </c>
      <c r="D14" s="134" t="s">
        <v>1001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D14" s="58" t="s">
        <v>1385</v>
      </c>
      <c r="AE14" s="51" t="s">
        <v>1386</v>
      </c>
      <c r="AF14" s="52" t="s">
        <v>1387</v>
      </c>
      <c r="AG14" s="53" t="s">
        <v>1012</v>
      </c>
      <c r="AH14" s="53" t="s">
        <v>1002</v>
      </c>
      <c r="AK14" s="95">
        <v>5</v>
      </c>
      <c r="AL14" s="97" t="s">
        <v>1862</v>
      </c>
      <c r="AM14" s="98" t="s">
        <v>1863</v>
      </c>
      <c r="AN14" s="99" t="s">
        <v>1002</v>
      </c>
    </row>
    <row r="15" spans="1:40" ht="23.1" customHeight="1" x14ac:dyDescent="0.25">
      <c r="A15" s="141">
        <v>6</v>
      </c>
      <c r="B15" s="132" t="s">
        <v>1862</v>
      </c>
      <c r="C15" s="135" t="s">
        <v>1779</v>
      </c>
      <c r="D15" s="134" t="s">
        <v>1002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D15" s="41">
        <v>97551688</v>
      </c>
      <c r="AE15" s="35" t="s">
        <v>1807</v>
      </c>
      <c r="AF15" s="35" t="s">
        <v>1808</v>
      </c>
      <c r="AG15" s="35" t="s">
        <v>1012</v>
      </c>
      <c r="AH15" s="37" t="s">
        <v>1001</v>
      </c>
      <c r="AK15" s="95">
        <v>6</v>
      </c>
      <c r="AL15" s="97" t="s">
        <v>2053</v>
      </c>
      <c r="AM15" s="101" t="s">
        <v>1341</v>
      </c>
      <c r="AN15" s="99" t="s">
        <v>1002</v>
      </c>
    </row>
    <row r="16" spans="1:40" ht="23.1" customHeight="1" x14ac:dyDescent="0.25">
      <c r="A16" s="141">
        <v>7</v>
      </c>
      <c r="B16" s="132" t="s">
        <v>2053</v>
      </c>
      <c r="C16" s="133" t="s">
        <v>1341</v>
      </c>
      <c r="D16" s="134" t="s">
        <v>1002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D16" s="41">
        <v>106587992</v>
      </c>
      <c r="AE16" s="35" t="s">
        <v>1809</v>
      </c>
      <c r="AF16" s="35" t="s">
        <v>1810</v>
      </c>
      <c r="AG16" s="35" t="s">
        <v>1012</v>
      </c>
      <c r="AH16" s="37" t="s">
        <v>1001</v>
      </c>
      <c r="AK16" s="95">
        <v>7</v>
      </c>
      <c r="AL16" s="97" t="s">
        <v>2157</v>
      </c>
      <c r="AM16" s="98" t="s">
        <v>1451</v>
      </c>
      <c r="AN16" s="99" t="s">
        <v>1001</v>
      </c>
    </row>
    <row r="17" spans="1:40" ht="23.1" customHeight="1" x14ac:dyDescent="0.25">
      <c r="A17" s="141">
        <v>8</v>
      </c>
      <c r="B17" s="132" t="s">
        <v>2157</v>
      </c>
      <c r="C17" s="135" t="s">
        <v>1451</v>
      </c>
      <c r="D17" s="134" t="s">
        <v>1001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D17" s="60" t="s">
        <v>1571</v>
      </c>
      <c r="AE17" s="55" t="s">
        <v>1572</v>
      </c>
      <c r="AF17" s="56">
        <v>89.43</v>
      </c>
      <c r="AG17" s="53" t="s">
        <v>1012</v>
      </c>
      <c r="AH17" s="53" t="s">
        <v>1001</v>
      </c>
      <c r="AK17" s="95">
        <v>8</v>
      </c>
      <c r="AL17" s="97" t="s">
        <v>2055</v>
      </c>
      <c r="AM17" s="101" t="s">
        <v>1700</v>
      </c>
      <c r="AN17" s="99" t="s">
        <v>1002</v>
      </c>
    </row>
    <row r="18" spans="1:40" ht="23.1" customHeight="1" x14ac:dyDescent="0.25">
      <c r="A18" s="141">
        <v>9</v>
      </c>
      <c r="B18" s="132" t="s">
        <v>1865</v>
      </c>
      <c r="C18" s="135" t="s">
        <v>1778</v>
      </c>
      <c r="D18" s="134" t="s">
        <v>1001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D18" s="41">
        <v>109396702</v>
      </c>
      <c r="AE18" s="41" t="s">
        <v>1723</v>
      </c>
      <c r="AF18" s="61" t="s">
        <v>1724</v>
      </c>
      <c r="AG18" s="53" t="s">
        <v>1012</v>
      </c>
      <c r="AH18" s="53" t="s">
        <v>1002</v>
      </c>
      <c r="AK18" s="95">
        <v>9</v>
      </c>
      <c r="AL18" s="97" t="s">
        <v>1865</v>
      </c>
      <c r="AM18" s="98" t="s">
        <v>1866</v>
      </c>
      <c r="AN18" s="99" t="s">
        <v>1001</v>
      </c>
    </row>
    <row r="19" spans="1:40" ht="23.1" customHeight="1" x14ac:dyDescent="0.25">
      <c r="A19" s="141">
        <v>10</v>
      </c>
      <c r="B19" s="172" t="s">
        <v>2188</v>
      </c>
      <c r="C19" s="171" t="s">
        <v>1761</v>
      </c>
      <c r="D19" s="134" t="s">
        <v>1002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D19" s="58" t="s">
        <v>1371</v>
      </c>
      <c r="AE19" s="51" t="s">
        <v>1372</v>
      </c>
      <c r="AF19" s="52" t="s">
        <v>1373</v>
      </c>
      <c r="AG19" s="53" t="s">
        <v>1012</v>
      </c>
      <c r="AH19" s="53" t="s">
        <v>1002</v>
      </c>
      <c r="AK19" s="95">
        <v>10</v>
      </c>
      <c r="AL19" s="97" t="s">
        <v>2188</v>
      </c>
      <c r="AM19" s="101" t="s">
        <v>1761</v>
      </c>
      <c r="AN19" s="99" t="s">
        <v>1002</v>
      </c>
    </row>
    <row r="20" spans="1:40" ht="23.1" customHeight="1" x14ac:dyDescent="0.25">
      <c r="A20" s="141">
        <v>11</v>
      </c>
      <c r="B20" s="132" t="s">
        <v>1980</v>
      </c>
      <c r="C20" s="135" t="s">
        <v>1253</v>
      </c>
      <c r="D20" s="134" t="s">
        <v>1001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D20" s="59" t="s">
        <v>1382</v>
      </c>
      <c r="AE20" s="53" t="s">
        <v>1383</v>
      </c>
      <c r="AF20" s="52" t="s">
        <v>1384</v>
      </c>
      <c r="AG20" s="53" t="s">
        <v>1012</v>
      </c>
      <c r="AH20" s="53" t="s">
        <v>1002</v>
      </c>
      <c r="AK20" s="95">
        <v>11</v>
      </c>
      <c r="AL20" s="97" t="s">
        <v>1980</v>
      </c>
      <c r="AM20" s="98" t="s">
        <v>1253</v>
      </c>
      <c r="AN20" s="99" t="s">
        <v>1001</v>
      </c>
    </row>
    <row r="21" spans="1:40" ht="23.1" customHeight="1" x14ac:dyDescent="0.25">
      <c r="A21" s="141">
        <v>12</v>
      </c>
      <c r="B21" s="132" t="s">
        <v>2057</v>
      </c>
      <c r="C21" s="133" t="s">
        <v>1356</v>
      </c>
      <c r="D21" s="134" t="s">
        <v>1002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D21" s="60" t="s">
        <v>1577</v>
      </c>
      <c r="AE21" s="55" t="s">
        <v>1578</v>
      </c>
      <c r="AF21" s="56">
        <v>87.56</v>
      </c>
      <c r="AG21" s="53" t="s">
        <v>1012</v>
      </c>
      <c r="AH21" s="53" t="s">
        <v>1002</v>
      </c>
      <c r="AK21" s="95">
        <v>12</v>
      </c>
      <c r="AL21" s="97" t="s">
        <v>2057</v>
      </c>
      <c r="AM21" s="101" t="s">
        <v>1356</v>
      </c>
      <c r="AN21" s="99" t="s">
        <v>1002</v>
      </c>
    </row>
    <row r="22" spans="1:40" ht="23.1" customHeight="1" x14ac:dyDescent="0.25">
      <c r="A22" s="141">
        <v>13</v>
      </c>
      <c r="B22" s="132" t="s">
        <v>2128</v>
      </c>
      <c r="C22" s="133" t="s">
        <v>1737</v>
      </c>
      <c r="D22" s="134" t="s">
        <v>1002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D22" s="42">
        <v>91699738</v>
      </c>
      <c r="AE22" s="42" t="s">
        <v>1718</v>
      </c>
      <c r="AF22" s="36" t="s">
        <v>1719</v>
      </c>
      <c r="AG22" s="53" t="s">
        <v>1012</v>
      </c>
      <c r="AH22" s="53" t="s">
        <v>1002</v>
      </c>
      <c r="AK22" s="95">
        <v>13</v>
      </c>
      <c r="AL22" s="97" t="s">
        <v>2128</v>
      </c>
      <c r="AM22" s="101" t="s">
        <v>1737</v>
      </c>
      <c r="AN22" s="99" t="s">
        <v>1002</v>
      </c>
    </row>
    <row r="23" spans="1:40" ht="23.1" customHeight="1" x14ac:dyDescent="0.25">
      <c r="A23" s="141">
        <v>14</v>
      </c>
      <c r="B23" s="132" t="s">
        <v>2130</v>
      </c>
      <c r="C23" s="133" t="s">
        <v>1556</v>
      </c>
      <c r="D23" s="134" t="s">
        <v>1002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D23" s="59" t="s">
        <v>1396</v>
      </c>
      <c r="AE23" s="53" t="s">
        <v>1397</v>
      </c>
      <c r="AF23" s="52" t="s">
        <v>1398</v>
      </c>
      <c r="AG23" s="53" t="s">
        <v>1012</v>
      </c>
      <c r="AH23" s="53" t="s">
        <v>1002</v>
      </c>
      <c r="AK23" s="95">
        <v>14</v>
      </c>
      <c r="AL23" s="97" t="s">
        <v>2130</v>
      </c>
      <c r="AM23" s="101" t="s">
        <v>1556</v>
      </c>
      <c r="AN23" s="99" t="s">
        <v>1002</v>
      </c>
    </row>
    <row r="24" spans="1:40" ht="23.1" customHeight="1" x14ac:dyDescent="0.25">
      <c r="A24" s="141">
        <v>15</v>
      </c>
      <c r="B24" s="132" t="s">
        <v>2163</v>
      </c>
      <c r="C24" s="135" t="s">
        <v>2263</v>
      </c>
      <c r="D24" s="134" t="s">
        <v>1002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D24" s="60" t="s">
        <v>1583</v>
      </c>
      <c r="AE24" s="55" t="s">
        <v>1584</v>
      </c>
      <c r="AF24" s="56">
        <v>86.78</v>
      </c>
      <c r="AG24" s="53" t="s">
        <v>1012</v>
      </c>
      <c r="AH24" s="53" t="s">
        <v>1002</v>
      </c>
      <c r="AK24" s="95">
        <v>15</v>
      </c>
      <c r="AL24" s="97" t="s">
        <v>2163</v>
      </c>
      <c r="AM24" s="98" t="s">
        <v>1467</v>
      </c>
      <c r="AN24" s="99" t="s">
        <v>1002</v>
      </c>
    </row>
    <row r="25" spans="1:40" ht="23.1" customHeight="1" x14ac:dyDescent="0.25">
      <c r="A25" s="141">
        <v>16</v>
      </c>
      <c r="B25" s="132" t="s">
        <v>2100</v>
      </c>
      <c r="C25" s="133" t="s">
        <v>1370</v>
      </c>
      <c r="D25" s="134" t="s">
        <v>1002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D25" s="41">
        <v>104756008</v>
      </c>
      <c r="AE25" s="41" t="s">
        <v>1725</v>
      </c>
      <c r="AF25" s="61" t="s">
        <v>1726</v>
      </c>
      <c r="AG25" s="53" t="s">
        <v>1012</v>
      </c>
      <c r="AH25" s="53" t="s">
        <v>1001</v>
      </c>
      <c r="AK25" s="95">
        <v>16</v>
      </c>
      <c r="AL25" s="97" t="s">
        <v>2100</v>
      </c>
      <c r="AM25" s="101" t="s">
        <v>1370</v>
      </c>
      <c r="AN25" s="99" t="s">
        <v>1002</v>
      </c>
    </row>
    <row r="26" spans="1:40" ht="23.1" customHeight="1" x14ac:dyDescent="0.25">
      <c r="A26" s="141">
        <v>17</v>
      </c>
      <c r="B26" s="132" t="s">
        <v>2133</v>
      </c>
      <c r="C26" s="133" t="s">
        <v>1739</v>
      </c>
      <c r="D26" s="134" t="s">
        <v>1002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D26" s="59" t="s">
        <v>1393</v>
      </c>
      <c r="AE26" s="53" t="s">
        <v>1394</v>
      </c>
      <c r="AF26" s="52" t="s">
        <v>1395</v>
      </c>
      <c r="AG26" s="53" t="s">
        <v>1012</v>
      </c>
      <c r="AH26" s="53" t="s">
        <v>1002</v>
      </c>
      <c r="AK26" s="95">
        <v>17</v>
      </c>
      <c r="AL26" s="97" t="s">
        <v>2133</v>
      </c>
      <c r="AM26" s="101" t="s">
        <v>1739</v>
      </c>
      <c r="AN26" s="99" t="s">
        <v>1002</v>
      </c>
    </row>
    <row r="27" spans="1:40" ht="23.1" customHeight="1" x14ac:dyDescent="0.25">
      <c r="A27" s="141">
        <v>18</v>
      </c>
      <c r="B27" s="132" t="s">
        <v>1869</v>
      </c>
      <c r="C27" s="135" t="s">
        <v>1100</v>
      </c>
      <c r="D27" s="134" t="s">
        <v>1001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D27" s="58" t="s">
        <v>1376</v>
      </c>
      <c r="AE27" s="51" t="s">
        <v>1377</v>
      </c>
      <c r="AF27" s="52" t="s">
        <v>1378</v>
      </c>
      <c r="AG27" s="53" t="s">
        <v>1012</v>
      </c>
      <c r="AH27" s="53" t="s">
        <v>1002</v>
      </c>
      <c r="AK27" s="95">
        <v>18</v>
      </c>
      <c r="AL27" s="97" t="s">
        <v>1869</v>
      </c>
      <c r="AM27" s="98" t="s">
        <v>1100</v>
      </c>
      <c r="AN27" s="99" t="s">
        <v>1001</v>
      </c>
    </row>
    <row r="28" spans="1:40" ht="23.1" customHeight="1" x14ac:dyDescent="0.25">
      <c r="A28" s="141">
        <v>19</v>
      </c>
      <c r="B28" s="132" t="s">
        <v>1945</v>
      </c>
      <c r="C28" s="135" t="s">
        <v>2264</v>
      </c>
      <c r="D28" s="134" t="s">
        <v>1001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D28" s="58" t="s">
        <v>1399</v>
      </c>
      <c r="AE28" s="51" t="s">
        <v>1400</v>
      </c>
      <c r="AF28" s="52" t="s">
        <v>1363</v>
      </c>
      <c r="AG28" s="53" t="s">
        <v>1012</v>
      </c>
      <c r="AH28" s="53" t="s">
        <v>1002</v>
      </c>
      <c r="AK28" s="95">
        <v>19</v>
      </c>
      <c r="AL28" s="97" t="s">
        <v>1945</v>
      </c>
      <c r="AM28" s="98" t="s">
        <v>1946</v>
      </c>
      <c r="AN28" s="99" t="s">
        <v>1001</v>
      </c>
    </row>
    <row r="29" spans="1:40" ht="23.1" customHeight="1" x14ac:dyDescent="0.25">
      <c r="A29" s="141">
        <v>20</v>
      </c>
      <c r="B29" s="147" t="s">
        <v>2193</v>
      </c>
      <c r="C29" s="135" t="s">
        <v>1843</v>
      </c>
      <c r="D29" s="134" t="s">
        <v>1001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D29" s="42">
        <v>94683167</v>
      </c>
      <c r="AE29" s="42" t="s">
        <v>1716</v>
      </c>
      <c r="AF29" s="36" t="s">
        <v>1717</v>
      </c>
      <c r="AG29" s="53" t="s">
        <v>1012</v>
      </c>
      <c r="AH29" s="53" t="s">
        <v>1002</v>
      </c>
      <c r="AK29" s="95">
        <v>20</v>
      </c>
      <c r="AL29" s="102" t="s">
        <v>2193</v>
      </c>
      <c r="AM29" s="98" t="s">
        <v>1843</v>
      </c>
      <c r="AN29" s="99" t="s">
        <v>1001</v>
      </c>
    </row>
    <row r="30" spans="1:40" ht="23.1" customHeight="1" x14ac:dyDescent="0.25">
      <c r="A30" s="141">
        <v>21</v>
      </c>
      <c r="B30" s="132" t="s">
        <v>1947</v>
      </c>
      <c r="C30" s="135" t="s">
        <v>1641</v>
      </c>
      <c r="D30" s="134" t="s">
        <v>1001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D30" s="58" t="s">
        <v>1369</v>
      </c>
      <c r="AE30" s="51" t="s">
        <v>1370</v>
      </c>
      <c r="AF30" s="52" t="s">
        <v>1330</v>
      </c>
      <c r="AG30" s="53" t="s">
        <v>1012</v>
      </c>
      <c r="AH30" s="53" t="s">
        <v>1002</v>
      </c>
      <c r="AK30" s="95">
        <v>21</v>
      </c>
      <c r="AL30" s="97" t="s">
        <v>1947</v>
      </c>
      <c r="AM30" s="98" t="s">
        <v>1641</v>
      </c>
      <c r="AN30" s="99" t="s">
        <v>1001</v>
      </c>
    </row>
    <row r="31" spans="1:40" ht="23.1" customHeight="1" x14ac:dyDescent="0.25">
      <c r="A31" s="141">
        <v>22</v>
      </c>
      <c r="B31" s="132" t="s">
        <v>2136</v>
      </c>
      <c r="C31" s="133" t="s">
        <v>1740</v>
      </c>
      <c r="D31" s="134" t="s">
        <v>1002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D31" s="60" t="s">
        <v>1579</v>
      </c>
      <c r="AE31" s="55" t="s">
        <v>1580</v>
      </c>
      <c r="AF31" s="56">
        <v>87.33</v>
      </c>
      <c r="AG31" s="53" t="s">
        <v>1012</v>
      </c>
      <c r="AH31" s="53" t="s">
        <v>1002</v>
      </c>
      <c r="AK31" s="95">
        <v>22</v>
      </c>
      <c r="AL31" s="97" t="s">
        <v>2136</v>
      </c>
      <c r="AM31" s="101" t="s">
        <v>1740</v>
      </c>
      <c r="AN31" s="99" t="s">
        <v>1002</v>
      </c>
    </row>
    <row r="32" spans="1:40" ht="23.1" customHeight="1" x14ac:dyDescent="0.25">
      <c r="A32" s="141">
        <v>23</v>
      </c>
      <c r="B32" s="132" t="s">
        <v>1952</v>
      </c>
      <c r="C32" s="135" t="s">
        <v>1323</v>
      </c>
      <c r="D32" s="134" t="s">
        <v>1002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D32" s="58" t="s">
        <v>1374</v>
      </c>
      <c r="AE32" s="51" t="s">
        <v>1375</v>
      </c>
      <c r="AF32" s="52" t="s">
        <v>1336</v>
      </c>
      <c r="AG32" s="53" t="s">
        <v>1012</v>
      </c>
      <c r="AH32" s="53" t="s">
        <v>1001</v>
      </c>
      <c r="AK32" s="95">
        <v>23</v>
      </c>
      <c r="AL32" s="97" t="s">
        <v>1952</v>
      </c>
      <c r="AM32" s="98" t="s">
        <v>1323</v>
      </c>
      <c r="AN32" s="99" t="s">
        <v>1002</v>
      </c>
    </row>
    <row r="33" spans="1:40" ht="23.1" customHeight="1" x14ac:dyDescent="0.25">
      <c r="A33" s="141">
        <v>24</v>
      </c>
      <c r="B33" s="132" t="s">
        <v>2036</v>
      </c>
      <c r="C33" s="135" t="s">
        <v>1269</v>
      </c>
      <c r="D33" s="134" t="s">
        <v>1002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D33" s="42">
        <v>95654087</v>
      </c>
      <c r="AE33" s="42" t="s">
        <v>1712</v>
      </c>
      <c r="AF33" s="36" t="s">
        <v>1713</v>
      </c>
      <c r="AG33" s="53" t="s">
        <v>1012</v>
      </c>
      <c r="AH33" s="53" t="s">
        <v>1002</v>
      </c>
      <c r="AK33" s="95">
        <v>24</v>
      </c>
      <c r="AL33" s="97" t="s">
        <v>2036</v>
      </c>
      <c r="AM33" s="98" t="s">
        <v>1269</v>
      </c>
      <c r="AN33" s="99" t="s">
        <v>1002</v>
      </c>
    </row>
    <row r="34" spans="1:40" ht="23.1" customHeight="1" x14ac:dyDescent="0.25">
      <c r="A34" s="141">
        <v>25</v>
      </c>
      <c r="B34" s="132" t="s">
        <v>2138</v>
      </c>
      <c r="C34" s="133" t="s">
        <v>1428</v>
      </c>
      <c r="D34" s="134" t="s">
        <v>1002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D34" s="42">
        <v>104164486</v>
      </c>
      <c r="AE34" s="42" t="s">
        <v>1710</v>
      </c>
      <c r="AF34" s="36" t="s">
        <v>1711</v>
      </c>
      <c r="AG34" s="53" t="s">
        <v>1012</v>
      </c>
      <c r="AH34" s="53" t="s">
        <v>1001</v>
      </c>
      <c r="AK34" s="95">
        <v>25</v>
      </c>
      <c r="AL34" s="97" t="s">
        <v>2138</v>
      </c>
      <c r="AM34" s="101" t="s">
        <v>1428</v>
      </c>
      <c r="AN34" s="99" t="s">
        <v>1002</v>
      </c>
    </row>
    <row r="35" spans="1:40" ht="23.1" customHeight="1" x14ac:dyDescent="0.25">
      <c r="A35" s="141">
        <v>26</v>
      </c>
      <c r="B35" s="132" t="s">
        <v>1876</v>
      </c>
      <c r="C35" s="135" t="s">
        <v>1206</v>
      </c>
      <c r="D35" s="134" t="s">
        <v>1002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D35" s="42">
        <v>102676748</v>
      </c>
      <c r="AE35" s="42" t="s">
        <v>1714</v>
      </c>
      <c r="AF35" s="36" t="s">
        <v>1715</v>
      </c>
      <c r="AG35" s="53" t="s">
        <v>1012</v>
      </c>
      <c r="AH35" s="53" t="s">
        <v>1002</v>
      </c>
      <c r="AK35" s="95">
        <v>26</v>
      </c>
      <c r="AL35" s="97" t="s">
        <v>1876</v>
      </c>
      <c r="AM35" s="98" t="s">
        <v>1206</v>
      </c>
      <c r="AN35" s="99" t="s">
        <v>1002</v>
      </c>
    </row>
    <row r="36" spans="1:40" ht="23.1" customHeight="1" x14ac:dyDescent="0.25">
      <c r="A36" s="141">
        <v>27</v>
      </c>
      <c r="B36" s="132" t="s">
        <v>1993</v>
      </c>
      <c r="C36" s="135" t="s">
        <v>1264</v>
      </c>
      <c r="D36" s="134" t="s">
        <v>1002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D36" s="60" t="s">
        <v>1575</v>
      </c>
      <c r="AE36" s="55" t="s">
        <v>1576</v>
      </c>
      <c r="AF36" s="56">
        <v>87.83</v>
      </c>
      <c r="AG36" s="53" t="s">
        <v>1012</v>
      </c>
      <c r="AH36" s="53" t="s">
        <v>1002</v>
      </c>
      <c r="AJ36" t="s">
        <v>2214</v>
      </c>
      <c r="AK36" s="96">
        <v>27</v>
      </c>
      <c r="AL36" s="97" t="s">
        <v>1993</v>
      </c>
      <c r="AM36" s="98" t="s">
        <v>1264</v>
      </c>
      <c r="AN36" s="99" t="s">
        <v>1002</v>
      </c>
    </row>
    <row r="37" spans="1:40" ht="23.1" customHeight="1" x14ac:dyDescent="0.25">
      <c r="A37" s="141">
        <v>28</v>
      </c>
      <c r="B37" s="132" t="s">
        <v>2172</v>
      </c>
      <c r="C37" s="135" t="s">
        <v>1744</v>
      </c>
      <c r="D37" s="134" t="s">
        <v>1002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D37" s="41">
        <v>94577372</v>
      </c>
      <c r="AE37" s="41" t="s">
        <v>1722</v>
      </c>
      <c r="AF37" s="61" t="s">
        <v>1705</v>
      </c>
      <c r="AG37" s="53" t="s">
        <v>1012</v>
      </c>
      <c r="AH37" s="53" t="s">
        <v>1001</v>
      </c>
      <c r="AJ37" t="s">
        <v>2215</v>
      </c>
      <c r="AK37" s="96">
        <v>28</v>
      </c>
      <c r="AL37" s="97" t="s">
        <v>2172</v>
      </c>
      <c r="AM37" s="98" t="s">
        <v>1744</v>
      </c>
      <c r="AN37" s="99" t="s">
        <v>1002</v>
      </c>
    </row>
    <row r="38" spans="1:40" ht="23.1" customHeight="1" x14ac:dyDescent="0.25">
      <c r="A38" s="141">
        <v>29</v>
      </c>
      <c r="B38" s="132" t="s">
        <v>2039</v>
      </c>
      <c r="C38" s="135" t="s">
        <v>1302</v>
      </c>
      <c r="D38" s="134" t="s">
        <v>1002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D38" s="58" t="s">
        <v>1379</v>
      </c>
      <c r="AE38" s="51" t="s">
        <v>1380</v>
      </c>
      <c r="AF38" s="52" t="s">
        <v>1381</v>
      </c>
      <c r="AG38" s="53" t="s">
        <v>1012</v>
      </c>
      <c r="AH38" s="53" t="s">
        <v>1002</v>
      </c>
      <c r="AK38" s="96">
        <v>29</v>
      </c>
      <c r="AL38" s="97" t="s">
        <v>2039</v>
      </c>
      <c r="AM38" s="98" t="s">
        <v>1302</v>
      </c>
      <c r="AN38" s="99" t="s">
        <v>1002</v>
      </c>
    </row>
    <row r="39" spans="1:40" ht="23.1" customHeight="1" x14ac:dyDescent="0.25">
      <c r="A39" s="141">
        <v>30</v>
      </c>
      <c r="B39" s="132" t="s">
        <v>2142</v>
      </c>
      <c r="C39" s="133" t="s">
        <v>1733</v>
      </c>
      <c r="D39" s="134" t="s">
        <v>1002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D39" s="60" t="s">
        <v>1581</v>
      </c>
      <c r="AE39" s="55" t="s">
        <v>1582</v>
      </c>
      <c r="AF39" s="56">
        <v>86.98</v>
      </c>
      <c r="AG39" s="53" t="s">
        <v>1012</v>
      </c>
      <c r="AH39" s="53" t="s">
        <v>1002</v>
      </c>
      <c r="AK39" s="95">
        <v>30</v>
      </c>
      <c r="AL39" s="97" t="s">
        <v>2142</v>
      </c>
      <c r="AM39" s="101" t="s">
        <v>1733</v>
      </c>
      <c r="AN39" s="99" t="s">
        <v>1002</v>
      </c>
    </row>
    <row r="40" spans="1:40" ht="23.1" customHeight="1" x14ac:dyDescent="0.25">
      <c r="A40" s="141">
        <v>31</v>
      </c>
      <c r="B40" s="132" t="s">
        <v>1887</v>
      </c>
      <c r="C40" s="135" t="s">
        <v>1405</v>
      </c>
      <c r="D40" s="134" t="s">
        <v>1002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D40" s="58" t="s">
        <v>1401</v>
      </c>
      <c r="AE40" s="51" t="s">
        <v>1402</v>
      </c>
      <c r="AF40" s="52" t="s">
        <v>1403</v>
      </c>
      <c r="AG40" s="53" t="s">
        <v>1012</v>
      </c>
      <c r="AH40" s="53" t="s">
        <v>1002</v>
      </c>
      <c r="AK40" s="95">
        <v>31</v>
      </c>
      <c r="AL40" s="97" t="s">
        <v>1887</v>
      </c>
      <c r="AM40" s="98" t="s">
        <v>1405</v>
      </c>
      <c r="AN40" s="99" t="s">
        <v>1002</v>
      </c>
    </row>
    <row r="41" spans="1:40" ht="23.1" customHeight="1" x14ac:dyDescent="0.25">
      <c r="A41" s="141">
        <v>32</v>
      </c>
      <c r="B41" s="132" t="s">
        <v>1959</v>
      </c>
      <c r="C41" s="135" t="s">
        <v>1240</v>
      </c>
      <c r="D41" s="134" t="s">
        <v>1002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D41" s="59" t="s">
        <v>1404</v>
      </c>
      <c r="AE41" s="53" t="s">
        <v>1405</v>
      </c>
      <c r="AF41" s="52" t="s">
        <v>1406</v>
      </c>
      <c r="AG41" s="53" t="s">
        <v>1012</v>
      </c>
      <c r="AH41" s="53" t="s">
        <v>1002</v>
      </c>
      <c r="AK41" s="95">
        <v>32</v>
      </c>
      <c r="AL41" s="97" t="s">
        <v>1959</v>
      </c>
      <c r="AM41" s="98" t="s">
        <v>1240</v>
      </c>
      <c r="AN41" s="99" t="s">
        <v>1002</v>
      </c>
    </row>
    <row r="42" spans="1:40" ht="23.1" customHeight="1" x14ac:dyDescent="0.25">
      <c r="A42" s="141">
        <v>33</v>
      </c>
      <c r="B42" s="132" t="s">
        <v>2042</v>
      </c>
      <c r="C42" s="135" t="s">
        <v>1683</v>
      </c>
      <c r="D42" s="134" t="s">
        <v>1001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D42" s="59"/>
      <c r="AE42" s="53"/>
      <c r="AF42" s="52"/>
      <c r="AG42" s="53"/>
      <c r="AH42" s="53"/>
      <c r="AK42" s="95"/>
      <c r="AL42" s="97" t="s">
        <v>2042</v>
      </c>
      <c r="AM42" s="98" t="s">
        <v>1683</v>
      </c>
      <c r="AN42" s="99" t="s">
        <v>1001</v>
      </c>
    </row>
    <row r="43" spans="1:40" ht="23.1" customHeight="1" x14ac:dyDescent="0.25">
      <c r="A43" s="141">
        <v>34</v>
      </c>
      <c r="B43" s="132" t="s">
        <v>1888</v>
      </c>
      <c r="C43" s="135" t="s">
        <v>1079</v>
      </c>
      <c r="D43" s="134" t="s">
        <v>1002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D43" s="59"/>
      <c r="AE43" s="53"/>
      <c r="AF43" s="52"/>
      <c r="AG43" s="53"/>
      <c r="AH43" s="53"/>
      <c r="AK43" s="95"/>
      <c r="AL43" s="97" t="s">
        <v>1888</v>
      </c>
      <c r="AM43" s="98" t="s">
        <v>1079</v>
      </c>
      <c r="AN43" s="99" t="s">
        <v>1002</v>
      </c>
    </row>
    <row r="44" spans="1:40" ht="23.1" customHeight="1" x14ac:dyDescent="0.25">
      <c r="A44" s="141">
        <v>35</v>
      </c>
      <c r="B44" s="132" t="s">
        <v>1889</v>
      </c>
      <c r="C44" s="135" t="s">
        <v>1088</v>
      </c>
      <c r="D44" s="134" t="s">
        <v>1002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D44" s="58" t="s">
        <v>1388</v>
      </c>
      <c r="AE44" s="51" t="s">
        <v>1389</v>
      </c>
      <c r="AF44" s="52" t="s">
        <v>1137</v>
      </c>
      <c r="AG44" s="53" t="s">
        <v>1012</v>
      </c>
      <c r="AH44" s="53" t="s">
        <v>1001</v>
      </c>
      <c r="AK44" s="95">
        <v>33</v>
      </c>
      <c r="AL44" s="97" t="s">
        <v>1889</v>
      </c>
      <c r="AM44" s="98" t="s">
        <v>1088</v>
      </c>
      <c r="AN44" s="99" t="s">
        <v>1002</v>
      </c>
    </row>
    <row r="45" spans="1:40" ht="23.1" customHeight="1" x14ac:dyDescent="0.25">
      <c r="A45" s="141">
        <v>36</v>
      </c>
      <c r="B45" s="132" t="s">
        <v>2044</v>
      </c>
      <c r="C45" s="135" t="s">
        <v>1643</v>
      </c>
      <c r="D45" s="134" t="s">
        <v>1001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D45" s="59" t="s">
        <v>1390</v>
      </c>
      <c r="AE45" s="53" t="s">
        <v>1391</v>
      </c>
      <c r="AF45" s="52" t="s">
        <v>1392</v>
      </c>
      <c r="AG45" s="53" t="s">
        <v>1012</v>
      </c>
      <c r="AH45" s="53" t="s">
        <v>1002</v>
      </c>
      <c r="AK45" s="95">
        <v>34</v>
      </c>
      <c r="AL45" s="97" t="s">
        <v>2044</v>
      </c>
      <c r="AM45" s="98" t="s">
        <v>1643</v>
      </c>
      <c r="AN45" s="99" t="s">
        <v>1001</v>
      </c>
    </row>
    <row r="46" spans="1:40" ht="23.1" customHeight="1" x14ac:dyDescent="0.25">
      <c r="A46" s="141"/>
      <c r="B46" s="149" t="s">
        <v>997</v>
      </c>
      <c r="C46" s="150" t="s">
        <v>999</v>
      </c>
      <c r="D46" s="141">
        <f>COUNTIFS($D$10:$D$45,"L")</f>
        <v>12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D46" s="5"/>
    </row>
    <row r="47" spans="1:40" ht="23.1" customHeight="1" x14ac:dyDescent="0.25">
      <c r="A47" s="141"/>
      <c r="B47" s="149" t="s">
        <v>998</v>
      </c>
      <c r="C47" s="150" t="s">
        <v>1000</v>
      </c>
      <c r="D47" s="141">
        <f>COUNTIFS($D$10:$D$45,"P")</f>
        <v>24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40" ht="23.1" customHeight="1" x14ac:dyDescent="0.25">
      <c r="A48" s="151"/>
      <c r="B48" s="152"/>
      <c r="C48" s="152"/>
      <c r="D48" s="151">
        <f>D46+D47</f>
        <v>36</v>
      </c>
    </row>
    <row r="49" ht="23.1" customHeight="1" x14ac:dyDescent="0.25"/>
  </sheetData>
  <sortState xmlns:xlrd2="http://schemas.microsoft.com/office/spreadsheetml/2017/richdata2" ref="B11:D45">
    <sortCondition ref="C11:C45"/>
  </sortState>
  <mergeCells count="10">
    <mergeCell ref="A4:AB4"/>
    <mergeCell ref="A7:A9"/>
    <mergeCell ref="B7:B9"/>
    <mergeCell ref="C7:C9"/>
    <mergeCell ref="D7:D9"/>
    <mergeCell ref="E7:G7"/>
    <mergeCell ref="H7:R7"/>
    <mergeCell ref="S7:T7"/>
    <mergeCell ref="U7:AB7"/>
    <mergeCell ref="E8:AB8"/>
  </mergeCells>
  <conditionalFormatting sqref="AM8">
    <cfRule type="expression" dxfId="50" priority="1">
      <formula>AM8&lt;&gt;XDX49</formula>
    </cfRule>
  </conditionalFormatting>
  <pageMargins left="0.27" right="0.11811023622047245" top="0.55118110236220474" bottom="0.74803149606299213" header="0.31496062992125984" footer="0.31496062992125984"/>
  <pageSetup paperSize="9" scale="71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L49"/>
  <sheetViews>
    <sheetView zoomScale="80" zoomScaleNormal="80" workbookViewId="0">
      <selection activeCell="E9" sqref="E9:AB9"/>
    </sheetView>
  </sheetViews>
  <sheetFormatPr defaultRowHeight="15.75" x14ac:dyDescent="0.25"/>
  <cols>
    <col min="1" max="1" width="3.85546875" style="5" bestFit="1" customWidth="1"/>
    <col min="2" max="2" width="22.140625" style="8" customWidth="1"/>
    <col min="3" max="3" width="43.140625" style="8" customWidth="1"/>
    <col min="4" max="4" width="4" bestFit="1" customWidth="1"/>
    <col min="5" max="20" width="2.7109375" customWidth="1"/>
    <col min="21" max="28" width="3.140625" customWidth="1"/>
    <col min="29" max="29" width="2.5703125" hidden="1" customWidth="1"/>
    <col min="30" max="30" width="9.140625" hidden="1" customWidth="1"/>
    <col min="31" max="31" width="14" style="54" hidden="1" customWidth="1"/>
    <col min="32" max="32" width="26.140625" style="54" hidden="1" customWidth="1"/>
    <col min="33" max="33" width="9.5703125" style="54" hidden="1" customWidth="1"/>
    <col min="34" max="34" width="5.140625" style="54" hidden="1" customWidth="1"/>
    <col min="35" max="35" width="5.5703125" style="54" hidden="1" customWidth="1"/>
    <col min="36" max="38" width="5.28515625" hidden="1" customWidth="1"/>
    <col min="39" max="39" width="0" hidden="1" customWidth="1"/>
  </cols>
  <sheetData>
    <row r="1" spans="1:35" x14ac:dyDescent="0.25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</row>
    <row r="2" spans="1:35" x14ac:dyDescent="0.25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</row>
    <row r="3" spans="1:35" ht="27" customHeight="1" x14ac:dyDescent="0.25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</row>
    <row r="4" spans="1:35" ht="21" x14ac:dyDescent="0.35">
      <c r="A4" s="183" t="s">
        <v>2236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</row>
    <row r="5" spans="1:35" ht="26.25" x14ac:dyDescent="0.4">
      <c r="O5" s="90"/>
    </row>
    <row r="7" spans="1:35" x14ac:dyDescent="0.25">
      <c r="A7" s="192" t="s">
        <v>991</v>
      </c>
      <c r="B7" s="192" t="s">
        <v>2216</v>
      </c>
      <c r="C7" s="192" t="s">
        <v>993</v>
      </c>
      <c r="D7" s="201" t="s">
        <v>994</v>
      </c>
      <c r="E7" s="203" t="s">
        <v>995</v>
      </c>
      <c r="F7" s="204"/>
      <c r="G7" s="205"/>
      <c r="H7" s="206" t="s">
        <v>2309</v>
      </c>
      <c r="I7" s="207"/>
      <c r="J7" s="207"/>
      <c r="K7" s="207"/>
      <c r="L7" s="207"/>
      <c r="M7" s="207"/>
      <c r="N7" s="207"/>
      <c r="O7" s="207"/>
      <c r="P7" s="207"/>
      <c r="Q7" s="207"/>
      <c r="R7" s="208"/>
      <c r="S7" s="209" t="s">
        <v>996</v>
      </c>
      <c r="T7" s="209"/>
      <c r="U7" s="210">
        <v>1.97204072007012E+17</v>
      </c>
      <c r="V7" s="211"/>
      <c r="W7" s="211"/>
      <c r="X7" s="211"/>
      <c r="Y7" s="211"/>
      <c r="Z7" s="211"/>
      <c r="AA7" s="211"/>
      <c r="AB7" s="211"/>
      <c r="AC7" s="211"/>
    </row>
    <row r="8" spans="1:35" x14ac:dyDescent="0.25">
      <c r="A8" s="192"/>
      <c r="B8" s="192"/>
      <c r="C8" s="192"/>
      <c r="D8" s="201"/>
      <c r="E8" s="206" t="s">
        <v>2303</v>
      </c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8"/>
    </row>
    <row r="9" spans="1:35" x14ac:dyDescent="0.25">
      <c r="A9" s="192"/>
      <c r="B9" s="192"/>
      <c r="C9" s="192"/>
      <c r="D9" s="201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>
        <v>8</v>
      </c>
    </row>
    <row r="10" spans="1:35" ht="23.1" customHeight="1" x14ac:dyDescent="0.25">
      <c r="A10" s="100">
        <v>1</v>
      </c>
      <c r="B10" s="132" t="s">
        <v>1931</v>
      </c>
      <c r="C10" s="132" t="s">
        <v>1241</v>
      </c>
      <c r="D10" s="134" t="s">
        <v>1001</v>
      </c>
      <c r="E10" s="14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E10" s="58" t="s">
        <v>1422</v>
      </c>
      <c r="AF10" s="58" t="s">
        <v>1423</v>
      </c>
      <c r="AG10" s="52" t="s">
        <v>1384</v>
      </c>
      <c r="AH10" s="53" t="s">
        <v>1013</v>
      </c>
      <c r="AI10" s="53" t="s">
        <v>1001</v>
      </c>
    </row>
    <row r="11" spans="1:35" ht="23.1" customHeight="1" x14ac:dyDescent="0.25">
      <c r="A11" s="100">
        <v>2</v>
      </c>
      <c r="B11" s="132" t="s">
        <v>1852</v>
      </c>
      <c r="C11" s="132" t="s">
        <v>1113</v>
      </c>
      <c r="D11" s="134" t="s">
        <v>1001</v>
      </c>
      <c r="E11" s="14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E11" s="58" t="s">
        <v>1419</v>
      </c>
      <c r="AF11" s="58" t="s">
        <v>1420</v>
      </c>
      <c r="AG11" s="52" t="s">
        <v>1421</v>
      </c>
      <c r="AH11" s="53" t="s">
        <v>1013</v>
      </c>
      <c r="AI11" s="53" t="s">
        <v>1002</v>
      </c>
    </row>
    <row r="12" spans="1:35" ht="23.1" customHeight="1" x14ac:dyDescent="0.25">
      <c r="A12" s="100">
        <v>3</v>
      </c>
      <c r="B12" s="132" t="s">
        <v>2147</v>
      </c>
      <c r="C12" s="132" t="s">
        <v>1552</v>
      </c>
      <c r="D12" s="134" t="s">
        <v>1001</v>
      </c>
      <c r="E12" s="14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E12" s="41">
        <v>94851511</v>
      </c>
      <c r="AF12" s="41" t="s">
        <v>1811</v>
      </c>
      <c r="AG12" s="35" t="s">
        <v>1812</v>
      </c>
      <c r="AH12" s="35" t="s">
        <v>1013</v>
      </c>
      <c r="AI12" s="37" t="s">
        <v>1001</v>
      </c>
    </row>
    <row r="13" spans="1:35" ht="23.1" customHeight="1" x14ac:dyDescent="0.25">
      <c r="A13" s="100">
        <v>4</v>
      </c>
      <c r="B13" s="132" t="s">
        <v>2148</v>
      </c>
      <c r="C13" s="132" t="s">
        <v>1752</v>
      </c>
      <c r="D13" s="134" t="s">
        <v>1002</v>
      </c>
      <c r="E13" s="14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E13" s="59" t="s">
        <v>1424</v>
      </c>
      <c r="AF13" s="59" t="s">
        <v>1425</v>
      </c>
      <c r="AG13" s="52" t="s">
        <v>1426</v>
      </c>
      <c r="AH13" s="53" t="s">
        <v>1013</v>
      </c>
      <c r="AI13" s="53" t="s">
        <v>1001</v>
      </c>
    </row>
    <row r="14" spans="1:35" ht="23.1" customHeight="1" x14ac:dyDescent="0.25">
      <c r="A14" s="100">
        <v>5</v>
      </c>
      <c r="B14" s="132" t="s">
        <v>1967</v>
      </c>
      <c r="C14" s="132" t="s">
        <v>1669</v>
      </c>
      <c r="D14" s="134" t="s">
        <v>1001</v>
      </c>
      <c r="E14" s="15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E14" s="58" t="s">
        <v>1407</v>
      </c>
      <c r="AF14" s="58" t="s">
        <v>1408</v>
      </c>
      <c r="AG14" s="52" t="s">
        <v>1409</v>
      </c>
      <c r="AH14" s="53" t="s">
        <v>1013</v>
      </c>
      <c r="AI14" s="53" t="s">
        <v>1002</v>
      </c>
    </row>
    <row r="15" spans="1:35" ht="23.1" customHeight="1" x14ac:dyDescent="0.25">
      <c r="A15" s="100">
        <v>6</v>
      </c>
      <c r="B15" s="132" t="s">
        <v>2116</v>
      </c>
      <c r="C15" s="132" t="s">
        <v>1811</v>
      </c>
      <c r="D15" s="134" t="s">
        <v>1001</v>
      </c>
      <c r="E15" s="148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"/>
      <c r="AE15" s="41">
        <v>105174754</v>
      </c>
      <c r="AF15" s="41" t="s">
        <v>1735</v>
      </c>
      <c r="AG15" s="35" t="s">
        <v>1736</v>
      </c>
      <c r="AH15" s="53" t="s">
        <v>1013</v>
      </c>
      <c r="AI15" s="53" t="s">
        <v>1002</v>
      </c>
    </row>
    <row r="16" spans="1:35" ht="23.1" customHeight="1" x14ac:dyDescent="0.25">
      <c r="A16" s="100">
        <v>7</v>
      </c>
      <c r="B16" s="132" t="s">
        <v>2087</v>
      </c>
      <c r="C16" s="132" t="s">
        <v>1807</v>
      </c>
      <c r="D16" s="134" t="s">
        <v>1001</v>
      </c>
      <c r="E16" s="14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E16" s="60" t="s">
        <v>1565</v>
      </c>
      <c r="AF16" s="60" t="s">
        <v>1566</v>
      </c>
      <c r="AG16" s="56">
        <v>86.76</v>
      </c>
      <c r="AH16" s="53" t="s">
        <v>1013</v>
      </c>
      <c r="AI16" s="53" t="s">
        <v>1002</v>
      </c>
    </row>
    <row r="17" spans="1:35" ht="23.1" customHeight="1" x14ac:dyDescent="0.25">
      <c r="A17" s="100">
        <v>8</v>
      </c>
      <c r="B17" s="132" t="s">
        <v>1971</v>
      </c>
      <c r="C17" s="132" t="s">
        <v>1284</v>
      </c>
      <c r="D17" s="134" t="s">
        <v>1001</v>
      </c>
      <c r="E17" s="14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E17" s="58" t="s">
        <v>1416</v>
      </c>
      <c r="AF17" s="58" t="s">
        <v>1417</v>
      </c>
      <c r="AG17" s="52" t="s">
        <v>1418</v>
      </c>
      <c r="AH17" s="53" t="s">
        <v>1013</v>
      </c>
      <c r="AI17" s="53" t="s">
        <v>1002</v>
      </c>
    </row>
    <row r="18" spans="1:35" ht="23.1" customHeight="1" x14ac:dyDescent="0.25">
      <c r="A18" s="100">
        <v>9</v>
      </c>
      <c r="B18" s="132" t="s">
        <v>1935</v>
      </c>
      <c r="C18" s="132" t="s">
        <v>2269</v>
      </c>
      <c r="D18" s="134" t="s">
        <v>1002</v>
      </c>
      <c r="E18" s="14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E18" s="60" t="s">
        <v>1553</v>
      </c>
      <c r="AF18" s="60" t="s">
        <v>1554</v>
      </c>
      <c r="AG18" s="56">
        <v>88.85</v>
      </c>
      <c r="AH18" s="53" t="s">
        <v>1013</v>
      </c>
      <c r="AI18" s="53" t="s">
        <v>1001</v>
      </c>
    </row>
    <row r="19" spans="1:35" ht="23.1" customHeight="1" x14ac:dyDescent="0.25">
      <c r="A19" s="100">
        <v>10</v>
      </c>
      <c r="B19" s="132" t="s">
        <v>1861</v>
      </c>
      <c r="C19" s="132" t="s">
        <v>1110</v>
      </c>
      <c r="D19" s="134" t="s">
        <v>1002</v>
      </c>
      <c r="E19" s="14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E19" s="58" t="s">
        <v>1413</v>
      </c>
      <c r="AF19" s="58" t="s">
        <v>1414</v>
      </c>
      <c r="AG19" s="52" t="s">
        <v>1415</v>
      </c>
      <c r="AH19" s="53" t="s">
        <v>1013</v>
      </c>
      <c r="AI19" s="53" t="s">
        <v>1002</v>
      </c>
    </row>
    <row r="20" spans="1:35" ht="23.1" customHeight="1" x14ac:dyDescent="0.25">
      <c r="A20" s="100">
        <v>11</v>
      </c>
      <c r="B20" s="132" t="s">
        <v>2124</v>
      </c>
      <c r="C20" s="132" t="s">
        <v>1734</v>
      </c>
      <c r="D20" s="134" t="s">
        <v>1002</v>
      </c>
      <c r="E20" s="14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E20" s="42">
        <v>96559029</v>
      </c>
      <c r="AF20" s="42" t="s">
        <v>1734</v>
      </c>
      <c r="AG20" s="37" t="s">
        <v>1318</v>
      </c>
      <c r="AH20" s="53" t="s">
        <v>1013</v>
      </c>
      <c r="AI20" s="53" t="s">
        <v>1002</v>
      </c>
    </row>
    <row r="21" spans="1:35" ht="23.1" customHeight="1" x14ac:dyDescent="0.25">
      <c r="A21" s="100">
        <v>12</v>
      </c>
      <c r="B21" s="132" t="s">
        <v>1864</v>
      </c>
      <c r="C21" s="132" t="s">
        <v>1776</v>
      </c>
      <c r="D21" s="134" t="s">
        <v>1002</v>
      </c>
      <c r="E21" s="14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E21" s="59" t="s">
        <v>1429</v>
      </c>
      <c r="AF21" s="59" t="s">
        <v>1430</v>
      </c>
      <c r="AG21" s="52" t="s">
        <v>1431</v>
      </c>
      <c r="AH21" s="53" t="s">
        <v>1013</v>
      </c>
      <c r="AI21" s="53" t="s">
        <v>1002</v>
      </c>
    </row>
    <row r="22" spans="1:35" ht="23.1" customHeight="1" x14ac:dyDescent="0.25">
      <c r="A22" s="100">
        <v>13</v>
      </c>
      <c r="B22" s="132" t="s">
        <v>2015</v>
      </c>
      <c r="C22" s="132" t="s">
        <v>1800</v>
      </c>
      <c r="D22" s="134" t="s">
        <v>1002</v>
      </c>
      <c r="E22" s="14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E22" s="60" t="s">
        <v>1569</v>
      </c>
      <c r="AF22" s="60" t="s">
        <v>1570</v>
      </c>
      <c r="AG22" s="56">
        <v>86.48</v>
      </c>
      <c r="AH22" s="53" t="s">
        <v>1013</v>
      </c>
      <c r="AI22" s="53" t="s">
        <v>1002</v>
      </c>
    </row>
    <row r="23" spans="1:35" ht="23.1" customHeight="1" x14ac:dyDescent="0.25">
      <c r="A23" s="100">
        <v>14</v>
      </c>
      <c r="B23" s="132" t="s">
        <v>2092</v>
      </c>
      <c r="C23" s="132" t="s">
        <v>1718</v>
      </c>
      <c r="D23" s="134" t="s">
        <v>1002</v>
      </c>
      <c r="E23" s="14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E23" s="42">
        <v>103496356</v>
      </c>
      <c r="AF23" s="42" t="s">
        <v>1727</v>
      </c>
      <c r="AG23" s="37" t="s">
        <v>1728</v>
      </c>
      <c r="AH23" s="53" t="s">
        <v>1013</v>
      </c>
      <c r="AI23" s="53" t="s">
        <v>1001</v>
      </c>
    </row>
    <row r="24" spans="1:35" ht="23.1" customHeight="1" x14ac:dyDescent="0.25">
      <c r="A24" s="100">
        <v>15</v>
      </c>
      <c r="B24" s="132" t="s">
        <v>2185</v>
      </c>
      <c r="C24" s="132" t="s">
        <v>2270</v>
      </c>
      <c r="D24" s="134" t="s">
        <v>1002</v>
      </c>
      <c r="E24" s="14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E24" s="42"/>
      <c r="AF24" s="42"/>
      <c r="AG24" s="37"/>
      <c r="AH24" s="53"/>
      <c r="AI24" s="53"/>
    </row>
    <row r="25" spans="1:35" ht="23.1" customHeight="1" x14ac:dyDescent="0.25">
      <c r="A25" s="100">
        <v>16</v>
      </c>
      <c r="B25" s="132" t="s">
        <v>1867</v>
      </c>
      <c r="C25" s="132" t="s">
        <v>1144</v>
      </c>
      <c r="D25" s="134" t="s">
        <v>1002</v>
      </c>
      <c r="E25" s="14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E25" s="42">
        <v>98243995</v>
      </c>
      <c r="AF25" s="42" t="s">
        <v>1731</v>
      </c>
      <c r="AG25" s="37" t="s">
        <v>1732</v>
      </c>
      <c r="AH25" s="53" t="s">
        <v>1013</v>
      </c>
      <c r="AI25" s="53" t="s">
        <v>1002</v>
      </c>
    </row>
    <row r="26" spans="1:35" ht="23.1" customHeight="1" x14ac:dyDescent="0.25">
      <c r="A26" s="100">
        <v>17</v>
      </c>
      <c r="B26" s="132" t="s">
        <v>2097</v>
      </c>
      <c r="C26" s="132" t="s">
        <v>2271</v>
      </c>
      <c r="D26" s="134" t="s">
        <v>1002</v>
      </c>
      <c r="E26" s="14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E26" s="41">
        <v>94023023</v>
      </c>
      <c r="AF26" s="41" t="s">
        <v>1737</v>
      </c>
      <c r="AG26" s="35" t="s">
        <v>1738</v>
      </c>
      <c r="AH26" s="53" t="s">
        <v>1013</v>
      </c>
      <c r="AI26" s="53" t="s">
        <v>1002</v>
      </c>
    </row>
    <row r="27" spans="1:35" ht="23.1" customHeight="1" x14ac:dyDescent="0.25">
      <c r="A27" s="100">
        <v>18</v>
      </c>
      <c r="B27" s="132" t="s">
        <v>1905</v>
      </c>
      <c r="C27" s="132" t="s">
        <v>1787</v>
      </c>
      <c r="D27" s="134" t="s">
        <v>1001</v>
      </c>
      <c r="E27" s="14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E27" s="60" t="s">
        <v>1563</v>
      </c>
      <c r="AF27" s="60" t="s">
        <v>1564</v>
      </c>
      <c r="AG27" s="56">
        <v>86.97</v>
      </c>
      <c r="AH27" s="53" t="s">
        <v>1013</v>
      </c>
      <c r="AI27" s="53" t="s">
        <v>1001</v>
      </c>
    </row>
    <row r="28" spans="1:35" ht="23.1" customHeight="1" x14ac:dyDescent="0.25">
      <c r="A28" s="100">
        <v>19</v>
      </c>
      <c r="B28" s="132" t="s">
        <v>2060</v>
      </c>
      <c r="C28" s="132" t="s">
        <v>2272</v>
      </c>
      <c r="D28" s="134" t="s">
        <v>1002</v>
      </c>
      <c r="E28" s="14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E28" s="60" t="s">
        <v>1555</v>
      </c>
      <c r="AF28" s="60" t="s">
        <v>1556</v>
      </c>
      <c r="AG28" s="56">
        <v>88.29</v>
      </c>
      <c r="AH28" s="53" t="s">
        <v>1013</v>
      </c>
      <c r="AI28" s="53" t="s">
        <v>1002</v>
      </c>
    </row>
    <row r="29" spans="1:35" ht="23.1" customHeight="1" x14ac:dyDescent="0.25">
      <c r="A29" s="100">
        <v>20</v>
      </c>
      <c r="B29" s="132" t="s">
        <v>2020</v>
      </c>
      <c r="C29" s="132" t="s">
        <v>2273</v>
      </c>
      <c r="D29" s="134" t="s">
        <v>1001</v>
      </c>
      <c r="E29" s="14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E29" s="60" t="s">
        <v>1561</v>
      </c>
      <c r="AF29" s="60" t="s">
        <v>1562</v>
      </c>
      <c r="AG29" s="56">
        <v>87.32</v>
      </c>
      <c r="AH29" s="53" t="s">
        <v>1013</v>
      </c>
      <c r="AI29" s="53" t="s">
        <v>1001</v>
      </c>
    </row>
    <row r="30" spans="1:35" ht="23.1" customHeight="1" x14ac:dyDescent="0.25">
      <c r="A30" s="100">
        <v>21</v>
      </c>
      <c r="B30" s="132" t="s">
        <v>2098</v>
      </c>
      <c r="C30" s="132" t="s">
        <v>1400</v>
      </c>
      <c r="D30" s="134" t="s">
        <v>1002</v>
      </c>
      <c r="E30" s="14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E30" s="41">
        <v>106391246</v>
      </c>
      <c r="AF30" s="41" t="s">
        <v>1739</v>
      </c>
      <c r="AG30" s="35" t="s">
        <v>1324</v>
      </c>
      <c r="AH30" s="53" t="s">
        <v>1013</v>
      </c>
      <c r="AI30" s="53" t="s">
        <v>1002</v>
      </c>
    </row>
    <row r="31" spans="1:35" ht="23.1" customHeight="1" x14ac:dyDescent="0.25">
      <c r="A31" s="100">
        <v>22</v>
      </c>
      <c r="B31" s="132" t="s">
        <v>2028</v>
      </c>
      <c r="C31" s="132" t="s">
        <v>2029</v>
      </c>
      <c r="D31" s="134" t="s">
        <v>1001</v>
      </c>
      <c r="E31" s="14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E31" s="59" t="s">
        <v>1438</v>
      </c>
      <c r="AF31" s="59" t="s">
        <v>1439</v>
      </c>
      <c r="AG31" s="52" t="s">
        <v>1440</v>
      </c>
      <c r="AH31" s="53" t="s">
        <v>1013</v>
      </c>
      <c r="AI31" s="53" t="s">
        <v>1001</v>
      </c>
    </row>
    <row r="32" spans="1:35" ht="23.1" customHeight="1" x14ac:dyDescent="0.25">
      <c r="A32" s="100">
        <v>23</v>
      </c>
      <c r="B32" s="132" t="s">
        <v>2030</v>
      </c>
      <c r="C32" s="132" t="s">
        <v>2031</v>
      </c>
      <c r="D32" s="134" t="s">
        <v>1001</v>
      </c>
      <c r="E32" s="14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E32" s="58" t="s">
        <v>1441</v>
      </c>
      <c r="AF32" s="58" t="s">
        <v>1442</v>
      </c>
      <c r="AG32" s="52" t="s">
        <v>1443</v>
      </c>
      <c r="AH32" s="53" t="s">
        <v>1013</v>
      </c>
      <c r="AI32" s="53" t="s">
        <v>1001</v>
      </c>
    </row>
    <row r="33" spans="1:35" ht="23.1" customHeight="1" x14ac:dyDescent="0.25">
      <c r="A33" s="100">
        <v>24</v>
      </c>
      <c r="B33" s="132" t="s">
        <v>2064</v>
      </c>
      <c r="C33" s="132" t="s">
        <v>2274</v>
      </c>
      <c r="D33" s="134" t="s">
        <v>1001</v>
      </c>
      <c r="E33" s="14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E33" s="41">
        <v>108486609</v>
      </c>
      <c r="AF33" s="41" t="s">
        <v>1740</v>
      </c>
      <c r="AG33" s="35" t="s">
        <v>1741</v>
      </c>
      <c r="AH33" s="53" t="s">
        <v>1013</v>
      </c>
      <c r="AI33" s="53" t="s">
        <v>1002</v>
      </c>
    </row>
    <row r="34" spans="1:35" ht="23.1" customHeight="1" x14ac:dyDescent="0.25">
      <c r="A34" s="100">
        <v>25</v>
      </c>
      <c r="B34" s="132" t="s">
        <v>2032</v>
      </c>
      <c r="C34" s="132" t="s">
        <v>1802</v>
      </c>
      <c r="D34" s="134" t="s">
        <v>1001</v>
      </c>
      <c r="E34" s="14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E34" s="59" t="s">
        <v>1435</v>
      </c>
      <c r="AF34" s="59" t="s">
        <v>1436</v>
      </c>
      <c r="AG34" s="52" t="s">
        <v>1437</v>
      </c>
      <c r="AH34" s="53" t="s">
        <v>1013</v>
      </c>
      <c r="AI34" s="53" t="s">
        <v>1002</v>
      </c>
    </row>
    <row r="35" spans="1:35" ht="23.1" customHeight="1" x14ac:dyDescent="0.25">
      <c r="A35" s="100">
        <v>26</v>
      </c>
      <c r="B35" s="132" t="s">
        <v>1949</v>
      </c>
      <c r="C35" s="132" t="s">
        <v>1793</v>
      </c>
      <c r="D35" s="134" t="s">
        <v>1002</v>
      </c>
      <c r="E35" s="14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E35" s="58" t="s">
        <v>1410</v>
      </c>
      <c r="AF35" s="58" t="s">
        <v>1411</v>
      </c>
      <c r="AG35" s="52" t="s">
        <v>1412</v>
      </c>
      <c r="AH35" s="53" t="s">
        <v>1013</v>
      </c>
      <c r="AI35" s="53" t="s">
        <v>1002</v>
      </c>
    </row>
    <row r="36" spans="1:35" ht="23.1" customHeight="1" x14ac:dyDescent="0.25">
      <c r="A36" s="100">
        <v>27</v>
      </c>
      <c r="B36" s="132" t="s">
        <v>2200</v>
      </c>
      <c r="C36" s="132" t="s">
        <v>2275</v>
      </c>
      <c r="D36" s="134" t="s">
        <v>1002</v>
      </c>
      <c r="E36" s="14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1"/>
      <c r="AE36" s="58" t="s">
        <v>1427</v>
      </c>
      <c r="AF36" s="58" t="s">
        <v>1428</v>
      </c>
      <c r="AG36" s="52" t="s">
        <v>1137</v>
      </c>
      <c r="AH36" s="53" t="s">
        <v>1013</v>
      </c>
      <c r="AI36" s="53" t="s">
        <v>1002</v>
      </c>
    </row>
    <row r="37" spans="1:35" ht="23.1" customHeight="1" x14ac:dyDescent="0.25">
      <c r="A37" s="100">
        <v>28</v>
      </c>
      <c r="B37" s="132" t="s">
        <v>1954</v>
      </c>
      <c r="C37" s="132" t="s">
        <v>1362</v>
      </c>
      <c r="D37" s="134" t="s">
        <v>1001</v>
      </c>
      <c r="E37" s="14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E37" s="60" t="s">
        <v>1567</v>
      </c>
      <c r="AF37" s="60" t="s">
        <v>1568</v>
      </c>
      <c r="AG37" s="56">
        <v>86.6</v>
      </c>
      <c r="AH37" s="53" t="s">
        <v>1013</v>
      </c>
      <c r="AI37" s="53" t="s">
        <v>1002</v>
      </c>
    </row>
    <row r="38" spans="1:35" ht="23.1" customHeight="1" x14ac:dyDescent="0.25">
      <c r="A38" s="100">
        <v>29</v>
      </c>
      <c r="B38" s="132" t="s">
        <v>2109</v>
      </c>
      <c r="C38" s="132" t="s">
        <v>1722</v>
      </c>
      <c r="D38" s="134" t="s">
        <v>1001</v>
      </c>
      <c r="E38" s="15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2"/>
      <c r="AE38" s="58" t="s">
        <v>1432</v>
      </c>
      <c r="AF38" s="58" t="s">
        <v>1433</v>
      </c>
      <c r="AG38" s="52" t="s">
        <v>1434</v>
      </c>
      <c r="AH38" s="53" t="s">
        <v>1013</v>
      </c>
      <c r="AI38" s="53" t="s">
        <v>1002</v>
      </c>
    </row>
    <row r="39" spans="1:35" ht="23.1" customHeight="1" x14ac:dyDescent="0.25">
      <c r="A39" s="100">
        <v>30</v>
      </c>
      <c r="B39" s="132" t="s">
        <v>2176</v>
      </c>
      <c r="C39" s="132" t="s">
        <v>1817</v>
      </c>
      <c r="D39" s="134" t="s">
        <v>1001</v>
      </c>
      <c r="E39" s="14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E39" s="60" t="s">
        <v>1557</v>
      </c>
      <c r="AF39" s="60" t="s">
        <v>1558</v>
      </c>
      <c r="AG39" s="56">
        <v>87.79</v>
      </c>
      <c r="AH39" s="53" t="s">
        <v>1013</v>
      </c>
      <c r="AI39" s="53" t="s">
        <v>1001</v>
      </c>
    </row>
    <row r="40" spans="1:35" ht="23.1" customHeight="1" x14ac:dyDescent="0.25">
      <c r="A40" s="100">
        <v>31</v>
      </c>
      <c r="B40" s="132" t="s">
        <v>1997</v>
      </c>
      <c r="C40" s="132" t="s">
        <v>2276</v>
      </c>
      <c r="D40" s="134" t="s">
        <v>1002</v>
      </c>
      <c r="E40" s="14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E40" s="42">
        <v>94493950</v>
      </c>
      <c r="AF40" s="42" t="s">
        <v>1733</v>
      </c>
      <c r="AG40" s="37" t="s">
        <v>1717</v>
      </c>
      <c r="AH40" s="53" t="s">
        <v>1013</v>
      </c>
      <c r="AI40" s="53" t="s">
        <v>1002</v>
      </c>
    </row>
    <row r="41" spans="1:35" ht="23.1" customHeight="1" x14ac:dyDescent="0.25">
      <c r="A41" s="100">
        <v>32</v>
      </c>
      <c r="B41" s="132" t="s">
        <v>2212</v>
      </c>
      <c r="C41" s="132" t="s">
        <v>1524</v>
      </c>
      <c r="D41" s="134" t="s">
        <v>1002</v>
      </c>
      <c r="E41" s="14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E41" s="42">
        <v>97450728</v>
      </c>
      <c r="AF41" s="42" t="s">
        <v>1729</v>
      </c>
      <c r="AG41" s="37" t="s">
        <v>1730</v>
      </c>
      <c r="AH41" s="53" t="s">
        <v>1013</v>
      </c>
      <c r="AI41" s="53" t="s">
        <v>1002</v>
      </c>
    </row>
    <row r="42" spans="1:35" ht="23.1" customHeight="1" x14ac:dyDescent="0.25">
      <c r="A42" s="100">
        <v>33</v>
      </c>
      <c r="B42" s="132" t="s">
        <v>1962</v>
      </c>
      <c r="C42" s="132" t="s">
        <v>1242</v>
      </c>
      <c r="D42" s="134" t="s">
        <v>1001</v>
      </c>
      <c r="E42" s="14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E42" s="42"/>
      <c r="AF42" s="42"/>
      <c r="AG42" s="37"/>
      <c r="AH42" s="53"/>
      <c r="AI42" s="53"/>
    </row>
    <row r="43" spans="1:35" ht="23.1" customHeight="1" x14ac:dyDescent="0.25">
      <c r="A43" s="100">
        <v>34</v>
      </c>
      <c r="B43" s="132" t="s">
        <v>2178</v>
      </c>
      <c r="C43" s="132" t="s">
        <v>1751</v>
      </c>
      <c r="D43" s="134" t="s">
        <v>1002</v>
      </c>
      <c r="E43" s="14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E43" s="42"/>
      <c r="AF43" s="42"/>
      <c r="AG43" s="37"/>
      <c r="AH43" s="53"/>
      <c r="AI43" s="53"/>
    </row>
    <row r="44" spans="1:35" ht="23.1" customHeight="1" x14ac:dyDescent="0.25">
      <c r="A44" s="100">
        <v>35</v>
      </c>
      <c r="B44" s="132" t="s">
        <v>2074</v>
      </c>
      <c r="C44" s="132" t="s">
        <v>2277</v>
      </c>
      <c r="D44" s="134" t="s">
        <v>1002</v>
      </c>
      <c r="E44" s="14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1"/>
      <c r="AE44" s="60" t="s">
        <v>1559</v>
      </c>
      <c r="AF44" s="60" t="s">
        <v>1560</v>
      </c>
      <c r="AG44" s="56">
        <v>87.55</v>
      </c>
      <c r="AH44" s="53" t="s">
        <v>1013</v>
      </c>
      <c r="AI44" s="53" t="s">
        <v>1002</v>
      </c>
    </row>
    <row r="45" spans="1:35" ht="23.1" customHeight="1" x14ac:dyDescent="0.25">
      <c r="A45" s="100">
        <v>36</v>
      </c>
      <c r="B45" s="132" t="s">
        <v>2145</v>
      </c>
      <c r="C45" s="132" t="s">
        <v>1813</v>
      </c>
      <c r="D45" s="134" t="s">
        <v>1001</v>
      </c>
      <c r="E45" s="14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E45" s="41">
        <v>108323553</v>
      </c>
      <c r="AF45" s="41" t="s">
        <v>1813</v>
      </c>
      <c r="AG45" s="35" t="s">
        <v>1814</v>
      </c>
      <c r="AH45" s="35" t="s">
        <v>1013</v>
      </c>
      <c r="AI45" s="37" t="s">
        <v>1001</v>
      </c>
    </row>
    <row r="46" spans="1:35" ht="23.1" customHeight="1" x14ac:dyDescent="0.25">
      <c r="A46" s="100"/>
      <c r="B46" s="146" t="s">
        <v>997</v>
      </c>
      <c r="C46" s="137" t="s">
        <v>999</v>
      </c>
      <c r="D46" s="148">
        <f>COUNTIFS($D$10:$D$45,"L")</f>
        <v>18</v>
      </c>
      <c r="E46" s="14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E46" s="57"/>
    </row>
    <row r="47" spans="1:35" ht="23.1" customHeight="1" x14ac:dyDescent="0.25">
      <c r="A47" s="100"/>
      <c r="B47" s="146" t="s">
        <v>998</v>
      </c>
      <c r="C47" s="137" t="s">
        <v>1000</v>
      </c>
      <c r="D47" s="148">
        <f>COUNTIFS($D$10:$D$45,"P")</f>
        <v>18</v>
      </c>
      <c r="E47" s="14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35" ht="23.1" customHeight="1" x14ac:dyDescent="0.25">
      <c r="A48" s="138"/>
      <c r="B48" s="139"/>
      <c r="C48" s="139"/>
      <c r="D48" s="139">
        <f>D46+D47</f>
        <v>36</v>
      </c>
      <c r="E48" s="139"/>
    </row>
    <row r="49" ht="23.1" customHeight="1" x14ac:dyDescent="0.25"/>
  </sheetData>
  <sortState xmlns:xlrd2="http://schemas.microsoft.com/office/spreadsheetml/2017/richdata2" ref="B10:D45">
    <sortCondition ref="C10:C45"/>
  </sortState>
  <mergeCells count="13">
    <mergeCell ref="A1:AC1"/>
    <mergeCell ref="A2:AC2"/>
    <mergeCell ref="A3:AC3"/>
    <mergeCell ref="A4:AC4"/>
    <mergeCell ref="A7:A9"/>
    <mergeCell ref="B7:B9"/>
    <mergeCell ref="D7:D9"/>
    <mergeCell ref="E7:G7"/>
    <mergeCell ref="H7:R7"/>
    <mergeCell ref="S7:T7"/>
    <mergeCell ref="U7:AC7"/>
    <mergeCell ref="C7:C9"/>
    <mergeCell ref="E8:AC8"/>
  </mergeCells>
  <pageMargins left="0.39" right="0.11811023622047245" top="0.55118110236220474" bottom="0.74803149606299213" header="0.31496062992125984" footer="0.31496062992125984"/>
  <pageSetup paperSize="9" scale="70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M49"/>
  <sheetViews>
    <sheetView zoomScaleNormal="100" workbookViewId="0">
      <selection activeCell="E8" sqref="E8:AC8"/>
    </sheetView>
  </sheetViews>
  <sheetFormatPr defaultRowHeight="15" x14ac:dyDescent="0.25"/>
  <cols>
    <col min="1" max="1" width="3.85546875" style="5" bestFit="1" customWidth="1"/>
    <col min="2" max="2" width="22.28515625" style="8" customWidth="1"/>
    <col min="3" max="3" width="42.140625" style="8" customWidth="1"/>
    <col min="4" max="4" width="4.28515625" style="5" customWidth="1"/>
    <col min="5" max="28" width="2.7109375" customWidth="1"/>
    <col min="29" max="29" width="2.7109375" hidden="1" customWidth="1"/>
    <col min="30" max="30" width="9.140625" hidden="1" customWidth="1"/>
    <col min="31" max="31" width="16.5703125" style="49" hidden="1" customWidth="1"/>
    <col min="32" max="32" width="33.7109375" hidden="1" customWidth="1"/>
    <col min="33" max="33" width="8.140625" hidden="1" customWidth="1"/>
    <col min="34" max="34" width="3" hidden="1" customWidth="1"/>
    <col min="35" max="35" width="5.85546875" hidden="1" customWidth="1"/>
    <col min="36" max="36" width="6.140625" hidden="1" customWidth="1"/>
    <col min="37" max="37" width="3.85546875" hidden="1" customWidth="1"/>
    <col min="38" max="39" width="18.42578125" hidden="1" customWidth="1"/>
  </cols>
  <sheetData>
    <row r="1" spans="1:35" x14ac:dyDescent="0.25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</row>
    <row r="2" spans="1:35" x14ac:dyDescent="0.25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</row>
    <row r="3" spans="1:35" ht="27" customHeight="1" x14ac:dyDescent="0.25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</row>
    <row r="4" spans="1:35" ht="21" x14ac:dyDescent="0.35">
      <c r="A4" s="183" t="s">
        <v>2236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I4" t="s">
        <v>1071</v>
      </c>
    </row>
    <row r="5" spans="1:35" ht="26.25" x14ac:dyDescent="0.4">
      <c r="O5" s="90"/>
    </row>
    <row r="7" spans="1:35" x14ac:dyDescent="0.25">
      <c r="A7" s="192" t="s">
        <v>991</v>
      </c>
      <c r="B7" s="192" t="s">
        <v>2218</v>
      </c>
      <c r="C7" s="192" t="s">
        <v>993</v>
      </c>
      <c r="D7" s="222" t="s">
        <v>994</v>
      </c>
      <c r="E7" s="203" t="s">
        <v>995</v>
      </c>
      <c r="F7" s="204"/>
      <c r="G7" s="205"/>
      <c r="H7" s="206" t="s">
        <v>2310</v>
      </c>
      <c r="I7" s="207"/>
      <c r="J7" s="207"/>
      <c r="K7" s="207"/>
      <c r="L7" s="207"/>
      <c r="M7" s="207"/>
      <c r="N7" s="207"/>
      <c r="O7" s="207"/>
      <c r="P7" s="207"/>
      <c r="Q7" s="207"/>
      <c r="R7" s="208"/>
      <c r="S7" s="209" t="s">
        <v>996</v>
      </c>
      <c r="T7" s="209"/>
      <c r="U7" s="210" t="s">
        <v>2311</v>
      </c>
      <c r="V7" s="211"/>
      <c r="W7" s="211"/>
      <c r="X7" s="211"/>
      <c r="Y7" s="211"/>
      <c r="Z7" s="211"/>
      <c r="AA7" s="211"/>
      <c r="AB7" s="211"/>
      <c r="AC7" s="211"/>
    </row>
    <row r="8" spans="1:35" x14ac:dyDescent="0.25">
      <c r="A8" s="192"/>
      <c r="B8" s="192"/>
      <c r="C8" s="192"/>
      <c r="D8" s="222"/>
      <c r="E8" s="206" t="s">
        <v>2303</v>
      </c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8"/>
    </row>
    <row r="9" spans="1:35" x14ac:dyDescent="0.25">
      <c r="A9" s="196"/>
      <c r="B9" s="196"/>
      <c r="C9" s="196"/>
      <c r="D9" s="223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>
        <v>8</v>
      </c>
    </row>
    <row r="10" spans="1:35" ht="23.1" customHeight="1" x14ac:dyDescent="0.25">
      <c r="A10" s="141">
        <v>1</v>
      </c>
      <c r="B10" s="132" t="s">
        <v>1966</v>
      </c>
      <c r="C10" s="132" t="s">
        <v>2260</v>
      </c>
      <c r="D10" s="134" t="s">
        <v>1001</v>
      </c>
      <c r="E10" s="8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E10" s="42">
        <v>95345053</v>
      </c>
      <c r="AF10" s="37" t="s">
        <v>1749</v>
      </c>
      <c r="AG10" s="37" t="s">
        <v>1750</v>
      </c>
      <c r="AH10" s="30" t="s">
        <v>1014</v>
      </c>
      <c r="AI10" s="30" t="s">
        <v>1001</v>
      </c>
    </row>
    <row r="11" spans="1:35" ht="23.1" customHeight="1" x14ac:dyDescent="0.25">
      <c r="A11" s="141">
        <v>2</v>
      </c>
      <c r="B11" s="132" t="s">
        <v>1933</v>
      </c>
      <c r="C11" s="132" t="s">
        <v>1791</v>
      </c>
      <c r="D11" s="134" t="s">
        <v>1002</v>
      </c>
      <c r="E11" s="8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E11" s="40" t="s">
        <v>1551</v>
      </c>
      <c r="AF11" s="30" t="s">
        <v>1552</v>
      </c>
      <c r="AG11" s="31">
        <v>86.47</v>
      </c>
      <c r="AH11" s="30" t="s">
        <v>1014</v>
      </c>
      <c r="AI11" s="30" t="s">
        <v>1001</v>
      </c>
    </row>
    <row r="12" spans="1:35" ht="23.1" customHeight="1" x14ac:dyDescent="0.25">
      <c r="A12" s="141">
        <v>3</v>
      </c>
      <c r="B12" s="132" t="s">
        <v>2182</v>
      </c>
      <c r="C12" s="132" t="s">
        <v>1510</v>
      </c>
      <c r="D12" s="134" t="s">
        <v>1002</v>
      </c>
      <c r="E12" s="8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E12" s="41">
        <v>108003625</v>
      </c>
      <c r="AF12" s="35" t="s">
        <v>1752</v>
      </c>
      <c r="AG12" s="35" t="s">
        <v>1753</v>
      </c>
      <c r="AH12" s="30" t="s">
        <v>1014</v>
      </c>
      <c r="AI12" s="30" t="s">
        <v>1002</v>
      </c>
    </row>
    <row r="13" spans="1:35" ht="23.1" customHeight="1" x14ac:dyDescent="0.3">
      <c r="A13" s="141">
        <v>4</v>
      </c>
      <c r="B13" s="132" t="s">
        <v>2088</v>
      </c>
      <c r="C13" s="133" t="s">
        <v>1809</v>
      </c>
      <c r="D13" s="134" t="s">
        <v>1001</v>
      </c>
      <c r="E13" s="8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E13" s="41">
        <v>99897605</v>
      </c>
      <c r="AF13" s="35" t="s">
        <v>1815</v>
      </c>
      <c r="AG13" s="35" t="s">
        <v>1816</v>
      </c>
      <c r="AH13" s="47" t="s">
        <v>1014</v>
      </c>
      <c r="AI13" s="30" t="s">
        <v>1002</v>
      </c>
    </row>
    <row r="14" spans="1:35" ht="23.1" customHeight="1" x14ac:dyDescent="0.25">
      <c r="A14" s="141">
        <v>5</v>
      </c>
      <c r="B14" s="132" t="s">
        <v>2013</v>
      </c>
      <c r="C14" s="132" t="s">
        <v>1689</v>
      </c>
      <c r="D14" s="134" t="s">
        <v>1002</v>
      </c>
      <c r="E14" s="8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E14" s="42">
        <v>94292240</v>
      </c>
      <c r="AF14" s="37" t="s">
        <v>1748</v>
      </c>
      <c r="AG14" s="37" t="s">
        <v>1105</v>
      </c>
      <c r="AH14" s="30" t="s">
        <v>1014</v>
      </c>
      <c r="AI14" s="30" t="s">
        <v>1002</v>
      </c>
    </row>
    <row r="15" spans="1:35" ht="23.1" customHeight="1" x14ac:dyDescent="0.25">
      <c r="A15" s="141">
        <v>6</v>
      </c>
      <c r="B15" s="132" t="s">
        <v>1900</v>
      </c>
      <c r="C15" s="132" t="s">
        <v>2288</v>
      </c>
      <c r="D15" s="134" t="s">
        <v>1002</v>
      </c>
      <c r="E15" s="8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E15" s="40" t="s">
        <v>1539</v>
      </c>
      <c r="AF15" s="30" t="s">
        <v>1540</v>
      </c>
      <c r="AG15" s="31">
        <v>87.75</v>
      </c>
      <c r="AH15" s="30" t="s">
        <v>1014</v>
      </c>
      <c r="AI15" s="30" t="s">
        <v>1002</v>
      </c>
    </row>
    <row r="16" spans="1:35" ht="23.1" customHeight="1" x14ac:dyDescent="0.25">
      <c r="A16" s="141">
        <v>7</v>
      </c>
      <c r="B16" s="132" t="s">
        <v>2094</v>
      </c>
      <c r="C16" s="132" t="s">
        <v>2278</v>
      </c>
      <c r="D16" s="134" t="s">
        <v>1002</v>
      </c>
      <c r="E16" s="8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E16" s="38" t="s">
        <v>1480</v>
      </c>
      <c r="AF16" s="33" t="s">
        <v>1481</v>
      </c>
      <c r="AG16" s="34" t="s">
        <v>1482</v>
      </c>
      <c r="AH16" s="30" t="s">
        <v>1014</v>
      </c>
      <c r="AI16" s="30" t="s">
        <v>1002</v>
      </c>
    </row>
    <row r="17" spans="1:35" ht="23.1" customHeight="1" x14ac:dyDescent="0.25">
      <c r="A17" s="141">
        <v>8</v>
      </c>
      <c r="B17" s="172" t="s">
        <v>2055</v>
      </c>
      <c r="C17" s="133" t="s">
        <v>1700</v>
      </c>
      <c r="D17" s="134" t="s">
        <v>1002</v>
      </c>
      <c r="E17" s="8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E17" s="40" t="s">
        <v>1537</v>
      </c>
      <c r="AF17" s="30" t="s">
        <v>1538</v>
      </c>
      <c r="AG17" s="31">
        <v>88.16</v>
      </c>
      <c r="AH17" s="30" t="s">
        <v>1014</v>
      </c>
      <c r="AI17" s="30" t="s">
        <v>1002</v>
      </c>
    </row>
    <row r="18" spans="1:35" ht="23.1" customHeight="1" x14ac:dyDescent="0.25">
      <c r="A18" s="141">
        <v>9</v>
      </c>
      <c r="B18" s="132" t="s">
        <v>2096</v>
      </c>
      <c r="C18" s="132" t="s">
        <v>1394</v>
      </c>
      <c r="D18" s="134" t="s">
        <v>1002</v>
      </c>
      <c r="E18" s="8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E18" s="40" t="s">
        <v>1547</v>
      </c>
      <c r="AF18" s="30" t="s">
        <v>1548</v>
      </c>
      <c r="AG18" s="31">
        <v>86.74</v>
      </c>
      <c r="AH18" s="30" t="s">
        <v>1014</v>
      </c>
      <c r="AI18" s="30" t="s">
        <v>1001</v>
      </c>
    </row>
    <row r="19" spans="1:35" ht="23.1" customHeight="1" x14ac:dyDescent="0.25">
      <c r="A19" s="141">
        <v>10</v>
      </c>
      <c r="B19" s="132" t="s">
        <v>2099</v>
      </c>
      <c r="C19" s="132" t="s">
        <v>1716</v>
      </c>
      <c r="D19" s="134" t="s">
        <v>1002</v>
      </c>
      <c r="E19" s="8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E19" s="40" t="s">
        <v>1541</v>
      </c>
      <c r="AF19" s="30" t="s">
        <v>1542</v>
      </c>
      <c r="AG19" s="31">
        <v>87.53</v>
      </c>
      <c r="AH19" s="30" t="s">
        <v>1014</v>
      </c>
      <c r="AI19" s="30" t="s">
        <v>1002</v>
      </c>
    </row>
    <row r="20" spans="1:35" ht="23.1" customHeight="1" x14ac:dyDescent="0.25">
      <c r="A20" s="141">
        <v>11</v>
      </c>
      <c r="B20" s="132" t="s">
        <v>2132</v>
      </c>
      <c r="C20" s="132" t="s">
        <v>1849</v>
      </c>
      <c r="D20" s="134" t="s">
        <v>1001</v>
      </c>
      <c r="E20" s="8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E20" s="42">
        <v>103019259</v>
      </c>
      <c r="AF20" s="37" t="s">
        <v>1742</v>
      </c>
      <c r="AG20" s="37" t="s">
        <v>1743</v>
      </c>
      <c r="AH20" s="30" t="s">
        <v>1014</v>
      </c>
      <c r="AI20" s="30" t="s">
        <v>1001</v>
      </c>
    </row>
    <row r="21" spans="1:35" ht="23.1" customHeight="1" x14ac:dyDescent="0.25">
      <c r="A21" s="141">
        <v>12</v>
      </c>
      <c r="B21" s="132" t="s">
        <v>2023</v>
      </c>
      <c r="C21" s="132" t="s">
        <v>2279</v>
      </c>
      <c r="D21" s="134" t="s">
        <v>1002</v>
      </c>
      <c r="E21" s="8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E21" s="38" t="s">
        <v>1450</v>
      </c>
      <c r="AF21" s="33" t="s">
        <v>1451</v>
      </c>
      <c r="AG21" s="34" t="s">
        <v>1415</v>
      </c>
      <c r="AH21" s="30" t="s">
        <v>1014</v>
      </c>
      <c r="AI21" s="30" t="s">
        <v>1001</v>
      </c>
    </row>
    <row r="22" spans="1:35" ht="23.1" customHeight="1" x14ac:dyDescent="0.25">
      <c r="A22" s="141">
        <v>13</v>
      </c>
      <c r="B22" s="132" t="s">
        <v>1908</v>
      </c>
      <c r="C22" s="132" t="s">
        <v>1789</v>
      </c>
      <c r="D22" s="134" t="s">
        <v>1001</v>
      </c>
      <c r="E22" s="8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E22" s="40" t="s">
        <v>1545</v>
      </c>
      <c r="AF22" s="30" t="s">
        <v>1546</v>
      </c>
      <c r="AG22" s="31">
        <v>86.96</v>
      </c>
      <c r="AH22" s="30" t="s">
        <v>1014</v>
      </c>
      <c r="AI22" s="30" t="s">
        <v>1002</v>
      </c>
    </row>
    <row r="23" spans="1:35" ht="23.1" customHeight="1" x14ac:dyDescent="0.25">
      <c r="A23" s="141">
        <v>14</v>
      </c>
      <c r="B23" s="132" t="s">
        <v>2102</v>
      </c>
      <c r="C23" s="132" t="s">
        <v>1076</v>
      </c>
      <c r="D23" s="134" t="s">
        <v>1001</v>
      </c>
      <c r="E23" s="8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E23" s="42">
        <v>107815195</v>
      </c>
      <c r="AF23" s="37" t="s">
        <v>1746</v>
      </c>
      <c r="AG23" s="37" t="s">
        <v>1747</v>
      </c>
      <c r="AH23" s="30" t="s">
        <v>1014</v>
      </c>
      <c r="AI23" s="30" t="s">
        <v>1002</v>
      </c>
    </row>
    <row r="24" spans="1:35" ht="23.1" customHeight="1" x14ac:dyDescent="0.25">
      <c r="A24" s="141">
        <v>15</v>
      </c>
      <c r="B24" s="172" t="s">
        <v>1989</v>
      </c>
      <c r="C24" s="135" t="s">
        <v>2286</v>
      </c>
      <c r="D24" s="173" t="s">
        <v>1001</v>
      </c>
      <c r="E24" s="8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E24" s="42" t="s">
        <v>1472</v>
      </c>
      <c r="AF24" s="37" t="s">
        <v>1473</v>
      </c>
      <c r="AG24" s="34" t="s">
        <v>1474</v>
      </c>
      <c r="AH24" s="30" t="s">
        <v>1014</v>
      </c>
      <c r="AI24" s="30" t="s">
        <v>1002</v>
      </c>
    </row>
    <row r="25" spans="1:35" ht="23.1" customHeight="1" x14ac:dyDescent="0.25">
      <c r="A25" s="141">
        <v>16</v>
      </c>
      <c r="B25" s="132" t="s">
        <v>2103</v>
      </c>
      <c r="C25" s="132" t="s">
        <v>1580</v>
      </c>
      <c r="D25" s="134" t="s">
        <v>1001</v>
      </c>
      <c r="E25" s="8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E25" s="38" t="s">
        <v>1444</v>
      </c>
      <c r="AF25" s="33" t="s">
        <v>1445</v>
      </c>
      <c r="AG25" s="34" t="s">
        <v>1446</v>
      </c>
      <c r="AH25" s="30" t="s">
        <v>1014</v>
      </c>
      <c r="AI25" s="30" t="s">
        <v>1002</v>
      </c>
    </row>
    <row r="26" spans="1:35" ht="23.1" customHeight="1" x14ac:dyDescent="0.25">
      <c r="A26" s="141">
        <v>17</v>
      </c>
      <c r="B26" s="132" t="s">
        <v>2068</v>
      </c>
      <c r="C26" s="132" t="s">
        <v>1696</v>
      </c>
      <c r="D26" s="134" t="s">
        <v>1002</v>
      </c>
      <c r="E26" s="104"/>
      <c r="F26" s="1"/>
      <c r="G26" s="1"/>
      <c r="H26" s="1"/>
      <c r="I26" s="1"/>
      <c r="J26" s="1"/>
      <c r="K26" s="1"/>
      <c r="L26" s="1"/>
      <c r="M26" s="1"/>
      <c r="N26" s="1"/>
      <c r="O26" s="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E26" s="42">
        <v>3093760747</v>
      </c>
      <c r="AF26" s="37" t="s">
        <v>1478</v>
      </c>
      <c r="AG26" s="34" t="s">
        <v>1479</v>
      </c>
      <c r="AH26" s="30" t="s">
        <v>1014</v>
      </c>
      <c r="AI26" s="30" t="s">
        <v>1002</v>
      </c>
    </row>
    <row r="27" spans="1:35" ht="23.1" customHeight="1" x14ac:dyDescent="0.25">
      <c r="A27" s="141">
        <v>18</v>
      </c>
      <c r="B27" s="132" t="s">
        <v>1913</v>
      </c>
      <c r="C27" s="132" t="s">
        <v>1221</v>
      </c>
      <c r="D27" s="134" t="s">
        <v>1002</v>
      </c>
      <c r="E27" s="8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E27" s="38" t="s">
        <v>1452</v>
      </c>
      <c r="AF27" s="33" t="s">
        <v>1453</v>
      </c>
      <c r="AG27" s="34" t="s">
        <v>1454</v>
      </c>
      <c r="AH27" s="30" t="s">
        <v>1014</v>
      </c>
      <c r="AI27" s="30" t="s">
        <v>1002</v>
      </c>
    </row>
    <row r="28" spans="1:35" ht="23.1" customHeight="1" x14ac:dyDescent="0.25">
      <c r="A28" s="141">
        <v>19</v>
      </c>
      <c r="B28" s="132" t="s">
        <v>2104</v>
      </c>
      <c r="C28" s="132" t="s">
        <v>1375</v>
      </c>
      <c r="D28" s="134" t="s">
        <v>1002</v>
      </c>
      <c r="E28" s="8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E28" s="38" t="s">
        <v>1466</v>
      </c>
      <c r="AF28" s="33" t="s">
        <v>1467</v>
      </c>
      <c r="AG28" s="34" t="s">
        <v>1468</v>
      </c>
      <c r="AH28" s="30" t="s">
        <v>1014</v>
      </c>
      <c r="AI28" s="30" t="s">
        <v>1002</v>
      </c>
    </row>
    <row r="29" spans="1:35" ht="23.1" customHeight="1" x14ac:dyDescent="0.25">
      <c r="A29" s="141">
        <v>20</v>
      </c>
      <c r="B29" s="132" t="s">
        <v>1956</v>
      </c>
      <c r="C29" s="132" t="s">
        <v>1233</v>
      </c>
      <c r="D29" s="134" t="s">
        <v>1001</v>
      </c>
      <c r="E29" s="8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E29" s="50">
        <v>109430323</v>
      </c>
      <c r="AF29" s="48" t="s">
        <v>1754</v>
      </c>
      <c r="AG29" s="48" t="s">
        <v>1755</v>
      </c>
      <c r="AH29" s="30" t="s">
        <v>1014</v>
      </c>
      <c r="AI29" s="30" t="s">
        <v>1001</v>
      </c>
    </row>
    <row r="30" spans="1:35" ht="23.1" customHeight="1" x14ac:dyDescent="0.25">
      <c r="A30" s="141">
        <v>21</v>
      </c>
      <c r="B30" s="132" t="s">
        <v>2171</v>
      </c>
      <c r="C30" s="132" t="s">
        <v>1462</v>
      </c>
      <c r="D30" s="134" t="s">
        <v>1002</v>
      </c>
      <c r="E30" s="8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E30" s="38" t="s">
        <v>1447</v>
      </c>
      <c r="AF30" s="33" t="s">
        <v>1448</v>
      </c>
      <c r="AG30" s="34" t="s">
        <v>1449</v>
      </c>
      <c r="AH30" s="30" t="s">
        <v>1014</v>
      </c>
      <c r="AI30" s="30" t="s">
        <v>1001</v>
      </c>
    </row>
    <row r="31" spans="1:35" ht="23.1" customHeight="1" x14ac:dyDescent="0.25">
      <c r="A31" s="141">
        <v>22</v>
      </c>
      <c r="B31" s="174" t="s">
        <v>2292</v>
      </c>
      <c r="C31" s="160" t="s">
        <v>2291</v>
      </c>
      <c r="D31" s="177" t="s">
        <v>1001</v>
      </c>
      <c r="E31" s="8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E31" s="40" t="s">
        <v>1535</v>
      </c>
      <c r="AF31" s="30" t="s">
        <v>1536</v>
      </c>
      <c r="AG31" s="31">
        <v>88.85</v>
      </c>
      <c r="AH31" s="30" t="s">
        <v>1014</v>
      </c>
      <c r="AI31" s="30" t="s">
        <v>1001</v>
      </c>
    </row>
    <row r="32" spans="1:35" ht="23.1" customHeight="1" x14ac:dyDescent="0.25">
      <c r="A32" s="141">
        <v>23</v>
      </c>
      <c r="B32" s="132" t="s">
        <v>1878</v>
      </c>
      <c r="C32" s="132" t="s">
        <v>1879</v>
      </c>
      <c r="D32" s="134" t="s">
        <v>1002</v>
      </c>
      <c r="E32" s="8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E32" s="41">
        <v>105787747</v>
      </c>
      <c r="AF32" s="35" t="s">
        <v>1756</v>
      </c>
      <c r="AG32" s="35" t="s">
        <v>1757</v>
      </c>
      <c r="AH32" s="30" t="s">
        <v>1014</v>
      </c>
      <c r="AI32" s="30" t="s">
        <v>1001</v>
      </c>
    </row>
    <row r="33" spans="1:35" ht="23.1" customHeight="1" x14ac:dyDescent="0.25">
      <c r="A33" s="141">
        <v>24</v>
      </c>
      <c r="B33" s="132" t="s">
        <v>1957</v>
      </c>
      <c r="C33" s="132" t="s">
        <v>1819</v>
      </c>
      <c r="D33" s="134" t="s">
        <v>1001</v>
      </c>
      <c r="E33" s="8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E33" s="40" t="s">
        <v>1549</v>
      </c>
      <c r="AF33" s="30" t="s">
        <v>1550</v>
      </c>
      <c r="AG33" s="31">
        <v>86.58</v>
      </c>
      <c r="AH33" s="30" t="s">
        <v>1014</v>
      </c>
      <c r="AI33" s="30" t="s">
        <v>1001</v>
      </c>
    </row>
    <row r="34" spans="1:35" ht="23.1" customHeight="1" x14ac:dyDescent="0.25">
      <c r="A34" s="141">
        <v>25</v>
      </c>
      <c r="B34" s="132" t="s">
        <v>2070</v>
      </c>
      <c r="C34" s="132" t="s">
        <v>2280</v>
      </c>
      <c r="D34" s="134" t="s">
        <v>1001</v>
      </c>
      <c r="E34" s="8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E34" s="42" t="s">
        <v>1469</v>
      </c>
      <c r="AF34" s="37" t="s">
        <v>1470</v>
      </c>
      <c r="AG34" s="34" t="s">
        <v>1471</v>
      </c>
      <c r="AH34" s="30" t="s">
        <v>1014</v>
      </c>
      <c r="AI34" s="30" t="s">
        <v>1001</v>
      </c>
    </row>
    <row r="35" spans="1:35" ht="23.1" customHeight="1" x14ac:dyDescent="0.25">
      <c r="A35" s="141">
        <v>26</v>
      </c>
      <c r="B35" s="147" t="s">
        <v>2108</v>
      </c>
      <c r="C35" s="147" t="s">
        <v>2281</v>
      </c>
      <c r="D35" s="134" t="s">
        <v>1002</v>
      </c>
      <c r="E35" s="8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E35" s="38" t="s">
        <v>1458</v>
      </c>
      <c r="AF35" s="33" t="s">
        <v>1459</v>
      </c>
      <c r="AG35" s="34" t="s">
        <v>1460</v>
      </c>
      <c r="AH35" s="30" t="s">
        <v>1014</v>
      </c>
      <c r="AI35" s="30" t="s">
        <v>1001</v>
      </c>
    </row>
    <row r="36" spans="1:35" ht="23.1" customHeight="1" x14ac:dyDescent="0.25">
      <c r="A36" s="141">
        <v>27</v>
      </c>
      <c r="B36" s="132" t="s">
        <v>2110</v>
      </c>
      <c r="C36" s="132" t="s">
        <v>1380</v>
      </c>
      <c r="D36" s="134" t="s">
        <v>1002</v>
      </c>
      <c r="E36" s="8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E36" s="38" t="s">
        <v>1455</v>
      </c>
      <c r="AF36" s="33" t="s">
        <v>1456</v>
      </c>
      <c r="AG36" s="34" t="s">
        <v>1457</v>
      </c>
      <c r="AH36" s="30" t="s">
        <v>1014</v>
      </c>
      <c r="AI36" s="30" t="s">
        <v>1002</v>
      </c>
    </row>
    <row r="37" spans="1:35" ht="23.1" customHeight="1" x14ac:dyDescent="0.25">
      <c r="A37" s="141">
        <v>28</v>
      </c>
      <c r="B37" s="132" t="s">
        <v>2175</v>
      </c>
      <c r="C37" s="132" t="s">
        <v>1476</v>
      </c>
      <c r="D37" s="134" t="s">
        <v>1002</v>
      </c>
      <c r="E37" s="8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E37" s="42" t="s">
        <v>1461</v>
      </c>
      <c r="AF37" s="37" t="s">
        <v>1462</v>
      </c>
      <c r="AG37" s="34" t="s">
        <v>1098</v>
      </c>
      <c r="AH37" s="30" t="s">
        <v>1014</v>
      </c>
      <c r="AI37" s="30" t="s">
        <v>1002</v>
      </c>
    </row>
    <row r="38" spans="1:35" ht="23.1" customHeight="1" x14ac:dyDescent="0.25">
      <c r="A38" s="141">
        <v>29</v>
      </c>
      <c r="B38" s="132" t="s">
        <v>1884</v>
      </c>
      <c r="C38" s="132" t="s">
        <v>1402</v>
      </c>
      <c r="D38" s="134" t="s">
        <v>1002</v>
      </c>
      <c r="E38" s="8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E38" s="42">
        <v>97120646</v>
      </c>
      <c r="AF38" s="37" t="s">
        <v>1744</v>
      </c>
      <c r="AG38" s="37" t="s">
        <v>1745</v>
      </c>
      <c r="AH38" s="30" t="s">
        <v>1014</v>
      </c>
      <c r="AI38" s="30" t="s">
        <v>1002</v>
      </c>
    </row>
    <row r="39" spans="1:35" ht="23.1" customHeight="1" x14ac:dyDescent="0.25">
      <c r="A39" s="141">
        <v>30</v>
      </c>
      <c r="B39" s="132" t="s">
        <v>2072</v>
      </c>
      <c r="C39" s="132" t="s">
        <v>1805</v>
      </c>
      <c r="D39" s="134" t="s">
        <v>1001</v>
      </c>
      <c r="E39" s="8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E39" s="40" t="s">
        <v>1543</v>
      </c>
      <c r="AF39" s="30" t="s">
        <v>1544</v>
      </c>
      <c r="AG39" s="31">
        <v>87.28</v>
      </c>
      <c r="AH39" s="30" t="s">
        <v>1014</v>
      </c>
      <c r="AI39" s="30" t="s">
        <v>1002</v>
      </c>
    </row>
    <row r="40" spans="1:35" ht="23.1" customHeight="1" x14ac:dyDescent="0.25">
      <c r="A40" s="141">
        <v>31</v>
      </c>
      <c r="B40" s="132" t="s">
        <v>1999</v>
      </c>
      <c r="C40" s="132" t="s">
        <v>1665</v>
      </c>
      <c r="D40" s="134" t="s">
        <v>1002</v>
      </c>
      <c r="E40" s="8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E40" s="38" t="s">
        <v>1463</v>
      </c>
      <c r="AF40" s="33" t="s">
        <v>1464</v>
      </c>
      <c r="AG40" s="34" t="s">
        <v>1465</v>
      </c>
      <c r="AH40" s="30" t="s">
        <v>1014</v>
      </c>
      <c r="AI40" s="30" t="s">
        <v>1002</v>
      </c>
    </row>
    <row r="41" spans="1:35" ht="23.1" customHeight="1" x14ac:dyDescent="0.25">
      <c r="A41" s="141">
        <v>32</v>
      </c>
      <c r="B41" s="132" t="s">
        <v>2000</v>
      </c>
      <c r="C41" s="132" t="s">
        <v>2282</v>
      </c>
      <c r="D41" s="134" t="s">
        <v>1002</v>
      </c>
      <c r="E41" s="8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E41" s="42" t="s">
        <v>1475</v>
      </c>
      <c r="AF41" s="37" t="s">
        <v>1476</v>
      </c>
      <c r="AG41" s="34" t="s">
        <v>1477</v>
      </c>
      <c r="AH41" s="30" t="s">
        <v>1014</v>
      </c>
      <c r="AI41" s="30" t="s">
        <v>1002</v>
      </c>
    </row>
    <row r="42" spans="1:35" ht="23.1" customHeight="1" x14ac:dyDescent="0.25">
      <c r="A42" s="141">
        <v>33</v>
      </c>
      <c r="B42" s="132" t="s">
        <v>1960</v>
      </c>
      <c r="C42" s="132" t="s">
        <v>1237</v>
      </c>
      <c r="D42" s="134" t="s">
        <v>1002</v>
      </c>
      <c r="E42" s="8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E42" s="42"/>
      <c r="AF42" s="37"/>
      <c r="AG42" s="34"/>
      <c r="AH42" s="30"/>
      <c r="AI42" s="30"/>
    </row>
    <row r="43" spans="1:35" ht="23.1" customHeight="1" x14ac:dyDescent="0.25">
      <c r="A43" s="153">
        <v>34</v>
      </c>
      <c r="B43" s="158" t="s">
        <v>2043</v>
      </c>
      <c r="C43" s="158" t="s">
        <v>1681</v>
      </c>
      <c r="D43" s="159" t="s">
        <v>1002</v>
      </c>
      <c r="E43" s="130"/>
      <c r="F43" s="131"/>
      <c r="G43" s="131"/>
      <c r="H43" s="131"/>
      <c r="I43" s="131"/>
      <c r="J43" s="131"/>
      <c r="K43" s="131"/>
      <c r="L43" s="131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E43" s="42"/>
      <c r="AF43" s="37"/>
      <c r="AG43" s="34"/>
      <c r="AH43" s="30"/>
      <c r="AI43" s="30"/>
    </row>
    <row r="44" spans="1:35" ht="23.1" customHeight="1" x14ac:dyDescent="0.3">
      <c r="A44" s="141">
        <v>35</v>
      </c>
      <c r="B44" s="176" t="s">
        <v>2113</v>
      </c>
      <c r="C44" s="176" t="s">
        <v>1391</v>
      </c>
      <c r="D44" s="179" t="s">
        <v>1002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E44" s="41">
        <v>106201622</v>
      </c>
      <c r="AF44" s="35" t="s">
        <v>1817</v>
      </c>
      <c r="AG44" s="35" t="s">
        <v>1818</v>
      </c>
      <c r="AH44" s="47" t="s">
        <v>1014</v>
      </c>
      <c r="AI44" s="30" t="s">
        <v>1002</v>
      </c>
    </row>
    <row r="45" spans="1:35" ht="23.1" customHeight="1" x14ac:dyDescent="0.3">
      <c r="A45" s="155">
        <v>36</v>
      </c>
      <c r="B45" s="175" t="s">
        <v>1928</v>
      </c>
      <c r="C45" s="175" t="s">
        <v>2283</v>
      </c>
      <c r="D45" s="178" t="s">
        <v>1002</v>
      </c>
      <c r="E45" s="86"/>
      <c r="F45" s="86"/>
      <c r="G45" s="86"/>
      <c r="H45" s="86"/>
      <c r="I45" s="86"/>
      <c r="J45" s="86"/>
      <c r="K45" s="86"/>
      <c r="L45" s="86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E45" s="161"/>
      <c r="AF45" s="162"/>
      <c r="AG45" s="162"/>
      <c r="AH45" s="163"/>
      <c r="AI45" s="164"/>
    </row>
    <row r="46" spans="1:35" ht="23.1" customHeight="1" x14ac:dyDescent="0.25">
      <c r="A46" s="89"/>
      <c r="B46" s="84" t="s">
        <v>997</v>
      </c>
      <c r="C46" s="85" t="s">
        <v>999</v>
      </c>
      <c r="D46" s="89">
        <f>COUNTIFS($D$10:$D$45,"L")</f>
        <v>12</v>
      </c>
      <c r="E46" s="86"/>
      <c r="F46" s="86"/>
      <c r="G46" s="86"/>
      <c r="H46" s="86"/>
      <c r="I46" s="86"/>
      <c r="J46" s="86"/>
      <c r="K46" s="86"/>
      <c r="L46" s="86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35" ht="23.1" customHeight="1" x14ac:dyDescent="0.25">
      <c r="A47" s="6"/>
      <c r="B47" s="27" t="s">
        <v>998</v>
      </c>
      <c r="C47" s="11" t="s">
        <v>1000</v>
      </c>
      <c r="D47" s="6">
        <f>COUNTIFS($D$10:$D$45,"P")</f>
        <v>24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35" ht="23.1" customHeight="1" x14ac:dyDescent="0.25">
      <c r="D48" s="5">
        <f>D46+D47</f>
        <v>36</v>
      </c>
    </row>
    <row r="49" ht="23.1" customHeight="1" x14ac:dyDescent="0.25"/>
  </sheetData>
  <sortState xmlns:xlrd2="http://schemas.microsoft.com/office/spreadsheetml/2017/richdata2" ref="B10:D45">
    <sortCondition ref="C10:C45"/>
  </sortState>
  <mergeCells count="13">
    <mergeCell ref="A1:AC1"/>
    <mergeCell ref="A2:AC2"/>
    <mergeCell ref="A3:AC3"/>
    <mergeCell ref="A4:AC4"/>
    <mergeCell ref="A7:A9"/>
    <mergeCell ref="B7:B9"/>
    <mergeCell ref="D7:D9"/>
    <mergeCell ref="E7:G7"/>
    <mergeCell ref="H7:R7"/>
    <mergeCell ref="S7:T7"/>
    <mergeCell ref="U7:AC7"/>
    <mergeCell ref="C7:C9"/>
    <mergeCell ref="E8:AC8"/>
  </mergeCells>
  <pageMargins left="0.34" right="0.11811023622047245" top="0.55118110236220474" bottom="0.74803149606299213" header="0.31496062992125984" footer="0.31496062992125984"/>
  <pageSetup paperSize="9" scale="72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J47"/>
  <sheetViews>
    <sheetView topLeftCell="A17" zoomScale="90" zoomScaleNormal="90" workbookViewId="0">
      <selection activeCell="A22" sqref="A22:A43"/>
    </sheetView>
  </sheetViews>
  <sheetFormatPr defaultRowHeight="15" x14ac:dyDescent="0.25"/>
  <cols>
    <col min="1" max="1" width="3.5703125" style="5" bestFit="1" customWidth="1"/>
    <col min="2" max="2" width="22.7109375" style="8" customWidth="1"/>
    <col min="3" max="3" width="40" customWidth="1"/>
    <col min="4" max="4" width="5.85546875" style="5" customWidth="1"/>
    <col min="5" max="20" width="2.7109375" customWidth="1"/>
    <col min="21" max="28" width="3.5703125" customWidth="1"/>
    <col min="29" max="29" width="14.7109375" hidden="1" customWidth="1"/>
    <col min="30" max="30" width="17" hidden="1" customWidth="1"/>
    <col min="31" max="31" width="35.28515625" hidden="1" customWidth="1"/>
    <col min="32" max="32" width="9.140625" hidden="1" customWidth="1"/>
    <col min="33" max="33" width="5.85546875" hidden="1" customWidth="1"/>
    <col min="34" max="34" width="4.85546875" hidden="1" customWidth="1"/>
    <col min="35" max="35" width="5.28515625" customWidth="1"/>
  </cols>
  <sheetData>
    <row r="1" spans="1:36" x14ac:dyDescent="0.25">
      <c r="A1" s="199"/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</row>
    <row r="2" spans="1:36" x14ac:dyDescent="0.25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</row>
    <row r="3" spans="1:36" ht="27" customHeight="1" x14ac:dyDescent="0.25">
      <c r="A3" s="199"/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</row>
    <row r="4" spans="1:36" ht="21" x14ac:dyDescent="0.35">
      <c r="A4" s="183" t="s">
        <v>2236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</row>
    <row r="5" spans="1:36" ht="26.25" x14ac:dyDescent="0.4">
      <c r="O5" s="90"/>
    </row>
    <row r="7" spans="1:36" x14ac:dyDescent="0.25">
      <c r="A7" s="192" t="s">
        <v>991</v>
      </c>
      <c r="B7" s="192" t="s">
        <v>2216</v>
      </c>
      <c r="C7" s="192" t="s">
        <v>993</v>
      </c>
      <c r="D7" s="201" t="s">
        <v>994</v>
      </c>
      <c r="E7" s="203" t="s">
        <v>995</v>
      </c>
      <c r="F7" s="204"/>
      <c r="G7" s="205"/>
      <c r="H7" s="206" t="s">
        <v>2312</v>
      </c>
      <c r="I7" s="207"/>
      <c r="J7" s="207"/>
      <c r="K7" s="207"/>
      <c r="L7" s="207"/>
      <c r="M7" s="207"/>
      <c r="N7" s="207"/>
      <c r="O7" s="207"/>
      <c r="P7" s="207"/>
      <c r="Q7" s="207"/>
      <c r="R7" s="208"/>
      <c r="S7" s="209" t="s">
        <v>996</v>
      </c>
      <c r="T7" s="209"/>
      <c r="U7" s="210" t="s">
        <v>2313</v>
      </c>
      <c r="V7" s="211"/>
      <c r="W7" s="211"/>
      <c r="X7" s="211"/>
      <c r="Y7" s="211"/>
      <c r="Z7" s="211"/>
      <c r="AA7" s="211"/>
      <c r="AB7" s="211"/>
    </row>
    <row r="8" spans="1:36" x14ac:dyDescent="0.25">
      <c r="A8" s="192"/>
      <c r="B8" s="192"/>
      <c r="C8" s="192"/>
      <c r="D8" s="201"/>
      <c r="E8" s="206" t="s">
        <v>2303</v>
      </c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8"/>
    </row>
    <row r="9" spans="1:36" ht="15.75" x14ac:dyDescent="0.25">
      <c r="A9" s="192"/>
      <c r="B9" s="192"/>
      <c r="C9" s="192"/>
      <c r="D9" s="201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D9" s="38" t="s">
        <v>1492</v>
      </c>
      <c r="AE9" s="38" t="s">
        <v>1493</v>
      </c>
      <c r="AF9" s="39" t="s">
        <v>1454</v>
      </c>
      <c r="AG9" s="40" t="s">
        <v>1015</v>
      </c>
      <c r="AH9" s="40" t="s">
        <v>1001</v>
      </c>
    </row>
    <row r="10" spans="1:36" ht="23.1" customHeight="1" x14ac:dyDescent="0.25">
      <c r="A10" s="140">
        <v>1</v>
      </c>
      <c r="B10" s="132" t="s">
        <v>1929</v>
      </c>
      <c r="C10" s="135" t="s">
        <v>1930</v>
      </c>
      <c r="D10" s="134" t="s">
        <v>1001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D10" s="41">
        <v>92945205</v>
      </c>
      <c r="AE10" s="41" t="s">
        <v>1766</v>
      </c>
      <c r="AF10" s="41" t="s">
        <v>1147</v>
      </c>
      <c r="AG10" s="40" t="s">
        <v>1015</v>
      </c>
      <c r="AH10" s="40" t="s">
        <v>1002</v>
      </c>
      <c r="AJ10" t="str">
        <f>UPPER(C10)</f>
        <v>ACH. ILHAM ROFIQI</v>
      </c>
    </row>
    <row r="11" spans="1:36" ht="23.1" customHeight="1" x14ac:dyDescent="0.25">
      <c r="A11" s="140">
        <v>2</v>
      </c>
      <c r="B11" s="132" t="s">
        <v>2146</v>
      </c>
      <c r="C11" s="135" t="s">
        <v>1749</v>
      </c>
      <c r="D11" s="134" t="s">
        <v>1001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D11" s="38" t="s">
        <v>1499</v>
      </c>
      <c r="AE11" s="38" t="s">
        <v>1500</v>
      </c>
      <c r="AF11" s="39" t="s">
        <v>1098</v>
      </c>
      <c r="AG11" s="40" t="s">
        <v>1015</v>
      </c>
      <c r="AH11" s="40" t="s">
        <v>1002</v>
      </c>
      <c r="AJ11" t="str">
        <f>UPPER(C11)</f>
        <v>AHMAD FAHRI</v>
      </c>
    </row>
    <row r="12" spans="1:36" ht="23.1" customHeight="1" x14ac:dyDescent="0.25">
      <c r="A12" s="140">
        <v>3</v>
      </c>
      <c r="B12" s="132" t="s">
        <v>2180</v>
      </c>
      <c r="C12" s="152" t="s">
        <v>2259</v>
      </c>
      <c r="D12" s="134" t="s">
        <v>1002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D12" s="42" t="s">
        <v>1509</v>
      </c>
      <c r="AE12" s="42" t="s">
        <v>1510</v>
      </c>
      <c r="AF12" s="39" t="s">
        <v>1511</v>
      </c>
      <c r="AG12" s="40" t="s">
        <v>1015</v>
      </c>
      <c r="AH12" s="40" t="s">
        <v>1002</v>
      </c>
      <c r="AJ12" t="str">
        <f>UPPER(C12)</f>
        <v>ALISSYA IMANIAR RIDHO</v>
      </c>
    </row>
    <row r="13" spans="1:36" ht="23.1" customHeight="1" x14ac:dyDescent="0.25">
      <c r="A13" s="140">
        <v>4</v>
      </c>
      <c r="B13" s="132" t="s">
        <v>1970</v>
      </c>
      <c r="C13" s="135" t="s">
        <v>1278</v>
      </c>
      <c r="D13" s="134" t="s">
        <v>1002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D13" s="40" t="s">
        <v>1519</v>
      </c>
      <c r="AE13" s="40" t="s">
        <v>1520</v>
      </c>
      <c r="AF13" s="43">
        <v>88.02</v>
      </c>
      <c r="AG13" s="40" t="s">
        <v>1015</v>
      </c>
      <c r="AH13" s="40" t="s">
        <v>1001</v>
      </c>
      <c r="AJ13" t="str">
        <f>UPPER(C13)</f>
        <v>APRILIA NURISTIGFARAH ARIFIN</v>
      </c>
    </row>
    <row r="14" spans="1:36" ht="23.1" customHeight="1" x14ac:dyDescent="0.25">
      <c r="A14" s="140">
        <v>5</v>
      </c>
      <c r="B14" s="132" t="s">
        <v>1894</v>
      </c>
      <c r="C14" s="135" t="s">
        <v>1204</v>
      </c>
      <c r="D14" s="134" t="s">
        <v>1002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D14" s="38" t="s">
        <v>1507</v>
      </c>
      <c r="AE14" s="38" t="s">
        <v>1508</v>
      </c>
      <c r="AF14" s="39" t="s">
        <v>1474</v>
      </c>
      <c r="AG14" s="40" t="s">
        <v>1015</v>
      </c>
      <c r="AH14" s="40" t="s">
        <v>1001</v>
      </c>
      <c r="AJ14" t="str">
        <f>UPPER('XI-E'!C42)</f>
        <v>SYIFA NURFADHILA RAMADHANI</v>
      </c>
    </row>
    <row r="15" spans="1:36" ht="23.1" customHeight="1" x14ac:dyDescent="0.25">
      <c r="A15" s="140">
        <v>6</v>
      </c>
      <c r="B15" s="132" t="s">
        <v>2089</v>
      </c>
      <c r="C15" s="133" t="s">
        <v>1723</v>
      </c>
      <c r="D15" s="134" t="s">
        <v>1002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D15" s="42" t="s">
        <v>1486</v>
      </c>
      <c r="AE15" s="42" t="s">
        <v>1487</v>
      </c>
      <c r="AF15" s="39" t="s">
        <v>1488</v>
      </c>
      <c r="AG15" s="40" t="s">
        <v>1015</v>
      </c>
      <c r="AH15" s="40" t="s">
        <v>1002</v>
      </c>
      <c r="AJ15" t="str">
        <f t="shared" ref="AJ15:AJ25" si="0">UPPER(C15)</f>
        <v>AULIA KASIH MAULIDATURROHMAH</v>
      </c>
    </row>
    <row r="16" spans="1:36" ht="23.1" customHeight="1" x14ac:dyDescent="0.25">
      <c r="A16" s="140">
        <v>7</v>
      </c>
      <c r="B16" s="132" t="s">
        <v>1972</v>
      </c>
      <c r="C16" s="135" t="s">
        <v>1671</v>
      </c>
      <c r="D16" s="134" t="s">
        <v>1001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D16" s="38" t="s">
        <v>1514</v>
      </c>
      <c r="AE16" s="38" t="s">
        <v>1515</v>
      </c>
      <c r="AF16" s="39" t="s">
        <v>1516</v>
      </c>
      <c r="AG16" s="40" t="s">
        <v>1015</v>
      </c>
      <c r="AH16" s="40" t="s">
        <v>1002</v>
      </c>
      <c r="AJ16" t="str">
        <f t="shared" si="0"/>
        <v>AURIZKIAN WIDAD ALIM PRANATA</v>
      </c>
    </row>
    <row r="17" spans="1:36" ht="23.1" customHeight="1" x14ac:dyDescent="0.25">
      <c r="A17" s="140">
        <v>8</v>
      </c>
      <c r="B17" s="132" t="s">
        <v>1973</v>
      </c>
      <c r="C17" s="135" t="s">
        <v>1275</v>
      </c>
      <c r="D17" s="134" t="s">
        <v>1002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D17" s="42">
        <v>105049596</v>
      </c>
      <c r="AE17" s="42" t="s">
        <v>1761</v>
      </c>
      <c r="AF17" s="42" t="s">
        <v>1762</v>
      </c>
      <c r="AG17" s="40" t="s">
        <v>1015</v>
      </c>
      <c r="AH17" s="40" t="s">
        <v>1002</v>
      </c>
      <c r="AJ17" t="str">
        <f t="shared" si="0"/>
        <v>AYUDITA SANTINOVA SETIAWAN</v>
      </c>
    </row>
    <row r="18" spans="1:36" ht="23.1" customHeight="1" x14ac:dyDescent="0.25">
      <c r="A18" s="140">
        <v>9</v>
      </c>
      <c r="B18" s="132" t="s">
        <v>2187</v>
      </c>
      <c r="C18" s="133" t="s">
        <v>1673</v>
      </c>
      <c r="D18" s="134" t="s">
        <v>1001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D18" s="42">
        <v>92295934</v>
      </c>
      <c r="AE18" s="42" t="s">
        <v>1759</v>
      </c>
      <c r="AF18" s="42" t="s">
        <v>1760</v>
      </c>
      <c r="AG18" s="40" t="s">
        <v>1015</v>
      </c>
      <c r="AH18" s="40" t="s">
        <v>1002</v>
      </c>
      <c r="AJ18" t="str">
        <f t="shared" si="0"/>
        <v>FIKI PUTRA RAMADHON</v>
      </c>
    </row>
    <row r="19" spans="1:36" ht="23.1" customHeight="1" x14ac:dyDescent="0.25">
      <c r="A19" s="140">
        <v>10</v>
      </c>
      <c r="B19" s="132" t="s">
        <v>1938</v>
      </c>
      <c r="C19" s="135" t="s">
        <v>1792</v>
      </c>
      <c r="D19" s="134" t="s">
        <v>1001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D19" s="42" t="s">
        <v>1504</v>
      </c>
      <c r="AE19" s="42" t="s">
        <v>1505</v>
      </c>
      <c r="AF19" s="39" t="s">
        <v>1506</v>
      </c>
      <c r="AG19" s="40" t="s">
        <v>1015</v>
      </c>
      <c r="AH19" s="40" t="s">
        <v>1002</v>
      </c>
      <c r="AJ19" t="str">
        <f t="shared" si="0"/>
        <v>GUSTI SATRIO PRATAMA FAJAR</v>
      </c>
    </row>
    <row r="20" spans="1:36" ht="23.1" customHeight="1" x14ac:dyDescent="0.3">
      <c r="A20" s="140">
        <v>11</v>
      </c>
      <c r="B20" s="132" t="s">
        <v>2022</v>
      </c>
      <c r="C20" s="135" t="s">
        <v>1690</v>
      </c>
      <c r="D20" s="134" t="s">
        <v>1002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D20" s="41">
        <v>99246425</v>
      </c>
      <c r="AE20" s="41" t="s">
        <v>1821</v>
      </c>
      <c r="AF20" s="41" t="s">
        <v>1822</v>
      </c>
      <c r="AG20" s="44" t="s">
        <v>1015</v>
      </c>
      <c r="AH20" s="40" t="s">
        <v>1001</v>
      </c>
      <c r="AJ20" t="str">
        <f t="shared" si="0"/>
        <v>KHARISMA SALSABILA IZZATI</v>
      </c>
    </row>
    <row r="21" spans="1:36" ht="23.1" customHeight="1" x14ac:dyDescent="0.25">
      <c r="A21" s="140">
        <v>12</v>
      </c>
      <c r="B21" s="132" t="s">
        <v>1941</v>
      </c>
      <c r="C21" s="135" t="s">
        <v>1942</v>
      </c>
      <c r="D21" s="134" t="s">
        <v>1001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D21" s="42">
        <v>106819845</v>
      </c>
      <c r="AE21" s="42" t="s">
        <v>1758</v>
      </c>
      <c r="AF21" s="42" t="s">
        <v>1137</v>
      </c>
      <c r="AG21" s="40" t="s">
        <v>1015</v>
      </c>
      <c r="AH21" s="40" t="s">
        <v>1001</v>
      </c>
      <c r="AJ21" t="str">
        <f t="shared" si="0"/>
        <v>M. GIBRAN OKTAVIANO TAHER</v>
      </c>
    </row>
    <row r="22" spans="1:36" ht="23.1" customHeight="1" x14ac:dyDescent="0.25">
      <c r="A22" s="140">
        <v>13</v>
      </c>
      <c r="B22" s="132" t="s">
        <v>1943</v>
      </c>
      <c r="C22" s="135" t="s">
        <v>2285</v>
      </c>
      <c r="D22" s="134" t="s">
        <v>1002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D22" s="41">
        <v>98777177</v>
      </c>
      <c r="AE22" s="41" t="s">
        <v>1771</v>
      </c>
      <c r="AF22" s="41" t="s">
        <v>1772</v>
      </c>
      <c r="AG22" s="40" t="s">
        <v>1015</v>
      </c>
      <c r="AH22" s="40" t="s">
        <v>1001</v>
      </c>
      <c r="AJ22" t="str">
        <f t="shared" si="0"/>
        <v>MEYSITA PUTRI YANTO</v>
      </c>
    </row>
    <row r="23" spans="1:36" ht="23.1" customHeight="1" x14ac:dyDescent="0.25">
      <c r="A23" s="140">
        <v>14</v>
      </c>
      <c r="B23" s="132" t="s">
        <v>2284</v>
      </c>
      <c r="C23" s="135" t="s">
        <v>1442</v>
      </c>
      <c r="D23" s="134" t="s">
        <v>1001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D23" s="40" t="s">
        <v>1525</v>
      </c>
      <c r="AE23" s="40" t="s">
        <v>1526</v>
      </c>
      <c r="AF23" s="43">
        <v>87.24</v>
      </c>
      <c r="AG23" s="40" t="s">
        <v>1015</v>
      </c>
      <c r="AH23" s="40" t="s">
        <v>1001</v>
      </c>
      <c r="AJ23" t="str">
        <f t="shared" si="0"/>
        <v>MOH RAFI NUR HIDAYAT</v>
      </c>
    </row>
    <row r="24" spans="1:36" ht="23.1" customHeight="1" x14ac:dyDescent="0.25">
      <c r="A24" s="140">
        <v>15</v>
      </c>
      <c r="B24" s="132" t="s">
        <v>1986</v>
      </c>
      <c r="C24" s="135" t="s">
        <v>1987</v>
      </c>
      <c r="D24" s="134" t="s">
        <v>1001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D24" s="42">
        <v>93475325</v>
      </c>
      <c r="AE24" s="42" t="s">
        <v>1765</v>
      </c>
      <c r="AF24" s="42" t="s">
        <v>1145</v>
      </c>
      <c r="AG24" s="40" t="s">
        <v>1015</v>
      </c>
      <c r="AH24" s="40" t="s">
        <v>1001</v>
      </c>
      <c r="AJ24" t="str">
        <f t="shared" si="0"/>
        <v>MOH. NAZRUL PRAMANA</v>
      </c>
    </row>
    <row r="25" spans="1:36" ht="23.1" customHeight="1" x14ac:dyDescent="0.25">
      <c r="A25" s="140">
        <v>16</v>
      </c>
      <c r="B25" s="132" t="s">
        <v>2196</v>
      </c>
      <c r="C25" s="133" t="s">
        <v>1503</v>
      </c>
      <c r="D25" s="134" t="s">
        <v>1001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D25" s="38" t="s">
        <v>1501</v>
      </c>
      <c r="AE25" s="38" t="s">
        <v>1502</v>
      </c>
      <c r="AF25" s="39" t="s">
        <v>1465</v>
      </c>
      <c r="AG25" s="40" t="s">
        <v>1015</v>
      </c>
      <c r="AH25" s="40" t="s">
        <v>1002</v>
      </c>
      <c r="AJ25" t="str">
        <f t="shared" si="0"/>
        <v>MUHAMMAD JAVIER AL QORNI</v>
      </c>
    </row>
    <row r="26" spans="1:36" ht="23.1" customHeight="1" x14ac:dyDescent="0.25">
      <c r="A26" s="140">
        <v>17</v>
      </c>
      <c r="B26" s="132" t="s">
        <v>1948</v>
      </c>
      <c r="C26" s="135" t="s">
        <v>1347</v>
      </c>
      <c r="D26" s="134" t="s">
        <v>1001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D26" s="38" t="s">
        <v>1489</v>
      </c>
      <c r="AE26" s="38" t="s">
        <v>1490</v>
      </c>
      <c r="AF26" s="39" t="s">
        <v>1491</v>
      </c>
      <c r="AG26" s="40" t="s">
        <v>1015</v>
      </c>
      <c r="AH26" s="40" t="s">
        <v>1002</v>
      </c>
      <c r="AJ26" t="str">
        <f>UPPER('XI-F'!C14)</f>
        <v>AUDREY BELVA PUTRI PURNAMA</v>
      </c>
    </row>
    <row r="27" spans="1:36" ht="23.1" customHeight="1" x14ac:dyDescent="0.25">
      <c r="A27" s="140">
        <v>18</v>
      </c>
      <c r="B27" s="132" t="s">
        <v>1990</v>
      </c>
      <c r="C27" s="135" t="s">
        <v>1656</v>
      </c>
      <c r="D27" s="134" t="s">
        <v>1002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D27" s="41">
        <v>93307160</v>
      </c>
      <c r="AE27" s="41" t="s">
        <v>1767</v>
      </c>
      <c r="AF27" s="41" t="s">
        <v>1768</v>
      </c>
      <c r="AG27" s="40" t="s">
        <v>1015</v>
      </c>
      <c r="AH27" s="40" t="s">
        <v>1002</v>
      </c>
      <c r="AJ27" t="str">
        <f>UPPER(C27)</f>
        <v>NADA SYAHRIA THALLIB</v>
      </c>
    </row>
    <row r="28" spans="1:36" ht="23.1" customHeight="1" x14ac:dyDescent="0.25">
      <c r="A28" s="140">
        <v>19</v>
      </c>
      <c r="B28" s="180" t="s">
        <v>2294</v>
      </c>
      <c r="C28" s="133" t="s">
        <v>2295</v>
      </c>
      <c r="D28" s="99" t="s">
        <v>1002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D28" s="40" t="s">
        <v>1531</v>
      </c>
      <c r="AE28" s="40" t="s">
        <v>1532</v>
      </c>
      <c r="AF28" s="43">
        <v>86.58</v>
      </c>
      <c r="AG28" s="40" t="s">
        <v>1015</v>
      </c>
      <c r="AH28" s="40" t="s">
        <v>1002</v>
      </c>
      <c r="AJ28" t="str">
        <f>UPPER(C28)</f>
        <v>NAJWA APRILIA FADILAH</v>
      </c>
    </row>
    <row r="29" spans="1:36" ht="23.1" customHeight="1" x14ac:dyDescent="0.25">
      <c r="A29" s="140">
        <v>20</v>
      </c>
      <c r="B29" s="132" t="s">
        <v>2035</v>
      </c>
      <c r="C29" s="135" t="s">
        <v>1299</v>
      </c>
      <c r="D29" s="134" t="s">
        <v>1002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D29" s="42" t="s">
        <v>1496</v>
      </c>
      <c r="AE29" s="42" t="s">
        <v>1497</v>
      </c>
      <c r="AF29" s="39" t="s">
        <v>1498</v>
      </c>
      <c r="AG29" s="40" t="s">
        <v>1015</v>
      </c>
      <c r="AH29" s="40" t="s">
        <v>1002</v>
      </c>
      <c r="AJ29" t="str">
        <f>UPPER(C29)</f>
        <v>NAURAH AMBAR LAILA</v>
      </c>
    </row>
    <row r="30" spans="1:36" ht="23.1" customHeight="1" x14ac:dyDescent="0.25">
      <c r="A30" s="140">
        <v>21</v>
      </c>
      <c r="B30" s="132" t="s">
        <v>1874</v>
      </c>
      <c r="C30" s="135" t="s">
        <v>1150</v>
      </c>
      <c r="D30" s="134" t="s">
        <v>1002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D30" s="38" t="s">
        <v>1483</v>
      </c>
      <c r="AE30" s="38" t="s">
        <v>1484</v>
      </c>
      <c r="AF30" s="39" t="s">
        <v>1485</v>
      </c>
      <c r="AG30" s="40" t="s">
        <v>1015</v>
      </c>
      <c r="AH30" s="40" t="s">
        <v>1001</v>
      </c>
      <c r="AJ30" t="str">
        <f>UPPER(C30)</f>
        <v>NINDY SAFIRA MAHARANI</v>
      </c>
    </row>
    <row r="31" spans="1:36" ht="23.1" customHeight="1" x14ac:dyDescent="0.3">
      <c r="A31" s="140">
        <v>22</v>
      </c>
      <c r="B31" s="132" t="s">
        <v>1877</v>
      </c>
      <c r="C31" s="135" t="s">
        <v>1784</v>
      </c>
      <c r="D31" s="134" t="s">
        <v>1001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D31" s="41">
        <v>95784779</v>
      </c>
      <c r="AE31" s="41" t="s">
        <v>1819</v>
      </c>
      <c r="AF31" s="41" t="s">
        <v>1820</v>
      </c>
      <c r="AG31" s="44" t="s">
        <v>1015</v>
      </c>
      <c r="AH31" s="40" t="s">
        <v>1001</v>
      </c>
      <c r="AJ31" t="str">
        <f>UPPER(C31)</f>
        <v>RAFA SYAFRIYANDI</v>
      </c>
    </row>
    <row r="32" spans="1:36" ht="23.1" customHeight="1" x14ac:dyDescent="0.25">
      <c r="A32" s="140">
        <v>23</v>
      </c>
      <c r="B32" s="132" t="s">
        <v>1880</v>
      </c>
      <c r="C32" s="135" t="s">
        <v>1148</v>
      </c>
      <c r="D32" s="134" t="s">
        <v>1002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D32" s="40" t="s">
        <v>1521</v>
      </c>
      <c r="AE32" s="40" t="s">
        <v>1522</v>
      </c>
      <c r="AF32" s="43">
        <v>87.74</v>
      </c>
      <c r="AG32" s="40" t="s">
        <v>1015</v>
      </c>
      <c r="AH32" s="40" t="s">
        <v>1001</v>
      </c>
      <c r="AJ32" t="str">
        <f>UPPER('XI-B'!C44)</f>
        <v>WILBERT WANG</v>
      </c>
    </row>
    <row r="33" spans="1:36" ht="23.1" customHeight="1" x14ac:dyDescent="0.25">
      <c r="A33" s="140">
        <v>24</v>
      </c>
      <c r="B33" s="132" t="s">
        <v>2207</v>
      </c>
      <c r="C33" s="133" t="s">
        <v>1513</v>
      </c>
      <c r="D33" s="134" t="s">
        <v>1002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D33" s="40" t="s">
        <v>1517</v>
      </c>
      <c r="AE33" s="40" t="s">
        <v>1518</v>
      </c>
      <c r="AF33" s="43">
        <v>88.85</v>
      </c>
      <c r="AG33" s="40" t="s">
        <v>1015</v>
      </c>
      <c r="AH33" s="40" t="s">
        <v>1002</v>
      </c>
      <c r="AJ33" t="str">
        <f t="shared" ref="AJ33:AJ39" si="1">UPPER(C33)</f>
        <v>RENITA TRIHAPSARI</v>
      </c>
    </row>
    <row r="34" spans="1:36" ht="23.1" customHeight="1" x14ac:dyDescent="0.25">
      <c r="A34" s="140">
        <v>25</v>
      </c>
      <c r="B34" s="132" t="s">
        <v>2209</v>
      </c>
      <c r="C34" s="133" t="s">
        <v>1534</v>
      </c>
      <c r="D34" s="134" t="s">
        <v>1001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D34" s="42" t="s">
        <v>1512</v>
      </c>
      <c r="AE34" s="42" t="s">
        <v>1513</v>
      </c>
      <c r="AF34" s="39" t="s">
        <v>1114</v>
      </c>
      <c r="AG34" s="40" t="s">
        <v>1015</v>
      </c>
      <c r="AH34" s="40" t="s">
        <v>1002</v>
      </c>
      <c r="AJ34" t="str">
        <f t="shared" si="1"/>
        <v>REZKY RADHITYA RAMADHAN</v>
      </c>
    </row>
    <row r="35" spans="1:36" ht="23.1" customHeight="1" x14ac:dyDescent="0.25">
      <c r="A35" s="140">
        <v>26</v>
      </c>
      <c r="B35" s="132" t="s">
        <v>1996</v>
      </c>
      <c r="C35" s="135" t="s">
        <v>2287</v>
      </c>
      <c r="D35" s="134" t="s">
        <v>1002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D35" s="40" t="s">
        <v>1529</v>
      </c>
      <c r="AE35" s="40" t="s">
        <v>1530</v>
      </c>
      <c r="AF35" s="43">
        <v>86.74</v>
      </c>
      <c r="AG35" s="40" t="s">
        <v>1015</v>
      </c>
      <c r="AH35" s="40" t="s">
        <v>1001</v>
      </c>
      <c r="AJ35" t="str">
        <f t="shared" si="1"/>
        <v>RUMANIA SALSABILA</v>
      </c>
    </row>
    <row r="36" spans="1:36" ht="23.1" customHeight="1" x14ac:dyDescent="0.25">
      <c r="A36" s="140">
        <v>27</v>
      </c>
      <c r="B36" s="132" t="s">
        <v>1921</v>
      </c>
      <c r="C36" s="135" t="s">
        <v>1654</v>
      </c>
      <c r="D36" s="134" t="s">
        <v>1002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D36" s="40" t="s">
        <v>1533</v>
      </c>
      <c r="AE36" s="40" t="s">
        <v>1534</v>
      </c>
      <c r="AF36" s="43">
        <v>86.44</v>
      </c>
      <c r="AG36" s="40" t="s">
        <v>1015</v>
      </c>
      <c r="AH36" s="40" t="s">
        <v>1002</v>
      </c>
      <c r="AJ36" t="str">
        <f t="shared" si="1"/>
        <v>SAFITRI OKTAVIANI</v>
      </c>
    </row>
    <row r="37" spans="1:36" ht="23.1" customHeight="1" x14ac:dyDescent="0.25">
      <c r="A37" s="140">
        <v>28</v>
      </c>
      <c r="B37" s="132" t="s">
        <v>1923</v>
      </c>
      <c r="C37" s="135" t="s">
        <v>1192</v>
      </c>
      <c r="D37" s="134" t="s">
        <v>1001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D37" s="38">
        <v>3092351249</v>
      </c>
      <c r="AE37" s="38" t="s">
        <v>1494</v>
      </c>
      <c r="AF37" s="39" t="s">
        <v>1495</v>
      </c>
      <c r="AG37" s="40" t="s">
        <v>1015</v>
      </c>
      <c r="AH37" s="40" t="s">
        <v>1002</v>
      </c>
      <c r="AJ37" t="str">
        <f t="shared" si="1"/>
        <v>SURYA HADI WIJAYA</v>
      </c>
    </row>
    <row r="38" spans="1:36" ht="23.1" customHeight="1" x14ac:dyDescent="0.25">
      <c r="A38" s="140">
        <v>29</v>
      </c>
      <c r="B38" s="174" t="s">
        <v>2293</v>
      </c>
      <c r="C38" s="160" t="s">
        <v>2290</v>
      </c>
      <c r="D38" s="177" t="s">
        <v>1001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D38" s="42">
        <v>104393513</v>
      </c>
      <c r="AE38" s="42" t="s">
        <v>1763</v>
      </c>
      <c r="AF38" s="42" t="s">
        <v>1764</v>
      </c>
      <c r="AG38" s="40" t="s">
        <v>1015</v>
      </c>
      <c r="AH38" s="40" t="s">
        <v>1001</v>
      </c>
      <c r="AJ38" t="str">
        <f t="shared" si="1"/>
        <v>TABRIZ CHELEBY RAYRAZIN</v>
      </c>
    </row>
    <row r="39" spans="1:36" ht="23.1" customHeight="1" x14ac:dyDescent="0.25">
      <c r="A39" s="140">
        <v>30</v>
      </c>
      <c r="B39" s="132" t="s">
        <v>2076</v>
      </c>
      <c r="C39" s="132" t="s">
        <v>1367</v>
      </c>
      <c r="D39" s="134" t="s">
        <v>1002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D39" s="40" t="s">
        <v>1527</v>
      </c>
      <c r="AE39" s="40" t="s">
        <v>1528</v>
      </c>
      <c r="AF39" s="43">
        <v>86.95</v>
      </c>
      <c r="AG39" s="40" t="s">
        <v>1015</v>
      </c>
      <c r="AH39" s="40" t="s">
        <v>1002</v>
      </c>
      <c r="AJ39" t="str">
        <f t="shared" si="1"/>
        <v>WILDA FAGARINA</v>
      </c>
    </row>
    <row r="40" spans="1:36" ht="23.1" customHeight="1" x14ac:dyDescent="0.25">
      <c r="A40" s="140">
        <v>31</v>
      </c>
      <c r="B40" s="132" t="s">
        <v>2077</v>
      </c>
      <c r="C40" s="133" t="s">
        <v>2078</v>
      </c>
      <c r="D40" s="134" t="s">
        <v>1002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D40" s="40" t="s">
        <v>1523</v>
      </c>
      <c r="AE40" s="40" t="s">
        <v>1524</v>
      </c>
      <c r="AF40" s="43">
        <v>87.53</v>
      </c>
      <c r="AG40" s="40" t="s">
        <v>1015</v>
      </c>
      <c r="AH40" s="40" t="s">
        <v>1002</v>
      </c>
    </row>
    <row r="41" spans="1:36" ht="23.1" customHeight="1" x14ac:dyDescent="0.25">
      <c r="A41" s="140">
        <v>32</v>
      </c>
      <c r="B41" s="132" t="s">
        <v>1964</v>
      </c>
      <c r="C41" s="135" t="s">
        <v>1236</v>
      </c>
      <c r="D41" s="134" t="s">
        <v>1001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D41" s="46"/>
      <c r="AE41" s="46"/>
      <c r="AF41" s="103"/>
      <c r="AG41" s="46"/>
      <c r="AH41" s="46"/>
      <c r="AJ41" t="str">
        <f>UPPER(C41)</f>
        <v>YUSUF ALVIS ABABIL</v>
      </c>
    </row>
    <row r="42" spans="1:36" ht="23.1" customHeight="1" x14ac:dyDescent="0.25">
      <c r="A42" s="140">
        <v>33</v>
      </c>
      <c r="B42" s="132" t="s">
        <v>2004</v>
      </c>
      <c r="C42" s="135" t="s">
        <v>1212</v>
      </c>
      <c r="D42" s="134" t="s">
        <v>1002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D42" s="46"/>
      <c r="AE42" s="46"/>
      <c r="AF42" s="103"/>
      <c r="AG42" s="46"/>
      <c r="AH42" s="46"/>
      <c r="AJ42" t="str">
        <f>UPPER(C42)</f>
        <v>ZAHIERA YASMIN IMANI</v>
      </c>
    </row>
    <row r="43" spans="1:36" ht="23.1" customHeight="1" x14ac:dyDescent="0.25">
      <c r="A43" s="140">
        <v>34</v>
      </c>
      <c r="B43" s="171" t="s">
        <v>2213</v>
      </c>
      <c r="C43" s="133" t="s">
        <v>1769</v>
      </c>
      <c r="D43" s="134" t="s">
        <v>1001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D43" s="45">
        <v>93154478</v>
      </c>
      <c r="AE43" s="45" t="s">
        <v>1769</v>
      </c>
      <c r="AF43" s="45" t="s">
        <v>1770</v>
      </c>
      <c r="AG43" s="46" t="s">
        <v>1015</v>
      </c>
      <c r="AH43" s="46" t="s">
        <v>1001</v>
      </c>
    </row>
    <row r="44" spans="1:36" ht="23.1" customHeight="1" x14ac:dyDescent="0.25">
      <c r="A44" s="6"/>
      <c r="B44" s="97"/>
      <c r="C44" s="101"/>
      <c r="D44" s="99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D44" s="32"/>
      <c r="AE44" s="32"/>
      <c r="AF44" s="32"/>
      <c r="AG44" s="32"/>
      <c r="AH44" s="32"/>
    </row>
    <row r="45" spans="1:36" ht="23.1" customHeight="1" x14ac:dyDescent="0.25">
      <c r="A45" s="6"/>
      <c r="B45" s="27" t="s">
        <v>997</v>
      </c>
      <c r="C45" s="11" t="s">
        <v>999</v>
      </c>
      <c r="D45" s="6">
        <f>COUNTIFS($D$10:$D$44,"L")</f>
        <v>16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36" ht="23.1" customHeight="1" x14ac:dyDescent="0.25">
      <c r="A46" s="6"/>
      <c r="B46" s="27" t="s">
        <v>998</v>
      </c>
      <c r="C46" s="11" t="s">
        <v>1000</v>
      </c>
      <c r="D46" s="6">
        <f>COUNTIFS($D$10:$D$44,"P")</f>
        <v>18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36" ht="23.1" customHeight="1" x14ac:dyDescent="0.25">
      <c r="D47" s="5">
        <f>D45+D46</f>
        <v>34</v>
      </c>
    </row>
  </sheetData>
  <sortState xmlns:xlrd2="http://schemas.microsoft.com/office/spreadsheetml/2017/richdata2" ref="B10:D43">
    <sortCondition ref="C10:C43"/>
  </sortState>
  <mergeCells count="13">
    <mergeCell ref="A1:AB1"/>
    <mergeCell ref="A2:AB2"/>
    <mergeCell ref="A3:AB3"/>
    <mergeCell ref="A7:A9"/>
    <mergeCell ref="B7:B9"/>
    <mergeCell ref="C7:C9"/>
    <mergeCell ref="D7:D9"/>
    <mergeCell ref="E7:G7"/>
    <mergeCell ref="H7:R7"/>
    <mergeCell ref="S7:T7"/>
    <mergeCell ref="U7:AB7"/>
    <mergeCell ref="A4:AC4"/>
    <mergeCell ref="E8:AB8"/>
  </mergeCells>
  <pageMargins left="0.34" right="0.11811023622047245" top="0.55118110236220474" bottom="0.74803149606299213" header="0.31496062992125984" footer="0.31496062992125984"/>
  <pageSetup paperSize="9" scale="71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4"/>
  <sheetViews>
    <sheetView zoomScale="220" zoomScaleNormal="220" workbookViewId="0">
      <selection activeCell="D8" sqref="D8"/>
    </sheetView>
  </sheetViews>
  <sheetFormatPr defaultRowHeight="15" x14ac:dyDescent="0.25"/>
  <sheetData>
    <row r="2" spans="1:2" x14ac:dyDescent="0.25">
      <c r="A2" s="79" t="s">
        <v>1001</v>
      </c>
      <c r="B2" s="79">
        <f>'XI-A1 '!D46+'XI-A2'!D46+'XI-A3'!D46+'XI-A4'!D46+'XI-A5'!D46+'XI-B'!D46+'XI-C'!D46+'XI-D'!D46+'XI-E'!D46+'XI-F'!D45</f>
        <v>128</v>
      </c>
    </row>
    <row r="3" spans="1:2" x14ac:dyDescent="0.25">
      <c r="A3" s="79" t="s">
        <v>1002</v>
      </c>
      <c r="B3" s="79">
        <f>'XI-A1 '!D47+'XI-A2'!D47+'XI-A3'!D47+'XI-A4'!D47+'XI-A5'!D47+'XI-B'!D47+'XI-C'!D47+'XI-D'!D47+'XI-E'!D47+'XI-F'!D46</f>
        <v>230</v>
      </c>
    </row>
    <row r="4" spans="1:2" x14ac:dyDescent="0.25">
      <c r="B4" s="79">
        <f>SUM(B2:B3)</f>
        <v>358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56"/>
  <sheetViews>
    <sheetView workbookViewId="0">
      <selection sqref="A1:A356"/>
    </sheetView>
  </sheetViews>
  <sheetFormatPr defaultRowHeight="15" x14ac:dyDescent="0.25"/>
  <cols>
    <col min="1" max="1" width="39.28515625" bestFit="1" customWidth="1"/>
  </cols>
  <sheetData>
    <row r="1" spans="1:1" x14ac:dyDescent="0.25">
      <c r="A1" s="1" t="s">
        <v>46</v>
      </c>
    </row>
    <row r="2" spans="1:1" x14ac:dyDescent="0.25">
      <c r="A2" s="1" t="s">
        <v>54</v>
      </c>
    </row>
    <row r="3" spans="1:1" x14ac:dyDescent="0.25">
      <c r="A3" s="1" t="s">
        <v>80</v>
      </c>
    </row>
    <row r="4" spans="1:1" x14ac:dyDescent="0.25">
      <c r="A4" s="1" t="s">
        <v>104</v>
      </c>
    </row>
    <row r="5" spans="1:1" x14ac:dyDescent="0.25">
      <c r="A5" s="1" t="s">
        <v>147</v>
      </c>
    </row>
    <row r="6" spans="1:1" x14ac:dyDescent="0.25">
      <c r="A6" s="1" t="s">
        <v>167</v>
      </c>
    </row>
    <row r="7" spans="1:1" x14ac:dyDescent="0.25">
      <c r="A7" s="1" t="s">
        <v>1044</v>
      </c>
    </row>
    <row r="8" spans="1:1" x14ac:dyDescent="0.25">
      <c r="A8" s="1" t="s">
        <v>258</v>
      </c>
    </row>
    <row r="9" spans="1:1" x14ac:dyDescent="0.25">
      <c r="A9" s="1" t="s">
        <v>277</v>
      </c>
    </row>
    <row r="10" spans="1:1" x14ac:dyDescent="0.25">
      <c r="A10" s="1" t="s">
        <v>293</v>
      </c>
    </row>
    <row r="11" spans="1:1" x14ac:dyDescent="0.25">
      <c r="A11" s="1" t="s">
        <v>1048</v>
      </c>
    </row>
    <row r="12" spans="1:1" x14ac:dyDescent="0.25">
      <c r="A12" s="1" t="s">
        <v>342</v>
      </c>
    </row>
    <row r="13" spans="1:1" x14ac:dyDescent="0.25">
      <c r="A13" s="1" t="s">
        <v>393</v>
      </c>
    </row>
    <row r="14" spans="1:1" x14ac:dyDescent="0.25">
      <c r="A14" s="1" t="s">
        <v>404</v>
      </c>
    </row>
    <row r="15" spans="1:1" x14ac:dyDescent="0.25">
      <c r="A15" s="1" t="s">
        <v>1052</v>
      </c>
    </row>
    <row r="16" spans="1:1" x14ac:dyDescent="0.25">
      <c r="A16" s="1" t="s">
        <v>457</v>
      </c>
    </row>
    <row r="17" spans="1:1" x14ac:dyDescent="0.25">
      <c r="A17" s="1" t="s">
        <v>460</v>
      </c>
    </row>
    <row r="18" spans="1:1" x14ac:dyDescent="0.25">
      <c r="A18" s="1" t="s">
        <v>506</v>
      </c>
    </row>
    <row r="19" spans="1:1" x14ac:dyDescent="0.25">
      <c r="A19" s="1" t="s">
        <v>537</v>
      </c>
    </row>
    <row r="20" spans="1:1" x14ac:dyDescent="0.25">
      <c r="A20" s="1" t="s">
        <v>540</v>
      </c>
    </row>
    <row r="21" spans="1:1" x14ac:dyDescent="0.25">
      <c r="A21" s="1" t="s">
        <v>550</v>
      </c>
    </row>
    <row r="22" spans="1:1" x14ac:dyDescent="0.25">
      <c r="A22" s="1" t="s">
        <v>602</v>
      </c>
    </row>
    <row r="23" spans="1:1" x14ac:dyDescent="0.25">
      <c r="A23" s="1" t="s">
        <v>638</v>
      </c>
    </row>
    <row r="24" spans="1:1" x14ac:dyDescent="0.25">
      <c r="A24" s="1" t="s">
        <v>665</v>
      </c>
    </row>
    <row r="25" spans="1:1" x14ac:dyDescent="0.25">
      <c r="A25" s="1" t="s">
        <v>700</v>
      </c>
    </row>
    <row r="26" spans="1:1" x14ac:dyDescent="0.25">
      <c r="A26" s="1" t="s">
        <v>702</v>
      </c>
    </row>
    <row r="27" spans="1:1" x14ac:dyDescent="0.25">
      <c r="A27" s="1" t="s">
        <v>719</v>
      </c>
    </row>
    <row r="28" spans="1:1" x14ac:dyDescent="0.25">
      <c r="A28" s="1" t="s">
        <v>773</v>
      </c>
    </row>
    <row r="29" spans="1:1" x14ac:dyDescent="0.25">
      <c r="A29" s="1" t="s">
        <v>779</v>
      </c>
    </row>
    <row r="30" spans="1:1" x14ac:dyDescent="0.25">
      <c r="A30" s="1" t="s">
        <v>846</v>
      </c>
    </row>
    <row r="31" spans="1:1" x14ac:dyDescent="0.25">
      <c r="A31" s="1" t="s">
        <v>1065</v>
      </c>
    </row>
    <row r="32" spans="1:1" x14ac:dyDescent="0.25">
      <c r="A32" s="1" t="s">
        <v>905</v>
      </c>
    </row>
    <row r="33" spans="1:1" x14ac:dyDescent="0.25">
      <c r="A33" s="1" t="s">
        <v>930</v>
      </c>
    </row>
    <row r="34" spans="1:1" x14ac:dyDescent="0.25">
      <c r="A34" s="1" t="s">
        <v>936</v>
      </c>
    </row>
    <row r="35" spans="1:1" x14ac:dyDescent="0.25">
      <c r="A35" s="1" t="s">
        <v>968</v>
      </c>
    </row>
    <row r="36" spans="1:1" x14ac:dyDescent="0.25">
      <c r="A36" s="1" t="s">
        <v>983</v>
      </c>
    </row>
    <row r="37" spans="1:1" x14ac:dyDescent="0.25">
      <c r="A37" s="2" t="s">
        <v>36</v>
      </c>
    </row>
    <row r="38" spans="1:1" x14ac:dyDescent="0.25">
      <c r="A38" s="2" t="s">
        <v>74</v>
      </c>
    </row>
    <row r="39" spans="1:1" x14ac:dyDescent="0.25">
      <c r="A39" s="2" t="s">
        <v>94</v>
      </c>
    </row>
    <row r="40" spans="1:1" x14ac:dyDescent="0.25">
      <c r="A40" s="2" t="s">
        <v>109</v>
      </c>
    </row>
    <row r="41" spans="1:1" x14ac:dyDescent="0.25">
      <c r="A41" s="2" t="s">
        <v>178</v>
      </c>
    </row>
    <row r="42" spans="1:1" x14ac:dyDescent="0.25">
      <c r="A42" s="1" t="s">
        <v>184</v>
      </c>
    </row>
    <row r="43" spans="1:1" x14ac:dyDescent="0.25">
      <c r="A43" s="2" t="s">
        <v>210</v>
      </c>
    </row>
    <row r="44" spans="1:1" x14ac:dyDescent="0.25">
      <c r="A44" s="2" t="s">
        <v>218</v>
      </c>
    </row>
    <row r="45" spans="1:1" x14ac:dyDescent="0.25">
      <c r="A45" s="2" t="s">
        <v>225</v>
      </c>
    </row>
    <row r="46" spans="1:1" x14ac:dyDescent="0.25">
      <c r="A46" s="2" t="s">
        <v>1045</v>
      </c>
    </row>
    <row r="47" spans="1:1" x14ac:dyDescent="0.25">
      <c r="A47" s="2" t="s">
        <v>328</v>
      </c>
    </row>
    <row r="48" spans="1:1" x14ac:dyDescent="0.25">
      <c r="A48" s="2" t="s">
        <v>1051</v>
      </c>
    </row>
    <row r="49" spans="1:1" x14ac:dyDescent="0.25">
      <c r="A49" s="2" t="s">
        <v>387</v>
      </c>
    </row>
    <row r="50" spans="1:1" x14ac:dyDescent="0.25">
      <c r="A50" s="1" t="s">
        <v>402</v>
      </c>
    </row>
    <row r="51" spans="1:1" x14ac:dyDescent="0.25">
      <c r="A51" s="2" t="s">
        <v>431</v>
      </c>
    </row>
    <row r="52" spans="1:1" x14ac:dyDescent="0.25">
      <c r="A52" s="2" t="s">
        <v>1054</v>
      </c>
    </row>
    <row r="53" spans="1:1" x14ac:dyDescent="0.25">
      <c r="A53" s="2" t="s">
        <v>473</v>
      </c>
    </row>
    <row r="54" spans="1:1" x14ac:dyDescent="0.25">
      <c r="A54" s="1" t="s">
        <v>493</v>
      </c>
    </row>
    <row r="55" spans="1:1" x14ac:dyDescent="0.25">
      <c r="A55" s="2" t="s">
        <v>503</v>
      </c>
    </row>
    <row r="56" spans="1:1" x14ac:dyDescent="0.25">
      <c r="A56" s="2" t="s">
        <v>526</v>
      </c>
    </row>
    <row r="57" spans="1:1" x14ac:dyDescent="0.25">
      <c r="A57" s="2" t="s">
        <v>560</v>
      </c>
    </row>
    <row r="58" spans="1:1" x14ac:dyDescent="0.25">
      <c r="A58" s="2" t="s">
        <v>600</v>
      </c>
    </row>
    <row r="59" spans="1:1" x14ac:dyDescent="0.25">
      <c r="A59" s="2" t="s">
        <v>1057</v>
      </c>
    </row>
    <row r="60" spans="1:1" x14ac:dyDescent="0.25">
      <c r="A60" s="2" t="s">
        <v>643</v>
      </c>
    </row>
    <row r="61" spans="1:1" x14ac:dyDescent="0.25">
      <c r="A61" s="2" t="s">
        <v>686</v>
      </c>
    </row>
    <row r="62" spans="1:1" x14ac:dyDescent="0.25">
      <c r="A62" s="2" t="s">
        <v>694</v>
      </c>
    </row>
    <row r="63" spans="1:1" x14ac:dyDescent="0.25">
      <c r="A63" s="2" t="s">
        <v>697</v>
      </c>
    </row>
    <row r="64" spans="1:1" x14ac:dyDescent="0.25">
      <c r="A64" s="2" t="s">
        <v>825</v>
      </c>
    </row>
    <row r="65" spans="1:1" x14ac:dyDescent="0.25">
      <c r="A65" s="2" t="s">
        <v>896</v>
      </c>
    </row>
    <row r="66" spans="1:1" x14ac:dyDescent="0.25">
      <c r="A66" s="2" t="s">
        <v>918</v>
      </c>
    </row>
    <row r="67" spans="1:1" x14ac:dyDescent="0.25">
      <c r="A67" s="2" t="s">
        <v>933</v>
      </c>
    </row>
    <row r="68" spans="1:1" x14ac:dyDescent="0.25">
      <c r="A68" s="2" t="s">
        <v>938</v>
      </c>
    </row>
    <row r="69" spans="1:1" x14ac:dyDescent="0.25">
      <c r="A69" s="2" t="s">
        <v>1070</v>
      </c>
    </row>
    <row r="70" spans="1:1" x14ac:dyDescent="0.25">
      <c r="A70" s="2" t="s">
        <v>945</v>
      </c>
    </row>
    <row r="71" spans="1:1" x14ac:dyDescent="0.25">
      <c r="A71" s="2" t="s">
        <v>952</v>
      </c>
    </row>
    <row r="72" spans="1:1" x14ac:dyDescent="0.25">
      <c r="A72" s="2" t="s">
        <v>989</v>
      </c>
    </row>
    <row r="73" spans="1:1" x14ac:dyDescent="0.25">
      <c r="A73" s="1" t="s">
        <v>21</v>
      </c>
    </row>
    <row r="74" spans="1:1" x14ac:dyDescent="0.25">
      <c r="A74" s="1" t="s">
        <v>1033</v>
      </c>
    </row>
    <row r="75" spans="1:1" x14ac:dyDescent="0.25">
      <c r="A75" s="1" t="s">
        <v>152</v>
      </c>
    </row>
    <row r="76" spans="1:1" x14ac:dyDescent="0.25">
      <c r="A76" s="1" t="s">
        <v>174</v>
      </c>
    </row>
    <row r="77" spans="1:1" x14ac:dyDescent="0.25">
      <c r="A77" s="1" t="s">
        <v>1039</v>
      </c>
    </row>
    <row r="78" spans="1:1" x14ac:dyDescent="0.25">
      <c r="A78" s="1" t="s">
        <v>1042</v>
      </c>
    </row>
    <row r="79" spans="1:1" x14ac:dyDescent="0.25">
      <c r="A79" s="1" t="s">
        <v>243</v>
      </c>
    </row>
    <row r="80" spans="1:1" x14ac:dyDescent="0.25">
      <c r="A80" s="1" t="s">
        <v>308</v>
      </c>
    </row>
    <row r="81" spans="1:1" x14ac:dyDescent="0.25">
      <c r="A81" s="1" t="s">
        <v>314</v>
      </c>
    </row>
    <row r="82" spans="1:1" x14ac:dyDescent="0.25">
      <c r="A82" s="1" t="s">
        <v>1047</v>
      </c>
    </row>
    <row r="83" spans="1:1" x14ac:dyDescent="0.25">
      <c r="A83" s="1" t="s">
        <v>1050</v>
      </c>
    </row>
    <row r="84" spans="1:1" x14ac:dyDescent="0.25">
      <c r="A84" s="1" t="s">
        <v>396</v>
      </c>
    </row>
    <row r="85" spans="1:1" x14ac:dyDescent="0.25">
      <c r="A85" s="1" t="s">
        <v>443</v>
      </c>
    </row>
    <row r="86" spans="1:1" x14ac:dyDescent="0.25">
      <c r="A86" s="1" t="s">
        <v>446</v>
      </c>
    </row>
    <row r="87" spans="1:1" x14ac:dyDescent="0.25">
      <c r="A87" s="1" t="s">
        <v>500</v>
      </c>
    </row>
    <row r="88" spans="1:1" x14ac:dyDescent="0.25">
      <c r="A88" s="1" t="s">
        <v>517</v>
      </c>
    </row>
    <row r="89" spans="1:1" x14ac:dyDescent="0.25">
      <c r="A89" s="1" t="s">
        <v>520</v>
      </c>
    </row>
    <row r="90" spans="1:1" x14ac:dyDescent="0.25">
      <c r="A90" s="1" t="s">
        <v>592</v>
      </c>
    </row>
    <row r="91" spans="1:1" x14ac:dyDescent="0.25">
      <c r="A91" s="1" t="s">
        <v>597</v>
      </c>
    </row>
    <row r="92" spans="1:1" x14ac:dyDescent="0.25">
      <c r="A92" s="1" t="s">
        <v>619</v>
      </c>
    </row>
    <row r="93" spans="1:1" x14ac:dyDescent="0.25">
      <c r="A93" s="1" t="s">
        <v>691</v>
      </c>
    </row>
    <row r="94" spans="1:1" x14ac:dyDescent="0.25">
      <c r="A94" s="1" t="s">
        <v>711</v>
      </c>
    </row>
    <row r="95" spans="1:1" x14ac:dyDescent="0.25">
      <c r="A95" s="1" t="s">
        <v>756</v>
      </c>
    </row>
    <row r="96" spans="1:1" x14ac:dyDescent="0.25">
      <c r="A96" s="1" t="s">
        <v>761</v>
      </c>
    </row>
    <row r="97" spans="1:1" x14ac:dyDescent="0.25">
      <c r="A97" s="1" t="s">
        <v>764</v>
      </c>
    </row>
    <row r="98" spans="1:1" x14ac:dyDescent="0.25">
      <c r="A98" s="1" t="s">
        <v>783</v>
      </c>
    </row>
    <row r="99" spans="1:1" x14ac:dyDescent="0.25">
      <c r="A99" s="1" t="s">
        <v>805</v>
      </c>
    </row>
    <row r="100" spans="1:1" x14ac:dyDescent="0.25">
      <c r="A100" s="1" t="s">
        <v>838</v>
      </c>
    </row>
    <row r="101" spans="1:1" x14ac:dyDescent="0.25">
      <c r="A101" s="1" t="s">
        <v>852</v>
      </c>
    </row>
    <row r="102" spans="1:1" x14ac:dyDescent="0.25">
      <c r="A102" s="1" t="s">
        <v>867</v>
      </c>
    </row>
    <row r="103" spans="1:1" x14ac:dyDescent="0.25">
      <c r="A103" s="1" t="s">
        <v>879</v>
      </c>
    </row>
    <row r="104" spans="1:1" x14ac:dyDescent="0.25">
      <c r="A104" s="1" t="s">
        <v>1067</v>
      </c>
    </row>
    <row r="105" spans="1:1" x14ac:dyDescent="0.25">
      <c r="A105" s="1" t="s">
        <v>923</v>
      </c>
    </row>
    <row r="106" spans="1:1" x14ac:dyDescent="0.25">
      <c r="A106" s="1" t="s">
        <v>1069</v>
      </c>
    </row>
    <row r="107" spans="1:1" x14ac:dyDescent="0.25">
      <c r="A107" s="1" t="s">
        <v>941</v>
      </c>
    </row>
    <row r="108" spans="1:1" x14ac:dyDescent="0.25">
      <c r="A108" s="1" t="s">
        <v>981</v>
      </c>
    </row>
    <row r="109" spans="1:1" x14ac:dyDescent="0.25">
      <c r="A109" s="1" t="s">
        <v>43</v>
      </c>
    </row>
    <row r="110" spans="1:1" x14ac:dyDescent="0.25">
      <c r="A110" s="1" t="s">
        <v>49</v>
      </c>
    </row>
    <row r="111" spans="1:1" x14ac:dyDescent="0.25">
      <c r="A111" s="1" t="s">
        <v>56</v>
      </c>
    </row>
    <row r="112" spans="1:1" x14ac:dyDescent="0.25">
      <c r="A112" s="1" t="s">
        <v>66</v>
      </c>
    </row>
    <row r="113" spans="1:1" x14ac:dyDescent="0.25">
      <c r="A113" s="1" t="s">
        <v>134</v>
      </c>
    </row>
    <row r="114" spans="1:1" x14ac:dyDescent="0.25">
      <c r="A114" s="1" t="s">
        <v>137</v>
      </c>
    </row>
    <row r="115" spans="1:1" x14ac:dyDescent="0.25">
      <c r="A115" s="1" t="s">
        <v>181</v>
      </c>
    </row>
    <row r="116" spans="1:1" x14ac:dyDescent="0.25">
      <c r="A116" s="1" t="s">
        <v>193</v>
      </c>
    </row>
    <row r="117" spans="1:1" x14ac:dyDescent="0.25">
      <c r="A117" s="1" t="s">
        <v>206</v>
      </c>
    </row>
    <row r="118" spans="1:1" x14ac:dyDescent="0.25">
      <c r="A118" s="1" t="s">
        <v>1041</v>
      </c>
    </row>
    <row r="119" spans="1:1" x14ac:dyDescent="0.25">
      <c r="A119" s="1" t="s">
        <v>262</v>
      </c>
    </row>
    <row r="120" spans="1:1" x14ac:dyDescent="0.25">
      <c r="A120" s="1" t="s">
        <v>264</v>
      </c>
    </row>
    <row r="121" spans="1:1" x14ac:dyDescent="0.25">
      <c r="A121" s="1" t="s">
        <v>311</v>
      </c>
    </row>
    <row r="122" spans="1:1" x14ac:dyDescent="0.25">
      <c r="A122" s="1" t="s">
        <v>339</v>
      </c>
    </row>
    <row r="123" spans="1:1" x14ac:dyDescent="0.25">
      <c r="A123" s="1" t="s">
        <v>355</v>
      </c>
    </row>
    <row r="124" spans="1:1" x14ac:dyDescent="0.25">
      <c r="A124" s="1" t="s">
        <v>358</v>
      </c>
    </row>
    <row r="125" spans="1:1" x14ac:dyDescent="0.25">
      <c r="A125" s="1" t="s">
        <v>373</v>
      </c>
    </row>
    <row r="126" spans="1:1" x14ac:dyDescent="0.25">
      <c r="A126" s="1" t="s">
        <v>417</v>
      </c>
    </row>
    <row r="127" spans="1:1" x14ac:dyDescent="0.25">
      <c r="A127" s="1" t="s">
        <v>425</v>
      </c>
    </row>
    <row r="128" spans="1:1" x14ac:dyDescent="0.25">
      <c r="A128" s="1" t="s">
        <v>467</v>
      </c>
    </row>
    <row r="129" spans="1:1" x14ac:dyDescent="0.25">
      <c r="A129" s="1" t="s">
        <v>531</v>
      </c>
    </row>
    <row r="130" spans="1:1" x14ac:dyDescent="0.25">
      <c r="A130" s="1" t="s">
        <v>589</v>
      </c>
    </row>
    <row r="131" spans="1:1" x14ac:dyDescent="0.25">
      <c r="A131" s="1" t="s">
        <v>616</v>
      </c>
    </row>
    <row r="132" spans="1:1" x14ac:dyDescent="0.25">
      <c r="A132" s="1" t="s">
        <v>688</v>
      </c>
    </row>
    <row r="133" spans="1:1" x14ac:dyDescent="0.25">
      <c r="A133" s="1" t="s">
        <v>705</v>
      </c>
    </row>
    <row r="134" spans="1:1" x14ac:dyDescent="0.25">
      <c r="A134" s="1" t="s">
        <v>1059</v>
      </c>
    </row>
    <row r="135" spans="1:1" x14ac:dyDescent="0.25">
      <c r="A135" s="1" t="s">
        <v>770</v>
      </c>
    </row>
    <row r="136" spans="1:1" x14ac:dyDescent="0.25">
      <c r="A136" s="1" t="s">
        <v>781</v>
      </c>
    </row>
    <row r="137" spans="1:1" x14ac:dyDescent="0.25">
      <c r="A137" s="1" t="s">
        <v>808</v>
      </c>
    </row>
    <row r="138" spans="1:1" x14ac:dyDescent="0.25">
      <c r="A138" s="1" t="s">
        <v>859</v>
      </c>
    </row>
    <row r="139" spans="1:1" x14ac:dyDescent="0.25">
      <c r="A139" s="1" t="s">
        <v>862</v>
      </c>
    </row>
    <row r="140" spans="1:1" x14ac:dyDescent="0.25">
      <c r="A140" s="1" t="s">
        <v>1064</v>
      </c>
    </row>
    <row r="141" spans="1:1" x14ac:dyDescent="0.25">
      <c r="A141" s="1" t="s">
        <v>882</v>
      </c>
    </row>
    <row r="142" spans="1:1" x14ac:dyDescent="0.25">
      <c r="A142" s="1" t="s">
        <v>887</v>
      </c>
    </row>
    <row r="143" spans="1:1" x14ac:dyDescent="0.25">
      <c r="A143" s="1" t="s">
        <v>893</v>
      </c>
    </row>
    <row r="144" spans="1:1" x14ac:dyDescent="0.25">
      <c r="A144" s="1" t="s">
        <v>950</v>
      </c>
    </row>
    <row r="145" spans="1:1" x14ac:dyDescent="0.25">
      <c r="A145" s="1" t="s">
        <v>32</v>
      </c>
    </row>
    <row r="146" spans="1:1" x14ac:dyDescent="0.25">
      <c r="A146" s="1" t="s">
        <v>40</v>
      </c>
    </row>
    <row r="147" spans="1:1" x14ac:dyDescent="0.25">
      <c r="A147" s="1" t="s">
        <v>83</v>
      </c>
    </row>
    <row r="148" spans="1:1" x14ac:dyDescent="0.25">
      <c r="A148" s="1" t="s">
        <v>101</v>
      </c>
    </row>
    <row r="149" spans="1:1" x14ac:dyDescent="0.25">
      <c r="A149" s="1" t="s">
        <v>1035</v>
      </c>
    </row>
    <row r="150" spans="1:1" x14ac:dyDescent="0.25">
      <c r="A150" s="1" t="s">
        <v>115</v>
      </c>
    </row>
    <row r="151" spans="1:1" x14ac:dyDescent="0.25">
      <c r="A151" s="1" t="s">
        <v>122</v>
      </c>
    </row>
    <row r="152" spans="1:1" x14ac:dyDescent="0.25">
      <c r="A152" s="1" t="s">
        <v>144</v>
      </c>
    </row>
    <row r="153" spans="1:1" x14ac:dyDescent="0.25">
      <c r="A153" s="1" t="s">
        <v>149</v>
      </c>
    </row>
    <row r="154" spans="1:1" x14ac:dyDescent="0.25">
      <c r="A154" s="1" t="s">
        <v>170</v>
      </c>
    </row>
    <row r="155" spans="1:1" x14ac:dyDescent="0.25">
      <c r="A155" s="1" t="s">
        <v>187</v>
      </c>
    </row>
    <row r="156" spans="1:1" x14ac:dyDescent="0.25">
      <c r="A156" s="1" t="s">
        <v>201</v>
      </c>
    </row>
    <row r="157" spans="1:1" x14ac:dyDescent="0.25">
      <c r="A157" s="1" t="s">
        <v>247</v>
      </c>
    </row>
    <row r="158" spans="1:1" x14ac:dyDescent="0.25">
      <c r="A158" s="1" t="s">
        <v>272</v>
      </c>
    </row>
    <row r="159" spans="1:1" x14ac:dyDescent="0.25">
      <c r="A159" s="1" t="s">
        <v>332</v>
      </c>
    </row>
    <row r="160" spans="1:1" x14ac:dyDescent="0.25">
      <c r="A160" s="1" t="s">
        <v>1049</v>
      </c>
    </row>
    <row r="161" spans="1:1" x14ac:dyDescent="0.25">
      <c r="A161" s="1" t="s">
        <v>370</v>
      </c>
    </row>
    <row r="162" spans="1:1" x14ac:dyDescent="0.25">
      <c r="A162" s="1" t="s">
        <v>452</v>
      </c>
    </row>
    <row r="163" spans="1:1" x14ac:dyDescent="0.25">
      <c r="A163" s="1" t="s">
        <v>1053</v>
      </c>
    </row>
    <row r="164" spans="1:1" x14ac:dyDescent="0.25">
      <c r="A164" s="1" t="s">
        <v>484</v>
      </c>
    </row>
    <row r="165" spans="1:1" x14ac:dyDescent="0.25">
      <c r="A165" s="1" t="s">
        <v>565</v>
      </c>
    </row>
    <row r="166" spans="1:1" x14ac:dyDescent="0.25">
      <c r="A166" s="1" t="s">
        <v>574</v>
      </c>
    </row>
    <row r="167" spans="1:1" x14ac:dyDescent="0.25">
      <c r="A167" s="1" t="s">
        <v>580</v>
      </c>
    </row>
    <row r="168" spans="1:1" x14ac:dyDescent="0.25">
      <c r="A168" s="1" t="s">
        <v>586</v>
      </c>
    </row>
    <row r="169" spans="1:1" x14ac:dyDescent="0.25">
      <c r="A169" s="1" t="s">
        <v>595</v>
      </c>
    </row>
    <row r="170" spans="1:1" x14ac:dyDescent="0.25">
      <c r="A170" s="1" t="s">
        <v>605</v>
      </c>
    </row>
    <row r="171" spans="1:1" x14ac:dyDescent="0.25">
      <c r="A171" s="1" t="s">
        <v>668</v>
      </c>
    </row>
    <row r="172" spans="1:1" x14ac:dyDescent="0.25">
      <c r="A172" s="1" t="s">
        <v>708</v>
      </c>
    </row>
    <row r="173" spans="1:1" x14ac:dyDescent="0.25">
      <c r="A173" s="1" t="s">
        <v>753</v>
      </c>
    </row>
    <row r="174" spans="1:1" x14ac:dyDescent="0.25">
      <c r="A174" s="1" t="s">
        <v>776</v>
      </c>
    </row>
    <row r="175" spans="1:1" x14ac:dyDescent="0.25">
      <c r="A175" s="1" t="s">
        <v>793</v>
      </c>
    </row>
    <row r="176" spans="1:1" x14ac:dyDescent="0.25">
      <c r="A176" s="1" t="s">
        <v>799</v>
      </c>
    </row>
    <row r="177" spans="1:1" x14ac:dyDescent="0.25">
      <c r="A177" s="1" t="s">
        <v>816</v>
      </c>
    </row>
    <row r="178" spans="1:1" x14ac:dyDescent="0.25">
      <c r="A178" s="1" t="s">
        <v>885</v>
      </c>
    </row>
    <row r="179" spans="1:1" x14ac:dyDescent="0.25">
      <c r="A179" s="1" t="s">
        <v>899</v>
      </c>
    </row>
    <row r="180" spans="1:1" x14ac:dyDescent="0.25">
      <c r="A180" s="1" t="s">
        <v>902</v>
      </c>
    </row>
    <row r="181" spans="1:1" x14ac:dyDescent="0.25">
      <c r="A181" s="1" t="s">
        <v>59</v>
      </c>
    </row>
    <row r="182" spans="1:1" x14ac:dyDescent="0.25">
      <c r="A182" s="1" t="s">
        <v>140</v>
      </c>
    </row>
    <row r="183" spans="1:1" x14ac:dyDescent="0.25">
      <c r="A183" s="1" t="s">
        <v>1036</v>
      </c>
    </row>
    <row r="184" spans="1:1" x14ac:dyDescent="0.25">
      <c r="A184" s="1" t="s">
        <v>1037</v>
      </c>
    </row>
    <row r="185" spans="1:1" x14ac:dyDescent="0.25">
      <c r="A185" s="1" t="s">
        <v>160</v>
      </c>
    </row>
    <row r="186" spans="1:1" x14ac:dyDescent="0.25">
      <c r="A186" s="1" t="s">
        <v>1038</v>
      </c>
    </row>
    <row r="187" spans="1:1" x14ac:dyDescent="0.25">
      <c r="A187" s="1" t="s">
        <v>234</v>
      </c>
    </row>
    <row r="188" spans="1:1" x14ac:dyDescent="0.25">
      <c r="A188" s="1" t="s">
        <v>275</v>
      </c>
    </row>
    <row r="189" spans="1:1" x14ac:dyDescent="0.25">
      <c r="A189" s="1" t="s">
        <v>282</v>
      </c>
    </row>
    <row r="190" spans="1:1" x14ac:dyDescent="0.25">
      <c r="A190" s="1" t="s">
        <v>285</v>
      </c>
    </row>
    <row r="191" spans="1:1" x14ac:dyDescent="0.25">
      <c r="A191" s="1" t="s">
        <v>302</v>
      </c>
    </row>
    <row r="192" spans="1:1" x14ac:dyDescent="0.25">
      <c r="A192" s="1" t="s">
        <v>353</v>
      </c>
    </row>
    <row r="193" spans="1:1" x14ac:dyDescent="0.25">
      <c r="A193" s="1" t="s">
        <v>414</v>
      </c>
    </row>
    <row r="194" spans="1:1" x14ac:dyDescent="0.25">
      <c r="A194" s="1" t="s">
        <v>419</v>
      </c>
    </row>
    <row r="195" spans="1:1" x14ac:dyDescent="0.25">
      <c r="A195" s="1" t="s">
        <v>438</v>
      </c>
    </row>
    <row r="196" spans="1:1" x14ac:dyDescent="0.25">
      <c r="A196" s="1" t="s">
        <v>1055</v>
      </c>
    </row>
    <row r="197" spans="1:1" x14ac:dyDescent="0.25">
      <c r="A197" s="1" t="s">
        <v>562</v>
      </c>
    </row>
    <row r="198" spans="1:1" x14ac:dyDescent="0.25">
      <c r="A198" s="1" t="s">
        <v>1058</v>
      </c>
    </row>
    <row r="199" spans="1:1" x14ac:dyDescent="0.25">
      <c r="A199" s="1" t="s">
        <v>635</v>
      </c>
    </row>
    <row r="200" spans="1:1" x14ac:dyDescent="0.25">
      <c r="A200" s="1" t="s">
        <v>648</v>
      </c>
    </row>
    <row r="201" spans="1:1" x14ac:dyDescent="0.25">
      <c r="A201" s="1" t="s">
        <v>651</v>
      </c>
    </row>
    <row r="202" spans="1:1" x14ac:dyDescent="0.25">
      <c r="A202" s="1" t="s">
        <v>659</v>
      </c>
    </row>
    <row r="203" spans="1:1" x14ac:dyDescent="0.25">
      <c r="A203" s="1" t="s">
        <v>671</v>
      </c>
    </row>
    <row r="204" spans="1:1" x14ac:dyDescent="0.25">
      <c r="A204" s="1" t="s">
        <v>714</v>
      </c>
    </row>
    <row r="205" spans="1:1" x14ac:dyDescent="0.25">
      <c r="A205" s="1" t="s">
        <v>732</v>
      </c>
    </row>
    <row r="206" spans="1:1" x14ac:dyDescent="0.25">
      <c r="A206" s="1" t="s">
        <v>738</v>
      </c>
    </row>
    <row r="207" spans="1:1" x14ac:dyDescent="0.25">
      <c r="A207" s="1" t="s">
        <v>790</v>
      </c>
    </row>
    <row r="208" spans="1:1" x14ac:dyDescent="0.25">
      <c r="A208" s="1" t="s">
        <v>811</v>
      </c>
    </row>
    <row r="209" spans="1:1" x14ac:dyDescent="0.25">
      <c r="A209" s="1" t="s">
        <v>829</v>
      </c>
    </row>
    <row r="210" spans="1:1" x14ac:dyDescent="0.25">
      <c r="A210" s="21" t="s">
        <v>870</v>
      </c>
    </row>
    <row r="211" spans="1:1" x14ac:dyDescent="0.25">
      <c r="A211" s="1" t="s">
        <v>876</v>
      </c>
    </row>
    <row r="212" spans="1:1" x14ac:dyDescent="0.25">
      <c r="A212" s="1" t="s">
        <v>1066</v>
      </c>
    </row>
    <row r="213" spans="1:1" x14ac:dyDescent="0.25">
      <c r="A213" s="1" t="s">
        <v>910</v>
      </c>
    </row>
    <row r="214" spans="1:1" x14ac:dyDescent="0.25">
      <c r="A214" s="1" t="s">
        <v>927</v>
      </c>
    </row>
    <row r="215" spans="1:1" x14ac:dyDescent="0.25">
      <c r="A215" s="1" t="s">
        <v>955</v>
      </c>
    </row>
    <row r="216" spans="1:1" x14ac:dyDescent="0.25">
      <c r="A216" s="1" t="s">
        <v>965</v>
      </c>
    </row>
    <row r="217" spans="1:1" x14ac:dyDescent="0.25">
      <c r="A217" s="1" t="s">
        <v>18</v>
      </c>
    </row>
    <row r="218" spans="1:1" x14ac:dyDescent="0.25">
      <c r="A218" s="1" t="s">
        <v>27</v>
      </c>
    </row>
    <row r="219" spans="1:1" x14ac:dyDescent="0.25">
      <c r="A219" s="1" t="s">
        <v>51</v>
      </c>
    </row>
    <row r="220" spans="1:1" x14ac:dyDescent="0.25">
      <c r="A220" s="1" t="s">
        <v>69</v>
      </c>
    </row>
    <row r="221" spans="1:1" x14ac:dyDescent="0.25">
      <c r="A221" s="1" t="s">
        <v>77</v>
      </c>
    </row>
    <row r="222" spans="1:1" x14ac:dyDescent="0.25">
      <c r="A222" s="1" t="s">
        <v>125</v>
      </c>
    </row>
    <row r="223" spans="1:1" x14ac:dyDescent="0.25">
      <c r="A223" s="1" t="s">
        <v>132</v>
      </c>
    </row>
    <row r="224" spans="1:1" x14ac:dyDescent="0.25">
      <c r="A224" s="1" t="s">
        <v>198</v>
      </c>
    </row>
    <row r="225" spans="1:1" x14ac:dyDescent="0.25">
      <c r="A225" s="1" t="s">
        <v>237</v>
      </c>
    </row>
    <row r="226" spans="1:1" x14ac:dyDescent="0.25">
      <c r="A226" s="1" t="s">
        <v>250</v>
      </c>
    </row>
    <row r="227" spans="1:1" x14ac:dyDescent="0.25">
      <c r="A227" s="1" t="s">
        <v>252</v>
      </c>
    </row>
    <row r="228" spans="1:1" x14ac:dyDescent="0.25">
      <c r="A228" s="1" t="s">
        <v>269</v>
      </c>
    </row>
    <row r="229" spans="1:1" x14ac:dyDescent="0.25">
      <c r="A229" s="1" t="s">
        <v>279</v>
      </c>
    </row>
    <row r="230" spans="1:1" x14ac:dyDescent="0.25">
      <c r="A230" s="1" t="s">
        <v>288</v>
      </c>
    </row>
    <row r="231" spans="1:1" x14ac:dyDescent="0.25">
      <c r="A231" s="1" t="s">
        <v>299</v>
      </c>
    </row>
    <row r="232" spans="1:1" x14ac:dyDescent="0.25">
      <c r="A232" s="1" t="s">
        <v>316</v>
      </c>
    </row>
    <row r="233" spans="1:1" x14ac:dyDescent="0.25">
      <c r="A233" s="1" t="s">
        <v>322</v>
      </c>
    </row>
    <row r="234" spans="1:1" x14ac:dyDescent="0.25">
      <c r="A234" s="1" t="s">
        <v>407</v>
      </c>
    </row>
    <row r="235" spans="1:1" x14ac:dyDescent="0.25">
      <c r="A235" s="1" t="s">
        <v>476</v>
      </c>
    </row>
    <row r="236" spans="1:1" x14ac:dyDescent="0.25">
      <c r="A236" s="1" t="s">
        <v>479</v>
      </c>
    </row>
    <row r="237" spans="1:1" x14ac:dyDescent="0.25">
      <c r="A237" s="1" t="s">
        <v>568</v>
      </c>
    </row>
    <row r="238" spans="1:1" x14ac:dyDescent="0.25">
      <c r="A238" s="1" t="s">
        <v>578</v>
      </c>
    </row>
    <row r="239" spans="1:1" x14ac:dyDescent="0.25">
      <c r="A239" s="1" t="s">
        <v>630</v>
      </c>
    </row>
    <row r="240" spans="1:1" x14ac:dyDescent="0.25">
      <c r="A240" s="1" t="s">
        <v>640</v>
      </c>
    </row>
    <row r="241" spans="1:1" x14ac:dyDescent="0.25">
      <c r="A241" s="1" t="s">
        <v>656</v>
      </c>
    </row>
    <row r="242" spans="1:1" x14ac:dyDescent="0.25">
      <c r="A242" s="1" t="s">
        <v>723</v>
      </c>
    </row>
    <row r="243" spans="1:1" x14ac:dyDescent="0.25">
      <c r="A243" s="1" t="s">
        <v>741</v>
      </c>
    </row>
    <row r="244" spans="1:1" x14ac:dyDescent="0.25">
      <c r="A244" s="1" t="s">
        <v>748</v>
      </c>
    </row>
    <row r="245" spans="1:1" x14ac:dyDescent="0.25">
      <c r="A245" s="1" t="s">
        <v>802</v>
      </c>
    </row>
    <row r="246" spans="1:1" x14ac:dyDescent="0.25">
      <c r="A246" s="2" t="s">
        <v>827</v>
      </c>
    </row>
    <row r="247" spans="1:1" x14ac:dyDescent="0.25">
      <c r="A247" s="1" t="s">
        <v>835</v>
      </c>
    </row>
    <row r="248" spans="1:1" x14ac:dyDescent="0.25">
      <c r="A248" s="1" t="s">
        <v>1063</v>
      </c>
    </row>
    <row r="249" spans="1:1" x14ac:dyDescent="0.25">
      <c r="A249" s="1" t="s">
        <v>915</v>
      </c>
    </row>
    <row r="250" spans="1:1" x14ac:dyDescent="0.25">
      <c r="A250" s="1" t="s">
        <v>971</v>
      </c>
    </row>
    <row r="251" spans="1:1" x14ac:dyDescent="0.25">
      <c r="A251" s="1" t="s">
        <v>8</v>
      </c>
    </row>
    <row r="252" spans="1:1" x14ac:dyDescent="0.25">
      <c r="A252" s="1" t="s">
        <v>62</v>
      </c>
    </row>
    <row r="253" spans="1:1" x14ac:dyDescent="0.25">
      <c r="A253" s="1" t="s">
        <v>1034</v>
      </c>
    </row>
    <row r="254" spans="1:1" x14ac:dyDescent="0.25">
      <c r="A254" s="1" t="s">
        <v>85</v>
      </c>
    </row>
    <row r="255" spans="1:1" x14ac:dyDescent="0.25">
      <c r="A255" s="1" t="s">
        <v>88</v>
      </c>
    </row>
    <row r="256" spans="1:1" x14ac:dyDescent="0.25">
      <c r="A256" s="1" t="s">
        <v>91</v>
      </c>
    </row>
    <row r="257" spans="1:1" x14ac:dyDescent="0.25">
      <c r="A257" s="1" t="s">
        <v>97</v>
      </c>
    </row>
    <row r="258" spans="1:1" x14ac:dyDescent="0.25">
      <c r="A258" s="1" t="s">
        <v>164</v>
      </c>
    </row>
    <row r="259" spans="1:1" x14ac:dyDescent="0.25">
      <c r="A259" s="1" t="s">
        <v>203</v>
      </c>
    </row>
    <row r="260" spans="1:1" x14ac:dyDescent="0.25">
      <c r="A260" s="1" t="s">
        <v>1040</v>
      </c>
    </row>
    <row r="261" spans="1:1" x14ac:dyDescent="0.25">
      <c r="A261" s="1" t="s">
        <v>229</v>
      </c>
    </row>
    <row r="262" spans="1:1" x14ac:dyDescent="0.25">
      <c r="A262" s="1" t="s">
        <v>1046</v>
      </c>
    </row>
    <row r="263" spans="1:1" x14ac:dyDescent="0.25">
      <c r="A263" s="1" t="s">
        <v>296</v>
      </c>
    </row>
    <row r="264" spans="1:1" x14ac:dyDescent="0.25">
      <c r="A264" s="1" t="s">
        <v>305</v>
      </c>
    </row>
    <row r="265" spans="1:1" x14ac:dyDescent="0.25">
      <c r="A265" s="1" t="s">
        <v>334</v>
      </c>
    </row>
    <row r="266" spans="1:1" x14ac:dyDescent="0.25">
      <c r="A266" s="1" t="s">
        <v>344</v>
      </c>
    </row>
    <row r="267" spans="1:1" x14ac:dyDescent="0.25">
      <c r="A267" s="1" t="s">
        <v>380</v>
      </c>
    </row>
    <row r="268" spans="1:1" x14ac:dyDescent="0.25">
      <c r="A268" s="1" t="s">
        <v>399</v>
      </c>
    </row>
    <row r="269" spans="1:1" x14ac:dyDescent="0.25">
      <c r="A269" s="1" t="s">
        <v>411</v>
      </c>
    </row>
    <row r="270" spans="1:1" x14ac:dyDescent="0.25">
      <c r="A270" s="1" t="s">
        <v>422</v>
      </c>
    </row>
    <row r="271" spans="1:1" x14ac:dyDescent="0.25">
      <c r="A271" s="1" t="s">
        <v>462</v>
      </c>
    </row>
    <row r="272" spans="1:1" x14ac:dyDescent="0.25">
      <c r="A272" s="1" t="s">
        <v>1056</v>
      </c>
    </row>
    <row r="273" spans="1:1" x14ac:dyDescent="0.25">
      <c r="A273" s="1" t="s">
        <v>554</v>
      </c>
    </row>
    <row r="274" spans="1:1" x14ac:dyDescent="0.25">
      <c r="A274" s="2" t="s">
        <v>622</v>
      </c>
    </row>
    <row r="275" spans="1:1" x14ac:dyDescent="0.25">
      <c r="A275" s="1" t="s">
        <v>654</v>
      </c>
    </row>
    <row r="276" spans="1:1" x14ac:dyDescent="0.25">
      <c r="A276" s="1" t="s">
        <v>663</v>
      </c>
    </row>
    <row r="277" spans="1:1" x14ac:dyDescent="0.25">
      <c r="A277" s="1" t="s">
        <v>674</v>
      </c>
    </row>
    <row r="278" spans="1:1" x14ac:dyDescent="0.25">
      <c r="A278" s="1" t="s">
        <v>729</v>
      </c>
    </row>
    <row r="279" spans="1:1" x14ac:dyDescent="0.25">
      <c r="A279" s="1" t="s">
        <v>744</v>
      </c>
    </row>
    <row r="280" spans="1:1" x14ac:dyDescent="0.25">
      <c r="A280" s="1" t="s">
        <v>1062</v>
      </c>
    </row>
    <row r="281" spans="1:1" x14ac:dyDescent="0.25">
      <c r="A281" s="1" t="s">
        <v>819</v>
      </c>
    </row>
    <row r="282" spans="1:1" x14ac:dyDescent="0.25">
      <c r="A282" s="1" t="s">
        <v>856</v>
      </c>
    </row>
    <row r="283" spans="1:1" x14ac:dyDescent="0.25">
      <c r="A283" s="1" t="s">
        <v>890</v>
      </c>
    </row>
    <row r="284" spans="1:1" x14ac:dyDescent="0.25">
      <c r="A284" s="20" t="s">
        <v>986</v>
      </c>
    </row>
    <row r="285" spans="1:1" x14ac:dyDescent="0.25">
      <c r="A285" s="2" t="s">
        <v>13</v>
      </c>
    </row>
    <row r="286" spans="1:1" x14ac:dyDescent="0.25">
      <c r="A286" s="2" t="s">
        <v>190</v>
      </c>
    </row>
    <row r="287" spans="1:1" x14ac:dyDescent="0.25">
      <c r="A287" s="2" t="s">
        <v>212</v>
      </c>
    </row>
    <row r="288" spans="1:1" x14ac:dyDescent="0.25">
      <c r="A288" s="2" t="s">
        <v>222</v>
      </c>
    </row>
    <row r="289" spans="1:1" x14ac:dyDescent="0.25">
      <c r="A289" s="2" t="s">
        <v>240</v>
      </c>
    </row>
    <row r="290" spans="1:1" x14ac:dyDescent="0.25">
      <c r="A290" s="2" t="s">
        <v>1043</v>
      </c>
    </row>
    <row r="291" spans="1:1" x14ac:dyDescent="0.25">
      <c r="A291" s="2" t="s">
        <v>267</v>
      </c>
    </row>
    <row r="292" spans="1:1" x14ac:dyDescent="0.25">
      <c r="A292" s="2" t="s">
        <v>347</v>
      </c>
    </row>
    <row r="293" spans="1:1" x14ac:dyDescent="0.25">
      <c r="A293" s="2" t="s">
        <v>361</v>
      </c>
    </row>
    <row r="294" spans="1:1" x14ac:dyDescent="0.25">
      <c r="A294" s="2" t="s">
        <v>377</v>
      </c>
    </row>
    <row r="295" spans="1:1" x14ac:dyDescent="0.25">
      <c r="A295" s="2" t="s">
        <v>383</v>
      </c>
    </row>
    <row r="296" spans="1:1" x14ac:dyDescent="0.25">
      <c r="A296" s="2" t="s">
        <v>390</v>
      </c>
    </row>
    <row r="297" spans="1:1" x14ac:dyDescent="0.25">
      <c r="A297" s="2" t="s">
        <v>428</v>
      </c>
    </row>
    <row r="298" spans="1:1" x14ac:dyDescent="0.25">
      <c r="A298" s="2" t="s">
        <v>454</v>
      </c>
    </row>
    <row r="299" spans="1:1" x14ac:dyDescent="0.25">
      <c r="A299" s="2" t="s">
        <v>481</v>
      </c>
    </row>
    <row r="300" spans="1:1" x14ac:dyDescent="0.25">
      <c r="A300" s="2" t="s">
        <v>487</v>
      </c>
    </row>
    <row r="301" spans="1:1" x14ac:dyDescent="0.25">
      <c r="A301" s="2" t="s">
        <v>490</v>
      </c>
    </row>
    <row r="302" spans="1:1" x14ac:dyDescent="0.25">
      <c r="A302" s="2" t="s">
        <v>509</v>
      </c>
    </row>
    <row r="303" spans="1:1" x14ac:dyDescent="0.25">
      <c r="A303" s="1" t="s">
        <v>523</v>
      </c>
    </row>
    <row r="304" spans="1:1" x14ac:dyDescent="0.25">
      <c r="A304" s="2" t="s">
        <v>534</v>
      </c>
    </row>
    <row r="305" spans="1:1" x14ac:dyDescent="0.25">
      <c r="A305" s="2" t="s">
        <v>543</v>
      </c>
    </row>
    <row r="306" spans="1:1" x14ac:dyDescent="0.25">
      <c r="A306" s="2" t="s">
        <v>546</v>
      </c>
    </row>
    <row r="307" spans="1:1" x14ac:dyDescent="0.25">
      <c r="A307" s="2" t="s">
        <v>611</v>
      </c>
    </row>
    <row r="308" spans="1:1" x14ac:dyDescent="0.25">
      <c r="A308" s="2" t="s">
        <v>627</v>
      </c>
    </row>
    <row r="309" spans="1:1" x14ac:dyDescent="0.25">
      <c r="A309" s="2" t="s">
        <v>632</v>
      </c>
    </row>
    <row r="310" spans="1:1" x14ac:dyDescent="0.25">
      <c r="A310" s="2" t="s">
        <v>682</v>
      </c>
    </row>
    <row r="311" spans="1:1" x14ac:dyDescent="0.25">
      <c r="A311" s="2" t="s">
        <v>735</v>
      </c>
    </row>
    <row r="312" spans="1:1" x14ac:dyDescent="0.25">
      <c r="A312" s="2" t="s">
        <v>1061</v>
      </c>
    </row>
    <row r="313" spans="1:1" x14ac:dyDescent="0.25">
      <c r="A313" s="2" t="s">
        <v>767</v>
      </c>
    </row>
    <row r="314" spans="1:1" x14ac:dyDescent="0.25">
      <c r="A314" s="2" t="s">
        <v>814</v>
      </c>
    </row>
    <row r="315" spans="1:1" x14ac:dyDescent="0.25">
      <c r="A315" s="2" t="s">
        <v>822</v>
      </c>
    </row>
    <row r="316" spans="1:1" x14ac:dyDescent="0.25">
      <c r="A316" s="2" t="s">
        <v>849</v>
      </c>
    </row>
    <row r="317" spans="1:1" x14ac:dyDescent="0.25">
      <c r="A317" s="2" t="s">
        <v>873</v>
      </c>
    </row>
    <row r="318" spans="1:1" x14ac:dyDescent="0.25">
      <c r="A318" s="2" t="s">
        <v>960</v>
      </c>
    </row>
    <row r="319" spans="1:1" x14ac:dyDescent="0.25">
      <c r="A319" s="2" t="s">
        <v>973</v>
      </c>
    </row>
    <row r="320" spans="1:1" x14ac:dyDescent="0.25">
      <c r="A320" s="2" t="s">
        <v>976</v>
      </c>
    </row>
    <row r="321" spans="1:1" x14ac:dyDescent="0.25">
      <c r="A321" s="2" t="s">
        <v>1</v>
      </c>
    </row>
    <row r="322" spans="1:1" x14ac:dyDescent="0.25">
      <c r="A322" s="2" t="s">
        <v>112</v>
      </c>
    </row>
    <row r="323" spans="1:1" x14ac:dyDescent="0.25">
      <c r="A323" s="2" t="s">
        <v>118</v>
      </c>
    </row>
    <row r="324" spans="1:1" x14ac:dyDescent="0.25">
      <c r="A324" s="2" t="s">
        <v>128</v>
      </c>
    </row>
    <row r="325" spans="1:1" x14ac:dyDescent="0.25">
      <c r="A325" s="2" t="s">
        <v>157</v>
      </c>
    </row>
    <row r="326" spans="1:1" x14ac:dyDescent="0.25">
      <c r="A326" s="2" t="s">
        <v>232</v>
      </c>
    </row>
    <row r="327" spans="1:1" x14ac:dyDescent="0.25">
      <c r="A327" s="2" t="s">
        <v>319</v>
      </c>
    </row>
    <row r="328" spans="1:1" x14ac:dyDescent="0.25">
      <c r="A328" s="2" t="s">
        <v>325</v>
      </c>
    </row>
    <row r="329" spans="1:1" x14ac:dyDescent="0.25">
      <c r="A329" s="2" t="s">
        <v>350</v>
      </c>
    </row>
    <row r="330" spans="1:1" x14ac:dyDescent="0.25">
      <c r="A330" s="2" t="s">
        <v>367</v>
      </c>
    </row>
    <row r="331" spans="1:1" x14ac:dyDescent="0.25">
      <c r="A331" s="2" t="s">
        <v>434</v>
      </c>
    </row>
    <row r="332" spans="1:1" x14ac:dyDescent="0.25">
      <c r="A332" s="2" t="s">
        <v>441</v>
      </c>
    </row>
    <row r="333" spans="1:1" x14ac:dyDescent="0.25">
      <c r="A333" s="2" t="s">
        <v>449</v>
      </c>
    </row>
    <row r="334" spans="1:1" x14ac:dyDescent="0.25">
      <c r="A334" s="2" t="s">
        <v>497</v>
      </c>
    </row>
    <row r="335" spans="1:1" x14ac:dyDescent="0.25">
      <c r="A335" s="2" t="s">
        <v>512</v>
      </c>
    </row>
    <row r="336" spans="1:1" x14ac:dyDescent="0.25">
      <c r="A336" s="2" t="s">
        <v>557</v>
      </c>
    </row>
    <row r="337" spans="1:1" x14ac:dyDescent="0.25">
      <c r="A337" s="2" t="s">
        <v>571</v>
      </c>
    </row>
    <row r="338" spans="1:1" x14ac:dyDescent="0.25">
      <c r="A338" s="2" t="s">
        <v>583</v>
      </c>
    </row>
    <row r="339" spans="1:1" x14ac:dyDescent="0.25">
      <c r="A339" s="2" t="s">
        <v>608</v>
      </c>
    </row>
    <row r="340" spans="1:1" x14ac:dyDescent="0.25">
      <c r="A340" s="2" t="s">
        <v>645</v>
      </c>
    </row>
    <row r="341" spans="1:1" x14ac:dyDescent="0.25">
      <c r="A341" s="2" t="s">
        <v>676</v>
      </c>
    </row>
    <row r="342" spans="1:1" x14ac:dyDescent="0.25">
      <c r="A342" s="2" t="s">
        <v>679</v>
      </c>
    </row>
    <row r="343" spans="1:1" x14ac:dyDescent="0.25">
      <c r="A343" s="2" t="s">
        <v>717</v>
      </c>
    </row>
    <row r="344" spans="1:1" x14ac:dyDescent="0.25">
      <c r="A344" s="2" t="s">
        <v>726</v>
      </c>
    </row>
    <row r="345" spans="1:1" x14ac:dyDescent="0.25">
      <c r="A345" s="2" t="s">
        <v>1060</v>
      </c>
    </row>
    <row r="346" spans="1:1" x14ac:dyDescent="0.25">
      <c r="A346" s="2" t="s">
        <v>785</v>
      </c>
    </row>
    <row r="347" spans="1:1" x14ac:dyDescent="0.25">
      <c r="A347" s="2" t="s">
        <v>787</v>
      </c>
    </row>
    <row r="348" spans="1:1" x14ac:dyDescent="0.25">
      <c r="A348" s="2" t="s">
        <v>796</v>
      </c>
    </row>
    <row r="349" spans="1:1" x14ac:dyDescent="0.25">
      <c r="A349" s="2" t="s">
        <v>832</v>
      </c>
    </row>
    <row r="350" spans="1:1" x14ac:dyDescent="0.25">
      <c r="A350" s="2" t="s">
        <v>841</v>
      </c>
    </row>
    <row r="351" spans="1:1" x14ac:dyDescent="0.25">
      <c r="A351" s="2" t="s">
        <v>854</v>
      </c>
    </row>
    <row r="352" spans="1:1" x14ac:dyDescent="0.25">
      <c r="A352" s="2" t="s">
        <v>1068</v>
      </c>
    </row>
    <row r="353" spans="1:1" x14ac:dyDescent="0.25">
      <c r="A353" s="2" t="s">
        <v>948</v>
      </c>
    </row>
    <row r="354" spans="1:1" x14ac:dyDescent="0.25">
      <c r="A354" s="2" t="s">
        <v>958</v>
      </c>
    </row>
    <row r="355" spans="1:1" x14ac:dyDescent="0.25">
      <c r="A355" s="2" t="s">
        <v>963</v>
      </c>
    </row>
    <row r="356" spans="1:1" x14ac:dyDescent="0.25">
      <c r="A356" s="1" t="s">
        <v>979</v>
      </c>
    </row>
  </sheetData>
  <conditionalFormatting sqref="A1:A36">
    <cfRule type="colorScale" priority="45">
      <colorScale>
        <cfvo type="min"/>
        <cfvo type="max"/>
        <color rgb="FFFCFCFF"/>
        <color rgb="FF63BE7B"/>
      </colorScale>
    </cfRule>
    <cfRule type="duplicateValues" dxfId="49" priority="46"/>
  </conditionalFormatting>
  <conditionalFormatting sqref="A38">
    <cfRule type="colorScale" priority="43">
      <colorScale>
        <cfvo type="min"/>
        <cfvo type="max"/>
        <color rgb="FFFCFCFF"/>
        <color rgb="FF63BE7B"/>
      </colorScale>
    </cfRule>
    <cfRule type="duplicateValues" dxfId="48" priority="44"/>
  </conditionalFormatting>
  <conditionalFormatting sqref="A64">
    <cfRule type="colorScale" priority="41">
      <colorScale>
        <cfvo type="min"/>
        <cfvo type="max"/>
        <color rgb="FFFCFCFF"/>
        <color rgb="FF63BE7B"/>
      </colorScale>
    </cfRule>
    <cfRule type="duplicateValues" dxfId="47" priority="42"/>
  </conditionalFormatting>
  <conditionalFormatting sqref="A73:A86 A88:A108">
    <cfRule type="colorScale" priority="39">
      <colorScale>
        <cfvo type="min"/>
        <cfvo type="max"/>
        <color rgb="FFFCFCFF"/>
        <color rgb="FF63BE7B"/>
      </colorScale>
    </cfRule>
    <cfRule type="duplicateValues" dxfId="46" priority="40"/>
  </conditionalFormatting>
  <conditionalFormatting sqref="A87">
    <cfRule type="colorScale" priority="37">
      <colorScale>
        <cfvo type="min"/>
        <cfvo type="max"/>
        <color rgb="FFFCFCFF"/>
        <color rgb="FF63BE7B"/>
      </colorScale>
    </cfRule>
    <cfRule type="duplicateValues" dxfId="45" priority="38"/>
  </conditionalFormatting>
  <conditionalFormatting sqref="A109:A127 A129:A141">
    <cfRule type="colorScale" priority="35">
      <colorScale>
        <cfvo type="min"/>
        <cfvo type="max"/>
        <color rgb="FFFCFCFF"/>
        <color rgb="FF63BE7B"/>
      </colorScale>
    </cfRule>
    <cfRule type="duplicateValues" dxfId="44" priority="36"/>
  </conditionalFormatting>
  <conditionalFormatting sqref="A128">
    <cfRule type="colorScale" priority="31">
      <colorScale>
        <cfvo type="min"/>
        <cfvo type="max"/>
        <color rgb="FFFCFCFF"/>
        <color rgb="FF63BE7B"/>
      </colorScale>
    </cfRule>
    <cfRule type="duplicateValues" dxfId="43" priority="32"/>
  </conditionalFormatting>
  <conditionalFormatting sqref="A142:A144">
    <cfRule type="colorScale" priority="33">
      <colorScale>
        <cfvo type="min"/>
        <cfvo type="max"/>
        <color rgb="FFFCFCFF"/>
        <color rgb="FF63BE7B"/>
      </colorScale>
    </cfRule>
    <cfRule type="duplicateValues" dxfId="42" priority="34"/>
  </conditionalFormatting>
  <conditionalFormatting sqref="A145:A179">
    <cfRule type="colorScale" priority="29">
      <colorScale>
        <cfvo type="min"/>
        <cfvo type="max"/>
        <color rgb="FFFCFCFF"/>
        <color rgb="FF63BE7B"/>
      </colorScale>
    </cfRule>
    <cfRule type="duplicateValues" dxfId="41" priority="30"/>
  </conditionalFormatting>
  <conditionalFormatting sqref="A180">
    <cfRule type="colorScale" priority="27">
      <colorScale>
        <cfvo type="min"/>
        <cfvo type="max"/>
        <color rgb="FFFCFCFF"/>
        <color rgb="FF63BE7B"/>
      </colorScale>
    </cfRule>
    <cfRule type="duplicateValues" dxfId="40" priority="28"/>
  </conditionalFormatting>
  <conditionalFormatting sqref="A181:A186 A188:A215">
    <cfRule type="colorScale" priority="25">
      <colorScale>
        <cfvo type="min"/>
        <cfvo type="max"/>
        <color rgb="FFFCFCFF"/>
        <color rgb="FF63BE7B"/>
      </colorScale>
    </cfRule>
    <cfRule type="duplicateValues" dxfId="39" priority="26"/>
  </conditionalFormatting>
  <conditionalFormatting sqref="A187">
    <cfRule type="colorScale" priority="21">
      <colorScale>
        <cfvo type="min"/>
        <cfvo type="max"/>
        <color rgb="FFFCFCFF"/>
        <color rgb="FF63BE7B"/>
      </colorScale>
    </cfRule>
    <cfRule type="duplicateValues" dxfId="38" priority="22"/>
  </conditionalFormatting>
  <conditionalFormatting sqref="A216">
    <cfRule type="colorScale" priority="23">
      <colorScale>
        <cfvo type="min"/>
        <cfvo type="max"/>
        <color rgb="FFFCFCFF"/>
        <color rgb="FF63BE7B"/>
      </colorScale>
    </cfRule>
    <cfRule type="duplicateValues" dxfId="37" priority="24"/>
  </conditionalFormatting>
  <conditionalFormatting sqref="A217:A223 A246:A249 A225:A244">
    <cfRule type="colorScale" priority="19">
      <colorScale>
        <cfvo type="min"/>
        <cfvo type="max"/>
        <color rgb="FFFCFCFF"/>
        <color rgb="FF63BE7B"/>
      </colorScale>
    </cfRule>
    <cfRule type="duplicateValues" dxfId="36" priority="20"/>
  </conditionalFormatting>
  <conditionalFormatting sqref="A224">
    <cfRule type="colorScale" priority="15">
      <colorScale>
        <cfvo type="min"/>
        <cfvo type="max"/>
        <color rgb="FFFCFCFF"/>
        <color rgb="FF63BE7B"/>
      </colorScale>
    </cfRule>
    <cfRule type="duplicateValues" dxfId="35" priority="16"/>
  </conditionalFormatting>
  <conditionalFormatting sqref="A250">
    <cfRule type="colorScale" priority="17">
      <colorScale>
        <cfvo type="min"/>
        <cfvo type="max"/>
        <color rgb="FFFCFCFF"/>
        <color rgb="FF63BE7B"/>
      </colorScale>
    </cfRule>
    <cfRule type="duplicateValues" dxfId="34" priority="18"/>
  </conditionalFormatting>
  <conditionalFormatting sqref="A251:A273 A275:A276">
    <cfRule type="colorScale" priority="13">
      <colorScale>
        <cfvo type="min"/>
        <cfvo type="max"/>
        <color rgb="FFFCFCFF"/>
        <color rgb="FF63BE7B"/>
      </colorScale>
    </cfRule>
    <cfRule type="duplicateValues" dxfId="33" priority="14"/>
  </conditionalFormatting>
  <conditionalFormatting sqref="A277:A281">
    <cfRule type="colorScale" priority="9">
      <colorScale>
        <cfvo type="min"/>
        <cfvo type="max"/>
        <color rgb="FFFCFCFF"/>
        <color rgb="FF63BE7B"/>
      </colorScale>
    </cfRule>
    <cfRule type="duplicateValues" dxfId="32" priority="10"/>
  </conditionalFormatting>
  <conditionalFormatting sqref="A281:A282">
    <cfRule type="colorScale" priority="5">
      <colorScale>
        <cfvo type="min"/>
        <cfvo type="max"/>
        <color rgb="FFFCFCFF"/>
        <color rgb="FF63BE7B"/>
      </colorScale>
    </cfRule>
    <cfRule type="duplicateValues" dxfId="31" priority="6"/>
  </conditionalFormatting>
  <conditionalFormatting sqref="A282">
    <cfRule type="colorScale" priority="7">
      <colorScale>
        <cfvo type="min"/>
        <cfvo type="max"/>
        <color rgb="FFFCFCFF"/>
        <color rgb="FF63BE7B"/>
      </colorScale>
    </cfRule>
    <cfRule type="duplicateValues" dxfId="30" priority="8"/>
  </conditionalFormatting>
  <conditionalFormatting sqref="A283:A284">
    <cfRule type="colorScale" priority="11">
      <colorScale>
        <cfvo type="min"/>
        <cfvo type="max"/>
        <color rgb="FFFCFCFF"/>
        <color rgb="FF63BE7B"/>
      </colorScale>
    </cfRule>
    <cfRule type="duplicateValues" dxfId="29" priority="12"/>
  </conditionalFormatting>
  <conditionalFormatting sqref="A318">
    <cfRule type="colorScale" priority="3">
      <colorScale>
        <cfvo type="min"/>
        <cfvo type="max"/>
        <color rgb="FFFCFCFF"/>
        <color rgb="FF63BE7B"/>
      </colorScale>
    </cfRule>
    <cfRule type="duplicateValues" dxfId="28" priority="4"/>
  </conditionalFormatting>
  <conditionalFormatting sqref="A356">
    <cfRule type="colorScale" priority="1">
      <colorScale>
        <cfvo type="min"/>
        <cfvo type="max"/>
        <color rgb="FFFCFCFF"/>
        <color rgb="FF63BE7B"/>
      </colorScale>
    </cfRule>
    <cfRule type="duplicateValues" dxfId="27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84"/>
  <sheetViews>
    <sheetView topLeftCell="A201" zoomScale="63" zoomScaleNormal="91" workbookViewId="0">
      <selection activeCell="F234" sqref="F234"/>
    </sheetView>
  </sheetViews>
  <sheetFormatPr defaultRowHeight="15" x14ac:dyDescent="0.25"/>
  <cols>
    <col min="1" max="1" width="12" style="12" customWidth="1"/>
    <col min="2" max="2" width="45" style="12" customWidth="1"/>
    <col min="3" max="3" width="5.5703125" style="12" customWidth="1"/>
    <col min="4" max="4" width="4" style="12" customWidth="1"/>
    <col min="5" max="5" width="5.5703125" style="24" customWidth="1"/>
    <col min="6" max="6" width="40.85546875" style="12" bestFit="1" customWidth="1"/>
    <col min="7" max="7" width="44" style="12" customWidth="1"/>
    <col min="8" max="8" width="16.42578125" style="12" customWidth="1"/>
    <col min="9" max="9" width="24.5703125" style="12" bestFit="1" customWidth="1"/>
    <col min="10" max="10" width="6.5703125" style="12" customWidth="1"/>
    <col min="11" max="11" width="24.28515625" style="12" customWidth="1"/>
    <col min="12" max="19" width="9.140625" style="12"/>
    <col min="20" max="20" width="25.7109375" style="12" bestFit="1" customWidth="1"/>
    <col min="21" max="16384" width="9.140625" style="12"/>
  </cols>
  <sheetData>
    <row r="1" spans="1:9" x14ac:dyDescent="0.25">
      <c r="A1" s="1" t="s">
        <v>35</v>
      </c>
      <c r="B1" s="1" t="s">
        <v>36</v>
      </c>
      <c r="C1" s="23" t="s">
        <v>1002</v>
      </c>
      <c r="D1" s="1">
        <v>84</v>
      </c>
      <c r="E1" s="23" t="s">
        <v>2</v>
      </c>
      <c r="F1" s="1" t="s">
        <v>37</v>
      </c>
      <c r="G1" s="3" t="s">
        <v>38</v>
      </c>
      <c r="H1" s="1"/>
      <c r="I1" s="3" t="s">
        <v>11</v>
      </c>
    </row>
    <row r="2" spans="1:9" x14ac:dyDescent="0.25">
      <c r="A2" s="1" t="s">
        <v>45</v>
      </c>
      <c r="B2" s="1" t="s">
        <v>46</v>
      </c>
      <c r="C2" s="23" t="s">
        <v>1001</v>
      </c>
      <c r="D2" s="1">
        <v>74</v>
      </c>
      <c r="E2" s="23" t="s">
        <v>2</v>
      </c>
      <c r="F2" s="1" t="s">
        <v>37</v>
      </c>
      <c r="G2" s="3" t="s">
        <v>10</v>
      </c>
      <c r="H2" s="1" t="s">
        <v>47</v>
      </c>
      <c r="I2" s="1" t="s">
        <v>6</v>
      </c>
    </row>
    <row r="3" spans="1:9" x14ac:dyDescent="0.25">
      <c r="A3" s="1" t="s">
        <v>53</v>
      </c>
      <c r="B3" s="1" t="s">
        <v>54</v>
      </c>
      <c r="C3" s="23" t="s">
        <v>1002</v>
      </c>
      <c r="D3" s="1">
        <v>84</v>
      </c>
      <c r="E3" s="23" t="s">
        <v>2</v>
      </c>
      <c r="F3" s="1" t="s">
        <v>37</v>
      </c>
      <c r="G3" s="3" t="s">
        <v>10</v>
      </c>
      <c r="H3" s="1"/>
      <c r="I3" s="3" t="s">
        <v>11</v>
      </c>
    </row>
    <row r="4" spans="1:9" x14ac:dyDescent="0.25">
      <c r="A4" s="1" t="s">
        <v>65</v>
      </c>
      <c r="B4" s="1" t="s">
        <v>66</v>
      </c>
      <c r="C4" s="23" t="s">
        <v>1002</v>
      </c>
      <c r="D4" s="1">
        <v>50</v>
      </c>
      <c r="E4" s="23" t="s">
        <v>2</v>
      </c>
      <c r="F4" s="1" t="s">
        <v>37</v>
      </c>
      <c r="G4" s="3" t="s">
        <v>28</v>
      </c>
      <c r="H4" s="1" t="s">
        <v>67</v>
      </c>
      <c r="I4" s="1" t="s">
        <v>30</v>
      </c>
    </row>
    <row r="5" spans="1:9" x14ac:dyDescent="0.25">
      <c r="A5" s="1" t="s">
        <v>73</v>
      </c>
      <c r="B5" s="1" t="s">
        <v>74</v>
      </c>
      <c r="C5" s="23" t="s">
        <v>1001</v>
      </c>
      <c r="D5" s="1">
        <v>62</v>
      </c>
      <c r="E5" s="23" t="s">
        <v>2</v>
      </c>
      <c r="F5" s="1" t="s">
        <v>37</v>
      </c>
      <c r="G5" s="3" t="s">
        <v>10</v>
      </c>
      <c r="H5" s="1" t="s">
        <v>75</v>
      </c>
      <c r="I5" s="1" t="s">
        <v>30</v>
      </c>
    </row>
    <row r="6" spans="1:9" x14ac:dyDescent="0.25">
      <c r="A6" s="1" t="s">
        <v>79</v>
      </c>
      <c r="B6" s="1" t="s">
        <v>80</v>
      </c>
      <c r="C6" s="23" t="s">
        <v>1001</v>
      </c>
      <c r="D6" s="1">
        <v>50</v>
      </c>
      <c r="E6" s="23" t="s">
        <v>2</v>
      </c>
      <c r="F6" s="1" t="s">
        <v>37</v>
      </c>
      <c r="G6" s="3" t="s">
        <v>10</v>
      </c>
      <c r="H6" s="1" t="s">
        <v>81</v>
      </c>
      <c r="I6" s="1" t="s">
        <v>6</v>
      </c>
    </row>
    <row r="7" spans="1:9" x14ac:dyDescent="0.25">
      <c r="A7" s="1" t="s">
        <v>93</v>
      </c>
      <c r="B7" s="1" t="s">
        <v>94</v>
      </c>
      <c r="C7" s="23" t="s">
        <v>1002</v>
      </c>
      <c r="D7" s="1">
        <v>72</v>
      </c>
      <c r="E7" s="23" t="s">
        <v>2</v>
      </c>
      <c r="F7" s="1" t="s">
        <v>37</v>
      </c>
      <c r="G7" s="3" t="s">
        <v>10</v>
      </c>
      <c r="H7" s="1" t="s">
        <v>95</v>
      </c>
      <c r="I7" s="1" t="s">
        <v>6</v>
      </c>
    </row>
    <row r="8" spans="1:9" x14ac:dyDescent="0.25">
      <c r="A8" s="1" t="s">
        <v>103</v>
      </c>
      <c r="B8" s="1" t="s">
        <v>104</v>
      </c>
      <c r="C8" s="23" t="s">
        <v>1002</v>
      </c>
      <c r="D8" s="1">
        <v>56</v>
      </c>
      <c r="E8" s="23" t="s">
        <v>2</v>
      </c>
      <c r="F8" s="1" t="s">
        <v>37</v>
      </c>
      <c r="G8" s="3" t="s">
        <v>98</v>
      </c>
      <c r="H8" s="1" t="s">
        <v>105</v>
      </c>
      <c r="I8" s="1" t="s">
        <v>30</v>
      </c>
    </row>
    <row r="9" spans="1:9" x14ac:dyDescent="0.25">
      <c r="A9" s="1" t="s">
        <v>108</v>
      </c>
      <c r="B9" s="1" t="s">
        <v>109</v>
      </c>
      <c r="C9" s="23" t="s">
        <v>1002</v>
      </c>
      <c r="D9" s="1">
        <v>56</v>
      </c>
      <c r="E9" s="23" t="s">
        <v>2</v>
      </c>
      <c r="F9" s="1" t="s">
        <v>37</v>
      </c>
      <c r="G9" s="3" t="s">
        <v>98</v>
      </c>
      <c r="H9" s="1" t="s">
        <v>110</v>
      </c>
      <c r="I9" s="1" t="s">
        <v>30</v>
      </c>
    </row>
    <row r="10" spans="1:9" x14ac:dyDescent="0.25">
      <c r="A10" s="1" t="s">
        <v>146</v>
      </c>
      <c r="B10" s="1" t="s">
        <v>147</v>
      </c>
      <c r="C10" s="23" t="s">
        <v>1002</v>
      </c>
      <c r="D10" s="1">
        <v>94</v>
      </c>
      <c r="E10" s="23" t="s">
        <v>2</v>
      </c>
      <c r="F10" s="1" t="s">
        <v>37</v>
      </c>
      <c r="G10" s="3" t="s">
        <v>4</v>
      </c>
      <c r="H10" s="1"/>
      <c r="I10" s="3" t="s">
        <v>11</v>
      </c>
    </row>
    <row r="11" spans="1:9" x14ac:dyDescent="0.25">
      <c r="A11" s="1" t="s">
        <v>166</v>
      </c>
      <c r="B11" s="1" t="s">
        <v>167</v>
      </c>
      <c r="C11" s="23" t="s">
        <v>1002</v>
      </c>
      <c r="D11" s="1">
        <v>54</v>
      </c>
      <c r="E11" s="23" t="s">
        <v>2</v>
      </c>
      <c r="F11" s="1" t="s">
        <v>37</v>
      </c>
      <c r="G11" s="3" t="s">
        <v>10</v>
      </c>
      <c r="H11" s="1" t="s">
        <v>168</v>
      </c>
      <c r="I11" s="1" t="s">
        <v>6</v>
      </c>
    </row>
    <row r="12" spans="1:9" x14ac:dyDescent="0.25">
      <c r="A12" s="1" t="s">
        <v>176</v>
      </c>
      <c r="B12" s="1" t="s">
        <v>1038</v>
      </c>
      <c r="C12" s="23" t="s">
        <v>1002</v>
      </c>
      <c r="D12" s="1">
        <v>42</v>
      </c>
      <c r="E12" s="23" t="s">
        <v>2</v>
      </c>
      <c r="F12" s="1" t="s">
        <v>37</v>
      </c>
      <c r="G12" s="3" t="s">
        <v>129</v>
      </c>
      <c r="H12" s="1"/>
      <c r="I12" s="3" t="s">
        <v>89</v>
      </c>
    </row>
    <row r="13" spans="1:9" x14ac:dyDescent="0.25">
      <c r="A13" s="1" t="s">
        <v>177</v>
      </c>
      <c r="B13" s="1" t="s">
        <v>178</v>
      </c>
      <c r="C13" s="23" t="s">
        <v>1002</v>
      </c>
      <c r="D13" s="1">
        <v>54</v>
      </c>
      <c r="E13" s="23" t="s">
        <v>2</v>
      </c>
      <c r="F13" s="1" t="s">
        <v>37</v>
      </c>
      <c r="G13" s="3" t="s">
        <v>10</v>
      </c>
      <c r="H13" s="1" t="s">
        <v>179</v>
      </c>
      <c r="I13" s="1" t="s">
        <v>6</v>
      </c>
    </row>
    <row r="14" spans="1:9" x14ac:dyDescent="0.25">
      <c r="A14" s="1" t="s">
        <v>186</v>
      </c>
      <c r="B14" s="1" t="s">
        <v>187</v>
      </c>
      <c r="C14" s="23" t="s">
        <v>1002</v>
      </c>
      <c r="D14" s="1">
        <v>38</v>
      </c>
      <c r="E14" s="23" t="s">
        <v>2</v>
      </c>
      <c r="F14" s="1" t="s">
        <v>37</v>
      </c>
      <c r="G14" s="3" t="s">
        <v>28</v>
      </c>
      <c r="H14" s="1" t="s">
        <v>188</v>
      </c>
      <c r="I14" s="1" t="s">
        <v>6</v>
      </c>
    </row>
    <row r="15" spans="1:9" x14ac:dyDescent="0.25">
      <c r="A15" s="1" t="s">
        <v>197</v>
      </c>
      <c r="B15" s="1" t="s">
        <v>198</v>
      </c>
      <c r="C15" s="23" t="s">
        <v>1002</v>
      </c>
      <c r="D15" s="1">
        <v>48</v>
      </c>
      <c r="E15" s="23" t="s">
        <v>2</v>
      </c>
      <c r="F15" s="1" t="s">
        <v>37</v>
      </c>
      <c r="G15" s="3" t="s">
        <v>10</v>
      </c>
      <c r="H15" s="1" t="s">
        <v>199</v>
      </c>
      <c r="I15" s="1" t="s">
        <v>6</v>
      </c>
    </row>
    <row r="16" spans="1:9" x14ac:dyDescent="0.25">
      <c r="A16" s="1" t="s">
        <v>209</v>
      </c>
      <c r="B16" s="1" t="s">
        <v>210</v>
      </c>
      <c r="C16" s="23" t="s">
        <v>1001</v>
      </c>
      <c r="D16" s="1">
        <v>50</v>
      </c>
      <c r="E16" s="23" t="s">
        <v>2</v>
      </c>
      <c r="F16" s="1" t="s">
        <v>37</v>
      </c>
      <c r="G16" s="3" t="s">
        <v>10</v>
      </c>
      <c r="H16" s="1"/>
      <c r="I16" s="3" t="s">
        <v>89</v>
      </c>
    </row>
    <row r="17" spans="1:9" x14ac:dyDescent="0.25">
      <c r="A17" s="1" t="s">
        <v>214</v>
      </c>
      <c r="B17" s="1" t="s">
        <v>1041</v>
      </c>
      <c r="C17" s="23" t="s">
        <v>1002</v>
      </c>
      <c r="D17" s="1">
        <v>50</v>
      </c>
      <c r="E17" s="23" t="s">
        <v>2</v>
      </c>
      <c r="F17" s="1" t="s">
        <v>37</v>
      </c>
      <c r="G17" s="4" t="s">
        <v>215</v>
      </c>
      <c r="H17" s="1" t="s">
        <v>216</v>
      </c>
      <c r="I17" s="1" t="s">
        <v>6</v>
      </c>
    </row>
    <row r="18" spans="1:9" x14ac:dyDescent="0.25">
      <c r="A18" s="1" t="s">
        <v>217</v>
      </c>
      <c r="B18" s="1" t="s">
        <v>218</v>
      </c>
      <c r="C18" s="23" t="s">
        <v>1002</v>
      </c>
      <c r="D18" s="1">
        <v>52</v>
      </c>
      <c r="E18" s="23" t="s">
        <v>2</v>
      </c>
      <c r="F18" s="1" t="s">
        <v>37</v>
      </c>
      <c r="G18" s="3" t="s">
        <v>219</v>
      </c>
      <c r="H18" s="1" t="s">
        <v>220</v>
      </c>
      <c r="I18" s="1" t="s">
        <v>6</v>
      </c>
    </row>
    <row r="19" spans="1:9" x14ac:dyDescent="0.25">
      <c r="A19" s="1" t="s">
        <v>224</v>
      </c>
      <c r="B19" s="1" t="s">
        <v>225</v>
      </c>
      <c r="C19" s="23" t="s">
        <v>1002</v>
      </c>
      <c r="D19" s="1">
        <v>90</v>
      </c>
      <c r="E19" s="23" t="s">
        <v>2</v>
      </c>
      <c r="F19" s="1" t="s">
        <v>37</v>
      </c>
      <c r="G19" s="3" t="s">
        <v>28</v>
      </c>
      <c r="H19" s="1"/>
      <c r="I19" s="3" t="s">
        <v>11</v>
      </c>
    </row>
    <row r="20" spans="1:9" x14ac:dyDescent="0.25">
      <c r="A20" s="1" t="s">
        <v>228</v>
      </c>
      <c r="B20" s="1" t="s">
        <v>229</v>
      </c>
      <c r="C20" s="23" t="s">
        <v>1001</v>
      </c>
      <c r="D20" s="1">
        <v>48</v>
      </c>
      <c r="E20" s="23" t="s">
        <v>2</v>
      </c>
      <c r="F20" s="1" t="s">
        <v>37</v>
      </c>
      <c r="G20" s="3" t="s">
        <v>4</v>
      </c>
      <c r="H20" s="1" t="s">
        <v>230</v>
      </c>
      <c r="I20" s="1" t="s">
        <v>30</v>
      </c>
    </row>
    <row r="21" spans="1:9" x14ac:dyDescent="0.25">
      <c r="A21" s="1" t="s">
        <v>253</v>
      </c>
      <c r="B21" s="1" t="s">
        <v>1044</v>
      </c>
      <c r="C21" s="23" t="s">
        <v>1002</v>
      </c>
      <c r="D21" s="1">
        <v>70</v>
      </c>
      <c r="E21" s="23" t="s">
        <v>2</v>
      </c>
      <c r="F21" s="1" t="s">
        <v>37</v>
      </c>
      <c r="G21" s="3" t="s">
        <v>4</v>
      </c>
      <c r="H21" s="1"/>
      <c r="I21" s="3" t="s">
        <v>89</v>
      </c>
    </row>
    <row r="22" spans="1:9" x14ac:dyDescent="0.25">
      <c r="A22" s="1" t="s">
        <v>254</v>
      </c>
      <c r="B22" s="1" t="s">
        <v>1045</v>
      </c>
      <c r="C22" s="23" t="s">
        <v>1002</v>
      </c>
      <c r="D22" s="1">
        <v>58</v>
      </c>
      <c r="E22" s="23" t="s">
        <v>2</v>
      </c>
      <c r="F22" s="1" t="s">
        <v>37</v>
      </c>
      <c r="G22" s="3" t="s">
        <v>255</v>
      </c>
      <c r="H22" s="1" t="s">
        <v>256</v>
      </c>
      <c r="I22" s="1" t="s">
        <v>30</v>
      </c>
    </row>
    <row r="23" spans="1:9" x14ac:dyDescent="0.25">
      <c r="A23" s="1" t="s">
        <v>257</v>
      </c>
      <c r="B23" s="1" t="s">
        <v>258</v>
      </c>
      <c r="C23" s="23" t="s">
        <v>1002</v>
      </c>
      <c r="D23" s="1">
        <v>80</v>
      </c>
      <c r="E23" s="23" t="s">
        <v>2</v>
      </c>
      <c r="F23" s="1" t="s">
        <v>37</v>
      </c>
      <c r="G23" s="3" t="s">
        <v>259</v>
      </c>
      <c r="H23" s="1" t="s">
        <v>260</v>
      </c>
      <c r="I23" s="1" t="s">
        <v>30</v>
      </c>
    </row>
    <row r="24" spans="1:9" x14ac:dyDescent="0.25">
      <c r="A24" s="1" t="s">
        <v>276</v>
      </c>
      <c r="B24" s="1" t="s">
        <v>277</v>
      </c>
      <c r="C24" s="23" t="s">
        <v>1002</v>
      </c>
      <c r="D24" s="1">
        <v>58</v>
      </c>
      <c r="E24" s="23" t="s">
        <v>2</v>
      </c>
      <c r="F24" s="1" t="s">
        <v>37</v>
      </c>
      <c r="G24" s="3" t="s">
        <v>161</v>
      </c>
      <c r="H24" s="1"/>
      <c r="I24" s="3" t="s">
        <v>113</v>
      </c>
    </row>
    <row r="25" spans="1:9" x14ac:dyDescent="0.25">
      <c r="A25" s="1" t="s">
        <v>292</v>
      </c>
      <c r="B25" s="1" t="s">
        <v>293</v>
      </c>
      <c r="C25" s="23" t="s">
        <v>1002</v>
      </c>
      <c r="D25" s="1">
        <v>66</v>
      </c>
      <c r="E25" s="23" t="s">
        <v>2</v>
      </c>
      <c r="F25" s="1" t="s">
        <v>37</v>
      </c>
      <c r="G25" s="3" t="s">
        <v>4</v>
      </c>
      <c r="H25" s="1" t="s">
        <v>294</v>
      </c>
      <c r="I25" s="1" t="s">
        <v>30</v>
      </c>
    </row>
    <row r="26" spans="1:9" x14ac:dyDescent="0.25">
      <c r="A26" s="1" t="s">
        <v>304</v>
      </c>
      <c r="B26" s="1" t="s">
        <v>305</v>
      </c>
      <c r="C26" s="23" t="s">
        <v>1001</v>
      </c>
      <c r="D26" s="1">
        <v>34</v>
      </c>
      <c r="E26" s="23" t="s">
        <v>2</v>
      </c>
      <c r="F26" s="1" t="s">
        <v>37</v>
      </c>
      <c r="G26" s="3" t="s">
        <v>4</v>
      </c>
      <c r="H26" s="1" t="s">
        <v>306</v>
      </c>
      <c r="I26" s="1" t="s">
        <v>6</v>
      </c>
    </row>
    <row r="27" spans="1:9" x14ac:dyDescent="0.25">
      <c r="A27" s="1" t="s">
        <v>327</v>
      </c>
      <c r="B27" s="1" t="s">
        <v>328</v>
      </c>
      <c r="C27" s="23" t="s">
        <v>1002</v>
      </c>
      <c r="D27" s="1">
        <v>66</v>
      </c>
      <c r="E27" s="23" t="s">
        <v>2</v>
      </c>
      <c r="F27" s="1" t="s">
        <v>37</v>
      </c>
      <c r="G27" s="3" t="s">
        <v>329</v>
      </c>
      <c r="H27" s="1" t="s">
        <v>330</v>
      </c>
      <c r="I27" s="1" t="s">
        <v>30</v>
      </c>
    </row>
    <row r="28" spans="1:9" x14ac:dyDescent="0.25">
      <c r="A28" s="1" t="s">
        <v>331</v>
      </c>
      <c r="B28" s="1" t="s">
        <v>332</v>
      </c>
      <c r="C28" s="23" t="s">
        <v>1001</v>
      </c>
      <c r="D28" s="1">
        <v>40</v>
      </c>
      <c r="E28" s="23" t="s">
        <v>2</v>
      </c>
      <c r="F28" s="1" t="s">
        <v>37</v>
      </c>
      <c r="G28" s="3" t="s">
        <v>98</v>
      </c>
      <c r="H28" s="1"/>
      <c r="I28" s="3" t="s">
        <v>70</v>
      </c>
    </row>
    <row r="29" spans="1:9" x14ac:dyDescent="0.25">
      <c r="A29" s="1" t="s">
        <v>336</v>
      </c>
      <c r="B29" s="1" t="s">
        <v>1048</v>
      </c>
      <c r="C29" s="23" t="s">
        <v>1002</v>
      </c>
      <c r="D29" s="1">
        <v>68</v>
      </c>
      <c r="E29" s="23" t="s">
        <v>2</v>
      </c>
      <c r="F29" s="1" t="s">
        <v>37</v>
      </c>
      <c r="G29" s="3" t="s">
        <v>4</v>
      </c>
      <c r="H29" s="1" t="s">
        <v>337</v>
      </c>
      <c r="I29" s="1" t="s">
        <v>6</v>
      </c>
    </row>
    <row r="30" spans="1:9" x14ac:dyDescent="0.25">
      <c r="A30" s="1" t="s">
        <v>341</v>
      </c>
      <c r="B30" s="1" t="s">
        <v>342</v>
      </c>
      <c r="C30" s="23" t="s">
        <v>1002</v>
      </c>
      <c r="D30" s="1">
        <v>78</v>
      </c>
      <c r="E30" s="23" t="s">
        <v>2</v>
      </c>
      <c r="F30" s="1" t="s">
        <v>37</v>
      </c>
      <c r="G30" s="3" t="s">
        <v>4</v>
      </c>
      <c r="H30" s="1"/>
      <c r="I30" s="3" t="s">
        <v>70</v>
      </c>
    </row>
    <row r="31" spans="1:9" x14ac:dyDescent="0.25">
      <c r="A31" s="1" t="s">
        <v>352</v>
      </c>
      <c r="B31" s="1" t="s">
        <v>353</v>
      </c>
      <c r="C31" s="23" t="s">
        <v>1002</v>
      </c>
      <c r="D31" s="1">
        <v>38</v>
      </c>
      <c r="E31" s="23" t="s">
        <v>2</v>
      </c>
      <c r="F31" s="1" t="s">
        <v>37</v>
      </c>
      <c r="G31" s="3" t="s">
        <v>4</v>
      </c>
      <c r="H31" s="1"/>
      <c r="I31" s="3" t="s">
        <v>89</v>
      </c>
    </row>
    <row r="32" spans="1:9" x14ac:dyDescent="0.25">
      <c r="A32" s="1" t="s">
        <v>369</v>
      </c>
      <c r="B32" s="1" t="s">
        <v>370</v>
      </c>
      <c r="C32" s="23" t="s">
        <v>1002</v>
      </c>
      <c r="D32" s="1">
        <v>48</v>
      </c>
      <c r="E32" s="23" t="s">
        <v>2</v>
      </c>
      <c r="F32" s="1" t="s">
        <v>37</v>
      </c>
      <c r="G32" s="3" t="s">
        <v>4</v>
      </c>
      <c r="H32" s="1" t="s">
        <v>371</v>
      </c>
      <c r="I32" s="1" t="s">
        <v>6</v>
      </c>
    </row>
    <row r="33" spans="1:9" x14ac:dyDescent="0.25">
      <c r="A33" s="1" t="s">
        <v>385</v>
      </c>
      <c r="B33" s="1" t="s">
        <v>1051</v>
      </c>
      <c r="C33" s="23" t="s">
        <v>1002</v>
      </c>
      <c r="D33" s="1">
        <v>58</v>
      </c>
      <c r="E33" s="23" t="s">
        <v>2</v>
      </c>
      <c r="F33" s="1" t="s">
        <v>37</v>
      </c>
      <c r="G33" s="3" t="s">
        <v>259</v>
      </c>
      <c r="H33" s="1"/>
      <c r="I33" s="3" t="s">
        <v>113</v>
      </c>
    </row>
    <row r="34" spans="1:9" x14ac:dyDescent="0.25">
      <c r="A34" s="1" t="s">
        <v>386</v>
      </c>
      <c r="B34" s="1" t="s">
        <v>387</v>
      </c>
      <c r="C34" s="23" t="s">
        <v>1001</v>
      </c>
      <c r="D34" s="1">
        <v>68</v>
      </c>
      <c r="E34" s="23" t="s">
        <v>2</v>
      </c>
      <c r="F34" s="1" t="s">
        <v>37</v>
      </c>
      <c r="G34" s="3" t="s">
        <v>10</v>
      </c>
      <c r="H34" s="1" t="s">
        <v>388</v>
      </c>
      <c r="I34" s="1" t="s">
        <v>30</v>
      </c>
    </row>
    <row r="35" spans="1:9" x14ac:dyDescent="0.25">
      <c r="A35" s="1" t="s">
        <v>392</v>
      </c>
      <c r="B35" s="1" t="s">
        <v>393</v>
      </c>
      <c r="C35" s="23" t="s">
        <v>1002</v>
      </c>
      <c r="D35" s="1">
        <v>82</v>
      </c>
      <c r="E35" s="23" t="s">
        <v>2</v>
      </c>
      <c r="F35" s="1" t="s">
        <v>37</v>
      </c>
      <c r="G35" s="3" t="s">
        <v>4</v>
      </c>
      <c r="H35" s="1" t="s">
        <v>394</v>
      </c>
      <c r="I35" s="1" t="s">
        <v>30</v>
      </c>
    </row>
    <row r="36" spans="1:9" x14ac:dyDescent="0.25">
      <c r="A36" s="1" t="s">
        <v>395</v>
      </c>
      <c r="B36" s="1" t="s">
        <v>396</v>
      </c>
      <c r="C36" s="23" t="s">
        <v>1002</v>
      </c>
      <c r="D36" s="1">
        <v>50</v>
      </c>
      <c r="E36" s="23" t="s">
        <v>2</v>
      </c>
      <c r="F36" s="1" t="s">
        <v>37</v>
      </c>
      <c r="G36" s="3" t="s">
        <v>24</v>
      </c>
      <c r="H36" s="1" t="s">
        <v>397</v>
      </c>
      <c r="I36" s="1" t="s">
        <v>30</v>
      </c>
    </row>
    <row r="37" spans="1:9" x14ac:dyDescent="0.25">
      <c r="A37" s="1" t="s">
        <v>401</v>
      </c>
      <c r="B37" s="1" t="s">
        <v>402</v>
      </c>
      <c r="C37" s="23" t="s">
        <v>1001</v>
      </c>
      <c r="D37" s="1">
        <v>50</v>
      </c>
      <c r="E37" s="23" t="s">
        <v>2</v>
      </c>
      <c r="F37" s="1" t="s">
        <v>37</v>
      </c>
      <c r="G37" s="3" t="s">
        <v>10</v>
      </c>
      <c r="H37" s="1"/>
      <c r="I37" s="3" t="s">
        <v>113</v>
      </c>
    </row>
    <row r="38" spans="1:9" x14ac:dyDescent="0.25">
      <c r="A38" s="1" t="s">
        <v>403</v>
      </c>
      <c r="B38" s="1" t="s">
        <v>404</v>
      </c>
      <c r="C38" s="23" t="s">
        <v>1002</v>
      </c>
      <c r="D38" s="1">
        <v>58</v>
      </c>
      <c r="E38" s="23" t="s">
        <v>2</v>
      </c>
      <c r="F38" s="1" t="s">
        <v>37</v>
      </c>
      <c r="G38" s="3" t="s">
        <v>4</v>
      </c>
      <c r="H38" s="1" t="s">
        <v>405</v>
      </c>
      <c r="I38" s="1" t="s">
        <v>6</v>
      </c>
    </row>
    <row r="39" spans="1:9" x14ac:dyDescent="0.25">
      <c r="A39" s="1" t="s">
        <v>408</v>
      </c>
      <c r="B39" s="1" t="s">
        <v>1052</v>
      </c>
      <c r="C39" s="23" t="s">
        <v>1002</v>
      </c>
      <c r="D39" s="1">
        <v>72</v>
      </c>
      <c r="E39" s="23" t="s">
        <v>2</v>
      </c>
      <c r="F39" s="1" t="s">
        <v>37</v>
      </c>
      <c r="G39" s="3" t="s">
        <v>28</v>
      </c>
      <c r="H39" s="1" t="s">
        <v>409</v>
      </c>
      <c r="I39" s="1" t="s">
        <v>30</v>
      </c>
    </row>
    <row r="40" spans="1:9" x14ac:dyDescent="0.25">
      <c r="A40" s="1" t="s">
        <v>430</v>
      </c>
      <c r="B40" s="1" t="s">
        <v>431</v>
      </c>
      <c r="C40" s="23" t="s">
        <v>1002</v>
      </c>
      <c r="D40" s="1">
        <v>84</v>
      </c>
      <c r="E40" s="23" t="s">
        <v>2</v>
      </c>
      <c r="F40" s="1" t="s">
        <v>37</v>
      </c>
      <c r="G40" s="3" t="s">
        <v>28</v>
      </c>
      <c r="H40" s="1" t="s">
        <v>432</v>
      </c>
      <c r="I40" s="1" t="s">
        <v>30</v>
      </c>
    </row>
    <row r="41" spans="1:9" x14ac:dyDescent="0.25">
      <c r="A41" s="1" t="s">
        <v>456</v>
      </c>
      <c r="B41" s="1" t="s">
        <v>457</v>
      </c>
      <c r="C41" s="23" t="s">
        <v>1002</v>
      </c>
      <c r="D41" s="1">
        <v>64</v>
      </c>
      <c r="E41" s="23" t="s">
        <v>2</v>
      </c>
      <c r="F41" s="1" t="s">
        <v>37</v>
      </c>
      <c r="G41" s="3" t="s">
        <v>10</v>
      </c>
      <c r="H41" s="1" t="s">
        <v>458</v>
      </c>
      <c r="I41" s="1" t="s">
        <v>30</v>
      </c>
    </row>
    <row r="42" spans="1:9" x14ac:dyDescent="0.25">
      <c r="A42" s="1" t="s">
        <v>459</v>
      </c>
      <c r="B42" s="1" t="s">
        <v>460</v>
      </c>
      <c r="C42" s="23" t="s">
        <v>1002</v>
      </c>
      <c r="D42" s="1">
        <v>68</v>
      </c>
      <c r="E42" s="23" t="s">
        <v>2</v>
      </c>
      <c r="F42" s="1" t="s">
        <v>37</v>
      </c>
      <c r="G42" s="3" t="s">
        <v>10</v>
      </c>
      <c r="H42" s="1"/>
      <c r="I42" s="3" t="s">
        <v>153</v>
      </c>
    </row>
    <row r="43" spans="1:9" x14ac:dyDescent="0.25">
      <c r="A43" s="1" t="s">
        <v>469</v>
      </c>
      <c r="B43" s="1" t="s">
        <v>1054</v>
      </c>
      <c r="C43" s="23" t="s">
        <v>1002</v>
      </c>
      <c r="D43" s="1">
        <v>64</v>
      </c>
      <c r="E43" s="23" t="s">
        <v>2</v>
      </c>
      <c r="F43" s="1" t="s">
        <v>37</v>
      </c>
      <c r="G43" s="3" t="s">
        <v>470</v>
      </c>
      <c r="H43" s="1" t="s">
        <v>471</v>
      </c>
      <c r="I43" s="1" t="s">
        <v>30</v>
      </c>
    </row>
    <row r="44" spans="1:9" x14ac:dyDescent="0.25">
      <c r="A44" s="1" t="s">
        <v>472</v>
      </c>
      <c r="B44" s="1" t="s">
        <v>473</v>
      </c>
      <c r="C44" s="23" t="s">
        <v>1002</v>
      </c>
      <c r="D44" s="1">
        <v>74</v>
      </c>
      <c r="E44" s="23" t="s">
        <v>2</v>
      </c>
      <c r="F44" s="1" t="s">
        <v>37</v>
      </c>
      <c r="G44" s="3" t="s">
        <v>4</v>
      </c>
      <c r="H44" s="1" t="s">
        <v>474</v>
      </c>
      <c r="I44" s="1" t="s">
        <v>30</v>
      </c>
    </row>
    <row r="45" spans="1:9" x14ac:dyDescent="0.25">
      <c r="A45" s="1" t="s">
        <v>492</v>
      </c>
      <c r="B45" s="25" t="s">
        <v>493</v>
      </c>
      <c r="C45" s="23" t="s">
        <v>1002</v>
      </c>
      <c r="D45" s="1">
        <v>50</v>
      </c>
      <c r="E45" s="23" t="s">
        <v>2</v>
      </c>
      <c r="F45" s="1" t="s">
        <v>37</v>
      </c>
      <c r="G45" s="3" t="s">
        <v>494</v>
      </c>
      <c r="H45" s="1" t="s">
        <v>495</v>
      </c>
      <c r="I45" s="1" t="s">
        <v>30</v>
      </c>
    </row>
    <row r="46" spans="1:9" x14ac:dyDescent="0.25">
      <c r="A46" s="1" t="s">
        <v>502</v>
      </c>
      <c r="B46" s="1" t="s">
        <v>503</v>
      </c>
      <c r="C46" s="23" t="s">
        <v>1001</v>
      </c>
      <c r="D46" s="1">
        <v>58</v>
      </c>
      <c r="E46" s="23" t="s">
        <v>2</v>
      </c>
      <c r="F46" s="1" t="s">
        <v>37</v>
      </c>
      <c r="G46" s="3" t="s">
        <v>10</v>
      </c>
      <c r="H46" s="1" t="s">
        <v>504</v>
      </c>
      <c r="I46" s="1" t="s">
        <v>6</v>
      </c>
    </row>
    <row r="47" spans="1:9" x14ac:dyDescent="0.25">
      <c r="A47" s="1" t="s">
        <v>505</v>
      </c>
      <c r="B47" s="1" t="s">
        <v>506</v>
      </c>
      <c r="C47" s="23" t="s">
        <v>1001</v>
      </c>
      <c r="D47" s="1">
        <v>52</v>
      </c>
      <c r="E47" s="23" t="s">
        <v>2</v>
      </c>
      <c r="F47" s="1" t="s">
        <v>37</v>
      </c>
      <c r="G47" s="3" t="s">
        <v>10</v>
      </c>
      <c r="H47" s="1" t="s">
        <v>507</v>
      </c>
      <c r="I47" s="1" t="s">
        <v>6</v>
      </c>
    </row>
    <row r="48" spans="1:9" x14ac:dyDescent="0.25">
      <c r="A48" s="1" t="s">
        <v>525</v>
      </c>
      <c r="B48" s="1" t="s">
        <v>526</v>
      </c>
      <c r="C48" s="23" t="s">
        <v>1002</v>
      </c>
      <c r="D48" s="1">
        <v>68</v>
      </c>
      <c r="E48" s="23" t="s">
        <v>2</v>
      </c>
      <c r="F48" s="1" t="s">
        <v>37</v>
      </c>
      <c r="G48" s="3" t="s">
        <v>207</v>
      </c>
      <c r="H48" s="1" t="s">
        <v>527</v>
      </c>
      <c r="I48" s="1" t="s">
        <v>30</v>
      </c>
    </row>
    <row r="49" spans="1:9" x14ac:dyDescent="0.25">
      <c r="A49" s="1" t="s">
        <v>528</v>
      </c>
      <c r="B49" s="1" t="s">
        <v>1056</v>
      </c>
      <c r="C49" s="23" t="s">
        <v>1002</v>
      </c>
      <c r="D49" s="1">
        <v>38</v>
      </c>
      <c r="E49" s="23" t="s">
        <v>2</v>
      </c>
      <c r="F49" s="1" t="s">
        <v>37</v>
      </c>
      <c r="G49" s="3" t="s">
        <v>24</v>
      </c>
      <c r="H49" s="1" t="s">
        <v>529</v>
      </c>
      <c r="I49" s="1" t="s">
        <v>30</v>
      </c>
    </row>
    <row r="50" spans="1:9" x14ac:dyDescent="0.25">
      <c r="A50" s="1" t="s">
        <v>536</v>
      </c>
      <c r="B50" s="1" t="s">
        <v>537</v>
      </c>
      <c r="C50" s="23" t="s">
        <v>1001</v>
      </c>
      <c r="D50" s="1">
        <v>56</v>
      </c>
      <c r="E50" s="23" t="s">
        <v>2</v>
      </c>
      <c r="F50" s="1" t="s">
        <v>37</v>
      </c>
      <c r="G50" s="3" t="s">
        <v>10</v>
      </c>
      <c r="H50" s="1" t="s">
        <v>538</v>
      </c>
      <c r="I50" s="1" t="s">
        <v>6</v>
      </c>
    </row>
    <row r="51" spans="1:9" x14ac:dyDescent="0.25">
      <c r="A51" s="1" t="s">
        <v>539</v>
      </c>
      <c r="B51" s="1" t="s">
        <v>540</v>
      </c>
      <c r="C51" s="23" t="s">
        <v>1001</v>
      </c>
      <c r="D51" s="1">
        <v>66</v>
      </c>
      <c r="E51" s="23" t="s">
        <v>2</v>
      </c>
      <c r="F51" s="1" t="s">
        <v>37</v>
      </c>
      <c r="G51" s="3" t="s">
        <v>44</v>
      </c>
      <c r="H51" s="1" t="s">
        <v>541</v>
      </c>
      <c r="I51" s="1" t="s">
        <v>6</v>
      </c>
    </row>
    <row r="52" spans="1:9" x14ac:dyDescent="0.25">
      <c r="A52" s="1" t="s">
        <v>549</v>
      </c>
      <c r="B52" s="1" t="s">
        <v>550</v>
      </c>
      <c r="C52" s="23" t="s">
        <v>1001</v>
      </c>
      <c r="D52" s="1">
        <v>62</v>
      </c>
      <c r="E52" s="23" t="s">
        <v>2</v>
      </c>
      <c r="F52" s="1" t="s">
        <v>37</v>
      </c>
      <c r="G52" s="3" t="s">
        <v>551</v>
      </c>
      <c r="H52" s="1" t="s">
        <v>552</v>
      </c>
      <c r="I52" s="1" t="s">
        <v>30</v>
      </c>
    </row>
    <row r="53" spans="1:9" x14ac:dyDescent="0.25">
      <c r="A53" s="1" t="s">
        <v>559</v>
      </c>
      <c r="B53" s="1" t="s">
        <v>560</v>
      </c>
      <c r="C53" s="23" t="s">
        <v>1001</v>
      </c>
      <c r="D53" s="1">
        <v>66</v>
      </c>
      <c r="E53" s="23" t="s">
        <v>2</v>
      </c>
      <c r="F53" s="1" t="s">
        <v>37</v>
      </c>
      <c r="G53" s="3" t="s">
        <v>28</v>
      </c>
      <c r="H53" s="1"/>
      <c r="I53" s="3" t="s">
        <v>70</v>
      </c>
    </row>
    <row r="54" spans="1:9" x14ac:dyDescent="0.25">
      <c r="A54" s="1" t="s">
        <v>579</v>
      </c>
      <c r="B54" s="1" t="s">
        <v>580</v>
      </c>
      <c r="C54" s="23" t="s">
        <v>1001</v>
      </c>
      <c r="D54" s="1">
        <v>34</v>
      </c>
      <c r="E54" s="23" t="s">
        <v>2</v>
      </c>
      <c r="F54" s="1" t="s">
        <v>37</v>
      </c>
      <c r="G54" s="3" t="s">
        <v>4</v>
      </c>
      <c r="H54" s="1" t="s">
        <v>581</v>
      </c>
      <c r="I54" s="1" t="s">
        <v>6</v>
      </c>
    </row>
    <row r="55" spans="1:9" x14ac:dyDescent="0.25">
      <c r="A55" s="1" t="s">
        <v>599</v>
      </c>
      <c r="B55" s="1" t="s">
        <v>600</v>
      </c>
      <c r="C55" s="23" t="s">
        <v>1001</v>
      </c>
      <c r="D55" s="1">
        <v>80</v>
      </c>
      <c r="E55" s="23" t="s">
        <v>2</v>
      </c>
      <c r="F55" s="1" t="s">
        <v>37</v>
      </c>
      <c r="G55" s="3" t="s">
        <v>10</v>
      </c>
      <c r="H55" s="1"/>
      <c r="I55" s="3" t="s">
        <v>113</v>
      </c>
    </row>
    <row r="56" spans="1:9" x14ac:dyDescent="0.25">
      <c r="A56" s="1" t="s">
        <v>601</v>
      </c>
      <c r="B56" s="1" t="s">
        <v>602</v>
      </c>
      <c r="C56" s="23" t="s">
        <v>1001</v>
      </c>
      <c r="D56" s="1">
        <v>58</v>
      </c>
      <c r="E56" s="23" t="s">
        <v>2</v>
      </c>
      <c r="F56" s="1" t="s">
        <v>37</v>
      </c>
      <c r="G56" s="3" t="s">
        <v>10</v>
      </c>
      <c r="H56" s="1" t="s">
        <v>603</v>
      </c>
      <c r="I56" s="1" t="s">
        <v>6</v>
      </c>
    </row>
    <row r="57" spans="1:9" x14ac:dyDescent="0.25">
      <c r="A57" s="1" t="s">
        <v>613</v>
      </c>
      <c r="B57" s="1" t="s">
        <v>1057</v>
      </c>
      <c r="C57" s="23" t="s">
        <v>1001</v>
      </c>
      <c r="D57" s="1">
        <v>62</v>
      </c>
      <c r="E57" s="23" t="s">
        <v>2</v>
      </c>
      <c r="F57" s="1" t="s">
        <v>37</v>
      </c>
      <c r="G57" s="3" t="s">
        <v>10</v>
      </c>
      <c r="H57" s="1" t="s">
        <v>614</v>
      </c>
      <c r="I57" s="1" t="s">
        <v>30</v>
      </c>
    </row>
    <row r="58" spans="1:9" x14ac:dyDescent="0.25">
      <c r="A58" s="1" t="s">
        <v>621</v>
      </c>
      <c r="B58" s="1" t="s">
        <v>622</v>
      </c>
      <c r="C58" s="23" t="s">
        <v>1002</v>
      </c>
      <c r="D58" s="1">
        <v>56</v>
      </c>
      <c r="E58" s="23" t="s">
        <v>2</v>
      </c>
      <c r="F58" s="1" t="s">
        <v>37</v>
      </c>
      <c r="G58" s="3" t="s">
        <v>10</v>
      </c>
      <c r="H58" s="1" t="s">
        <v>623</v>
      </c>
      <c r="I58" s="1" t="s">
        <v>6</v>
      </c>
    </row>
    <row r="59" spans="1:9" x14ac:dyDescent="0.25">
      <c r="A59" s="1" t="s">
        <v>637</v>
      </c>
      <c r="B59" s="1" t="s">
        <v>638</v>
      </c>
      <c r="C59" s="23" t="s">
        <v>1002</v>
      </c>
      <c r="D59" s="1">
        <v>80</v>
      </c>
      <c r="E59" s="23" t="s">
        <v>2</v>
      </c>
      <c r="F59" s="1" t="s">
        <v>37</v>
      </c>
      <c r="G59" s="3" t="s">
        <v>28</v>
      </c>
      <c r="H59" s="1"/>
      <c r="I59" s="3" t="s">
        <v>11</v>
      </c>
    </row>
    <row r="60" spans="1:9" x14ac:dyDescent="0.25">
      <c r="A60" s="1" t="s">
        <v>642</v>
      </c>
      <c r="B60" s="1" t="s">
        <v>643</v>
      </c>
      <c r="C60" s="23" t="s">
        <v>1002</v>
      </c>
      <c r="D60" s="1">
        <v>58</v>
      </c>
      <c r="E60" s="23" t="s">
        <v>2</v>
      </c>
      <c r="F60" s="1" t="s">
        <v>37</v>
      </c>
      <c r="G60" s="3" t="s">
        <v>28</v>
      </c>
      <c r="H60" s="1"/>
      <c r="I60" s="3" t="s">
        <v>11</v>
      </c>
    </row>
    <row r="61" spans="1:9" x14ac:dyDescent="0.25">
      <c r="A61" s="1" t="s">
        <v>658</v>
      </c>
      <c r="B61" s="1" t="s">
        <v>659</v>
      </c>
      <c r="C61" s="23" t="s">
        <v>1002</v>
      </c>
      <c r="D61" s="1">
        <v>46</v>
      </c>
      <c r="E61" s="23" t="s">
        <v>2</v>
      </c>
      <c r="F61" s="1" t="s">
        <v>37</v>
      </c>
      <c r="G61" s="3" t="s">
        <v>660</v>
      </c>
      <c r="H61" s="1" t="s">
        <v>661</v>
      </c>
      <c r="I61" s="1" t="s">
        <v>6</v>
      </c>
    </row>
    <row r="62" spans="1:9" x14ac:dyDescent="0.25">
      <c r="A62" s="1" t="s">
        <v>664</v>
      </c>
      <c r="B62" s="1" t="s">
        <v>665</v>
      </c>
      <c r="C62" s="23" t="s">
        <v>1002</v>
      </c>
      <c r="D62" s="1">
        <v>62</v>
      </c>
      <c r="E62" s="23" t="s">
        <v>2</v>
      </c>
      <c r="F62" s="1" t="s">
        <v>37</v>
      </c>
      <c r="G62" s="3" t="s">
        <v>4</v>
      </c>
      <c r="H62" s="1" t="s">
        <v>666</v>
      </c>
      <c r="I62" s="1" t="s">
        <v>6</v>
      </c>
    </row>
    <row r="63" spans="1:9" x14ac:dyDescent="0.25">
      <c r="A63" s="1" t="s">
        <v>670</v>
      </c>
      <c r="B63" s="1" t="s">
        <v>671</v>
      </c>
      <c r="C63" s="23" t="s">
        <v>1002</v>
      </c>
      <c r="D63" s="1">
        <v>40</v>
      </c>
      <c r="E63" s="23" t="s">
        <v>2</v>
      </c>
      <c r="F63" s="1" t="s">
        <v>37</v>
      </c>
      <c r="G63" s="3" t="s">
        <v>28</v>
      </c>
      <c r="H63" s="1" t="s">
        <v>672</v>
      </c>
      <c r="I63" s="1" t="s">
        <v>6</v>
      </c>
    </row>
    <row r="64" spans="1:9" x14ac:dyDescent="0.25">
      <c r="A64" s="1" t="s">
        <v>685</v>
      </c>
      <c r="B64" s="1" t="s">
        <v>686</v>
      </c>
      <c r="C64" s="23" t="s">
        <v>1002</v>
      </c>
      <c r="D64" s="1">
        <v>60</v>
      </c>
      <c r="E64" s="23" t="s">
        <v>2</v>
      </c>
      <c r="F64" s="1" t="s">
        <v>37</v>
      </c>
      <c r="G64" s="3" t="s">
        <v>4</v>
      </c>
      <c r="H64" s="1"/>
      <c r="I64" s="3" t="s">
        <v>153</v>
      </c>
    </row>
    <row r="65" spans="1:9" x14ac:dyDescent="0.25">
      <c r="A65" s="1" t="s">
        <v>693</v>
      </c>
      <c r="B65" s="1" t="s">
        <v>694</v>
      </c>
      <c r="C65" s="23" t="s">
        <v>1002</v>
      </c>
      <c r="D65" s="1">
        <v>76</v>
      </c>
      <c r="E65" s="23" t="s">
        <v>2</v>
      </c>
      <c r="F65" s="1" t="s">
        <v>37</v>
      </c>
      <c r="G65" s="3" t="s">
        <v>4</v>
      </c>
      <c r="H65" s="1" t="s">
        <v>695</v>
      </c>
      <c r="I65" s="1" t="s">
        <v>6</v>
      </c>
    </row>
    <row r="66" spans="1:9" x14ac:dyDescent="0.25">
      <c r="A66" s="1" t="s">
        <v>696</v>
      </c>
      <c r="B66" s="1" t="s">
        <v>697</v>
      </c>
      <c r="C66" s="23" t="s">
        <v>1001</v>
      </c>
      <c r="D66" s="1">
        <v>52</v>
      </c>
      <c r="E66" s="23" t="s">
        <v>2</v>
      </c>
      <c r="F66" s="1" t="s">
        <v>37</v>
      </c>
      <c r="G66" s="3" t="s">
        <v>4</v>
      </c>
      <c r="H66" s="1" t="s">
        <v>698</v>
      </c>
      <c r="I66" s="1" t="s">
        <v>6</v>
      </c>
    </row>
    <row r="67" spans="1:9" x14ac:dyDescent="0.25">
      <c r="A67" s="1" t="s">
        <v>699</v>
      </c>
      <c r="B67" s="1" t="s">
        <v>700</v>
      </c>
      <c r="C67" s="23" t="s">
        <v>1001</v>
      </c>
      <c r="D67" s="1">
        <v>52</v>
      </c>
      <c r="E67" s="23" t="s">
        <v>2</v>
      </c>
      <c r="F67" s="1" t="s">
        <v>37</v>
      </c>
      <c r="G67" s="3" t="s">
        <v>28</v>
      </c>
      <c r="H67" s="1"/>
      <c r="I67" s="3" t="s">
        <v>172</v>
      </c>
    </row>
    <row r="68" spans="1:9" x14ac:dyDescent="0.25">
      <c r="A68" s="1" t="s">
        <v>701</v>
      </c>
      <c r="B68" s="1" t="s">
        <v>702</v>
      </c>
      <c r="C68" s="23" t="s">
        <v>1002</v>
      </c>
      <c r="D68" s="1">
        <v>60</v>
      </c>
      <c r="E68" s="23" t="s">
        <v>2</v>
      </c>
      <c r="F68" s="1" t="s">
        <v>37</v>
      </c>
      <c r="G68" s="3" t="s">
        <v>98</v>
      </c>
      <c r="H68" s="1" t="s">
        <v>703</v>
      </c>
      <c r="I68" s="1" t="s">
        <v>30</v>
      </c>
    </row>
    <row r="69" spans="1:9" x14ac:dyDescent="0.25">
      <c r="A69" s="1" t="s">
        <v>718</v>
      </c>
      <c r="B69" s="1" t="s">
        <v>719</v>
      </c>
      <c r="C69" s="23" t="s">
        <v>1001</v>
      </c>
      <c r="D69" s="1">
        <v>68</v>
      </c>
      <c r="E69" s="23" t="s">
        <v>2</v>
      </c>
      <c r="F69" s="1" t="s">
        <v>37</v>
      </c>
      <c r="G69" s="3" t="s">
        <v>10</v>
      </c>
      <c r="H69" s="1" t="s">
        <v>720</v>
      </c>
      <c r="I69" s="1" t="s">
        <v>30</v>
      </c>
    </row>
    <row r="70" spans="1:9" x14ac:dyDescent="0.25">
      <c r="A70" s="1" t="s">
        <v>722</v>
      </c>
      <c r="B70" s="1" t="s">
        <v>723</v>
      </c>
      <c r="C70" s="23" t="s">
        <v>1001</v>
      </c>
      <c r="D70" s="1">
        <v>42</v>
      </c>
      <c r="E70" s="23" t="s">
        <v>2</v>
      </c>
      <c r="F70" s="1" t="s">
        <v>37</v>
      </c>
      <c r="G70" s="3" t="s">
        <v>4</v>
      </c>
      <c r="H70" s="1" t="s">
        <v>724</v>
      </c>
      <c r="I70" s="1" t="s">
        <v>6</v>
      </c>
    </row>
    <row r="71" spans="1:9" x14ac:dyDescent="0.25">
      <c r="A71" s="1" t="s">
        <v>728</v>
      </c>
      <c r="B71" s="1" t="s">
        <v>729</v>
      </c>
      <c r="C71" s="23" t="s">
        <v>1001</v>
      </c>
      <c r="D71" s="1">
        <v>42</v>
      </c>
      <c r="E71" s="23" t="s">
        <v>2</v>
      </c>
      <c r="F71" s="1" t="s">
        <v>37</v>
      </c>
      <c r="G71" s="3" t="s">
        <v>10</v>
      </c>
      <c r="H71" s="1" t="s">
        <v>730</v>
      </c>
      <c r="I71" s="1" t="s">
        <v>6</v>
      </c>
    </row>
    <row r="72" spans="1:9" x14ac:dyDescent="0.25">
      <c r="A72" s="1" t="s">
        <v>758</v>
      </c>
      <c r="B72" s="1" t="s">
        <v>1062</v>
      </c>
      <c r="C72" s="23" t="s">
        <v>1001</v>
      </c>
      <c r="D72" s="1">
        <v>38</v>
      </c>
      <c r="E72" s="23" t="s">
        <v>2</v>
      </c>
      <c r="F72" s="1" t="s">
        <v>37</v>
      </c>
      <c r="G72" s="3" t="s">
        <v>10</v>
      </c>
      <c r="H72" s="1" t="s">
        <v>759</v>
      </c>
      <c r="I72" s="1" t="s">
        <v>6</v>
      </c>
    </row>
    <row r="73" spans="1:9" x14ac:dyDescent="0.25">
      <c r="A73" s="1" t="s">
        <v>772</v>
      </c>
      <c r="B73" s="1" t="s">
        <v>773</v>
      </c>
      <c r="C73" s="23" t="s">
        <v>1002</v>
      </c>
      <c r="D73" s="1">
        <v>86</v>
      </c>
      <c r="E73" s="23" t="s">
        <v>2</v>
      </c>
      <c r="F73" s="1" t="s">
        <v>37</v>
      </c>
      <c r="G73" s="3" t="s">
        <v>4</v>
      </c>
      <c r="H73" s="1" t="s">
        <v>774</v>
      </c>
      <c r="I73" s="1" t="s">
        <v>6</v>
      </c>
    </row>
    <row r="74" spans="1:9" x14ac:dyDescent="0.25">
      <c r="A74" s="1" t="s">
        <v>778</v>
      </c>
      <c r="B74" s="1" t="s">
        <v>779</v>
      </c>
      <c r="C74" s="23" t="s">
        <v>1002</v>
      </c>
      <c r="D74" s="1">
        <v>74</v>
      </c>
      <c r="E74" s="23" t="s">
        <v>2</v>
      </c>
      <c r="F74" s="1" t="s">
        <v>37</v>
      </c>
      <c r="G74" s="3" t="s">
        <v>4</v>
      </c>
      <c r="H74" s="1"/>
      <c r="I74" s="3" t="s">
        <v>11</v>
      </c>
    </row>
    <row r="75" spans="1:9" x14ac:dyDescent="0.25">
      <c r="A75" s="1" t="s">
        <v>798</v>
      </c>
      <c r="B75" s="1" t="s">
        <v>799</v>
      </c>
      <c r="C75" s="23" t="s">
        <v>1002</v>
      </c>
      <c r="D75" s="1">
        <v>44</v>
      </c>
      <c r="E75" s="23" t="s">
        <v>2</v>
      </c>
      <c r="F75" s="1" t="s">
        <v>37</v>
      </c>
      <c r="G75" s="3" t="s">
        <v>800</v>
      </c>
      <c r="H75" s="1"/>
      <c r="I75" s="3" t="s">
        <v>172</v>
      </c>
    </row>
    <row r="76" spans="1:9" x14ac:dyDescent="0.25">
      <c r="A76" s="1" t="s">
        <v>810</v>
      </c>
      <c r="B76" s="1" t="s">
        <v>811</v>
      </c>
      <c r="C76" s="23" t="s">
        <v>1001</v>
      </c>
      <c r="D76" s="1">
        <v>48</v>
      </c>
      <c r="E76" s="23" t="s">
        <v>2</v>
      </c>
      <c r="F76" s="1" t="s">
        <v>37</v>
      </c>
      <c r="G76" s="3" t="s">
        <v>364</v>
      </c>
      <c r="H76" s="1" t="s">
        <v>812</v>
      </c>
      <c r="I76" s="1" t="s">
        <v>30</v>
      </c>
    </row>
    <row r="77" spans="1:9" x14ac:dyDescent="0.25">
      <c r="A77" s="1" t="s">
        <v>824</v>
      </c>
      <c r="B77" s="1" t="s">
        <v>825</v>
      </c>
      <c r="C77" s="23" t="s">
        <v>1002</v>
      </c>
      <c r="D77" s="1">
        <v>82</v>
      </c>
      <c r="E77" s="23" t="s">
        <v>2</v>
      </c>
      <c r="F77" s="1" t="s">
        <v>37</v>
      </c>
      <c r="G77" s="3" t="s">
        <v>10</v>
      </c>
      <c r="H77" s="1"/>
      <c r="I77" s="3" t="s">
        <v>11</v>
      </c>
    </row>
    <row r="78" spans="1:9" x14ac:dyDescent="0.25">
      <c r="A78" s="1" t="s">
        <v>826</v>
      </c>
      <c r="B78" s="1" t="s">
        <v>827</v>
      </c>
      <c r="C78" s="23" t="s">
        <v>1002</v>
      </c>
      <c r="D78" s="1">
        <v>70</v>
      </c>
      <c r="E78" s="23" t="s">
        <v>2</v>
      </c>
      <c r="F78" s="1" t="s">
        <v>37</v>
      </c>
      <c r="G78" s="3" t="s">
        <v>4</v>
      </c>
      <c r="H78" s="1"/>
      <c r="I78" s="3" t="s">
        <v>153</v>
      </c>
    </row>
    <row r="79" spans="1:9" x14ac:dyDescent="0.25">
      <c r="A79" s="1" t="s">
        <v>845</v>
      </c>
      <c r="B79" s="1" t="s">
        <v>846</v>
      </c>
      <c r="C79" s="23" t="s">
        <v>1002</v>
      </c>
      <c r="D79" s="1">
        <v>54</v>
      </c>
      <c r="E79" s="23" t="s">
        <v>2</v>
      </c>
      <c r="F79" s="1" t="s">
        <v>37</v>
      </c>
      <c r="G79" s="3" t="s">
        <v>10</v>
      </c>
      <c r="H79" s="1" t="s">
        <v>847</v>
      </c>
      <c r="I79" s="1" t="s">
        <v>6</v>
      </c>
    </row>
    <row r="80" spans="1:9" x14ac:dyDescent="0.25">
      <c r="A80" s="1" t="s">
        <v>888</v>
      </c>
      <c r="B80" s="1" t="s">
        <v>1065</v>
      </c>
      <c r="C80" s="23" t="s">
        <v>1002</v>
      </c>
      <c r="D80" s="1">
        <v>70</v>
      </c>
      <c r="E80" s="23" t="s">
        <v>2</v>
      </c>
      <c r="F80" s="1" t="s">
        <v>37</v>
      </c>
      <c r="G80" s="3" t="s">
        <v>28</v>
      </c>
      <c r="H80" s="1"/>
      <c r="I80" s="3" t="s">
        <v>11</v>
      </c>
    </row>
    <row r="81" spans="1:9" x14ac:dyDescent="0.25">
      <c r="A81" s="1" t="s">
        <v>895</v>
      </c>
      <c r="B81" s="1" t="s">
        <v>896</v>
      </c>
      <c r="C81" s="23" t="s">
        <v>1001</v>
      </c>
      <c r="D81" s="1">
        <v>74</v>
      </c>
      <c r="E81" s="23" t="s">
        <v>2</v>
      </c>
      <c r="F81" s="1" t="s">
        <v>37</v>
      </c>
      <c r="G81" s="3" t="s">
        <v>98</v>
      </c>
      <c r="H81" s="1" t="s">
        <v>897</v>
      </c>
      <c r="I81" s="1" t="s">
        <v>30</v>
      </c>
    </row>
    <row r="82" spans="1:9" x14ac:dyDescent="0.25">
      <c r="A82" s="1" t="s">
        <v>898</v>
      </c>
      <c r="B82" s="1" t="s">
        <v>899</v>
      </c>
      <c r="C82" s="23" t="s">
        <v>1002</v>
      </c>
      <c r="D82" s="1">
        <v>42</v>
      </c>
      <c r="E82" s="23" t="s">
        <v>2</v>
      </c>
      <c r="F82" s="1" t="s">
        <v>37</v>
      </c>
      <c r="G82" s="3" t="s">
        <v>98</v>
      </c>
      <c r="H82" s="1" t="s">
        <v>900</v>
      </c>
      <c r="I82" s="1" t="s">
        <v>30</v>
      </c>
    </row>
    <row r="83" spans="1:9" x14ac:dyDescent="0.25">
      <c r="A83" s="1" t="s">
        <v>904</v>
      </c>
      <c r="B83" s="1" t="s">
        <v>905</v>
      </c>
      <c r="C83" s="23" t="s">
        <v>1002</v>
      </c>
      <c r="D83" s="1">
        <v>58</v>
      </c>
      <c r="E83" s="23" t="s">
        <v>2</v>
      </c>
      <c r="F83" s="1" t="s">
        <v>37</v>
      </c>
      <c r="G83" s="3" t="s">
        <v>4</v>
      </c>
      <c r="H83" s="1" t="s">
        <v>906</v>
      </c>
      <c r="I83" s="1" t="s">
        <v>30</v>
      </c>
    </row>
    <row r="84" spans="1:9" x14ac:dyDescent="0.25">
      <c r="A84" s="1" t="s">
        <v>907</v>
      </c>
      <c r="B84" s="1" t="s">
        <v>1066</v>
      </c>
      <c r="C84" s="23" t="s">
        <v>1002</v>
      </c>
      <c r="D84" s="1">
        <v>44</v>
      </c>
      <c r="E84" s="23" t="s">
        <v>2</v>
      </c>
      <c r="F84" s="1" t="s">
        <v>37</v>
      </c>
      <c r="G84" s="3" t="s">
        <v>10</v>
      </c>
      <c r="H84" s="1" t="s">
        <v>908</v>
      </c>
      <c r="I84" s="1" t="s">
        <v>6</v>
      </c>
    </row>
    <row r="85" spans="1:9" x14ac:dyDescent="0.25">
      <c r="A85" s="1" t="s">
        <v>917</v>
      </c>
      <c r="B85" s="1" t="s">
        <v>918</v>
      </c>
      <c r="C85" s="23" t="s">
        <v>1002</v>
      </c>
      <c r="D85" s="1">
        <v>72</v>
      </c>
      <c r="E85" s="23" t="s">
        <v>2</v>
      </c>
      <c r="F85" s="1" t="s">
        <v>37</v>
      </c>
      <c r="G85" s="3" t="s">
        <v>207</v>
      </c>
      <c r="H85" s="1" t="s">
        <v>919</v>
      </c>
      <c r="I85" s="1" t="s">
        <v>30</v>
      </c>
    </row>
    <row r="86" spans="1:9" x14ac:dyDescent="0.25">
      <c r="A86" s="1" t="s">
        <v>926</v>
      </c>
      <c r="B86" s="1" t="s">
        <v>927</v>
      </c>
      <c r="C86" s="23" t="s">
        <v>1001</v>
      </c>
      <c r="D86" s="1">
        <v>42</v>
      </c>
      <c r="E86" s="23" t="s">
        <v>2</v>
      </c>
      <c r="F86" s="1" t="s">
        <v>37</v>
      </c>
      <c r="G86" s="3" t="s">
        <v>10</v>
      </c>
      <c r="H86" s="1" t="s">
        <v>928</v>
      </c>
      <c r="I86" s="1" t="s">
        <v>6</v>
      </c>
    </row>
    <row r="87" spans="1:9" x14ac:dyDescent="0.25">
      <c r="A87" s="1" t="s">
        <v>929</v>
      </c>
      <c r="B87" s="1" t="s">
        <v>930</v>
      </c>
      <c r="C87" s="23" t="s">
        <v>1002</v>
      </c>
      <c r="D87" s="1">
        <v>64</v>
      </c>
      <c r="E87" s="23" t="s">
        <v>2</v>
      </c>
      <c r="F87" s="1" t="s">
        <v>37</v>
      </c>
      <c r="G87" s="3" t="s">
        <v>10</v>
      </c>
      <c r="H87" s="1" t="s">
        <v>931</v>
      </c>
      <c r="I87" s="1" t="s">
        <v>6</v>
      </c>
    </row>
    <row r="88" spans="1:9" x14ac:dyDescent="0.25">
      <c r="A88" s="1" t="s">
        <v>932</v>
      </c>
      <c r="B88" s="1" t="s">
        <v>933</v>
      </c>
      <c r="C88" s="23" t="s">
        <v>1002</v>
      </c>
      <c r="D88" s="1">
        <v>64</v>
      </c>
      <c r="E88" s="23" t="s">
        <v>2</v>
      </c>
      <c r="F88" s="1" t="s">
        <v>37</v>
      </c>
      <c r="G88" s="3" t="s">
        <v>10</v>
      </c>
      <c r="H88" s="1" t="s">
        <v>934</v>
      </c>
      <c r="I88" s="1" t="s">
        <v>6</v>
      </c>
    </row>
    <row r="89" spans="1:9" x14ac:dyDescent="0.25">
      <c r="A89" s="1" t="s">
        <v>935</v>
      </c>
      <c r="B89" s="1" t="s">
        <v>936</v>
      </c>
      <c r="C89" s="23" t="s">
        <v>1001</v>
      </c>
      <c r="D89" s="1">
        <v>74</v>
      </c>
      <c r="E89" s="23" t="s">
        <v>2</v>
      </c>
      <c r="F89" s="1" t="s">
        <v>37</v>
      </c>
      <c r="G89" s="3" t="s">
        <v>4</v>
      </c>
      <c r="H89" s="1"/>
      <c r="I89" s="3" t="s">
        <v>11</v>
      </c>
    </row>
    <row r="90" spans="1:9" x14ac:dyDescent="0.25">
      <c r="A90" s="1" t="s">
        <v>937</v>
      </c>
      <c r="B90" s="25" t="s">
        <v>938</v>
      </c>
      <c r="C90" s="23" t="s">
        <v>1002</v>
      </c>
      <c r="D90" s="1">
        <v>58</v>
      </c>
      <c r="E90" s="23" t="s">
        <v>2</v>
      </c>
      <c r="F90" s="1" t="s">
        <v>37</v>
      </c>
      <c r="G90" s="3" t="s">
        <v>116</v>
      </c>
      <c r="H90" s="1" t="s">
        <v>939</v>
      </c>
      <c r="I90" s="1" t="s">
        <v>30</v>
      </c>
    </row>
    <row r="91" spans="1:9" x14ac:dyDescent="0.25">
      <c r="A91" s="1" t="s">
        <v>943</v>
      </c>
      <c r="B91" s="1" t="s">
        <v>1070</v>
      </c>
      <c r="C91" s="23" t="s">
        <v>1002</v>
      </c>
      <c r="D91" s="1">
        <v>70</v>
      </c>
      <c r="E91" s="23" t="s">
        <v>2</v>
      </c>
      <c r="F91" s="1" t="s">
        <v>37</v>
      </c>
      <c r="G91" s="3" t="s">
        <v>10</v>
      </c>
      <c r="H91" s="1"/>
      <c r="I91" s="3" t="s">
        <v>89</v>
      </c>
    </row>
    <row r="92" spans="1:9" x14ac:dyDescent="0.25">
      <c r="A92" s="1" t="s">
        <v>944</v>
      </c>
      <c r="B92" s="1" t="s">
        <v>945</v>
      </c>
      <c r="C92" s="23" t="s">
        <v>1002</v>
      </c>
      <c r="D92" s="1">
        <v>68</v>
      </c>
      <c r="E92" s="23" t="s">
        <v>2</v>
      </c>
      <c r="F92" s="1" t="s">
        <v>37</v>
      </c>
      <c r="G92" s="3" t="s">
        <v>4</v>
      </c>
      <c r="H92" s="1" t="s">
        <v>946</v>
      </c>
      <c r="I92" s="1" t="s">
        <v>30</v>
      </c>
    </row>
    <row r="93" spans="1:9" x14ac:dyDescent="0.25">
      <c r="A93" s="1" t="s">
        <v>951</v>
      </c>
      <c r="B93" s="1" t="s">
        <v>952</v>
      </c>
      <c r="C93" s="23" t="s">
        <v>1002</v>
      </c>
      <c r="D93" s="1">
        <v>80</v>
      </c>
      <c r="E93" s="23" t="s">
        <v>2</v>
      </c>
      <c r="F93" s="1" t="s">
        <v>37</v>
      </c>
      <c r="G93" s="3" t="s">
        <v>10</v>
      </c>
      <c r="H93" s="1" t="s">
        <v>953</v>
      </c>
      <c r="I93" s="1" t="s">
        <v>30</v>
      </c>
    </row>
    <row r="94" spans="1:9" x14ac:dyDescent="0.25">
      <c r="A94" s="1" t="s">
        <v>967</v>
      </c>
      <c r="B94" s="1" t="s">
        <v>968</v>
      </c>
      <c r="C94" s="23" t="s">
        <v>1002</v>
      </c>
      <c r="D94" s="1">
        <v>64</v>
      </c>
      <c r="E94" s="23" t="s">
        <v>2</v>
      </c>
      <c r="F94" s="1" t="s">
        <v>37</v>
      </c>
      <c r="G94" s="3" t="s">
        <v>10</v>
      </c>
      <c r="H94" s="1" t="s">
        <v>969</v>
      </c>
      <c r="I94" s="1" t="s">
        <v>6</v>
      </c>
    </row>
    <row r="95" spans="1:9" x14ac:dyDescent="0.25">
      <c r="A95" s="1" t="s">
        <v>970</v>
      </c>
      <c r="B95" s="1" t="s">
        <v>971</v>
      </c>
      <c r="C95" s="23" t="s">
        <v>1002</v>
      </c>
      <c r="D95" s="1">
        <v>46</v>
      </c>
      <c r="E95" s="23" t="s">
        <v>2</v>
      </c>
      <c r="F95" s="1" t="s">
        <v>37</v>
      </c>
      <c r="G95" s="3" t="s">
        <v>10</v>
      </c>
      <c r="H95" s="1"/>
      <c r="I95" s="3" t="s">
        <v>113</v>
      </c>
    </row>
    <row r="96" spans="1:9" x14ac:dyDescent="0.25">
      <c r="A96" s="1" t="s">
        <v>982</v>
      </c>
      <c r="B96" s="1" t="s">
        <v>983</v>
      </c>
      <c r="C96" s="23" t="s">
        <v>1002</v>
      </c>
      <c r="D96" s="1">
        <v>70</v>
      </c>
      <c r="E96" s="23" t="s">
        <v>2</v>
      </c>
      <c r="F96" s="1" t="s">
        <v>37</v>
      </c>
      <c r="G96" s="3" t="s">
        <v>10</v>
      </c>
      <c r="H96" s="1" t="s">
        <v>984</v>
      </c>
      <c r="I96" s="1" t="s">
        <v>30</v>
      </c>
    </row>
    <row r="97" spans="1:9" x14ac:dyDescent="0.25">
      <c r="A97" s="1" t="s">
        <v>988</v>
      </c>
      <c r="B97" s="1" t="s">
        <v>989</v>
      </c>
      <c r="C97" s="23" t="s">
        <v>1002</v>
      </c>
      <c r="D97" s="1">
        <v>70</v>
      </c>
      <c r="E97" s="23" t="s">
        <v>2</v>
      </c>
      <c r="F97" s="1" t="s">
        <v>37</v>
      </c>
      <c r="G97" s="3" t="s">
        <v>119</v>
      </c>
      <c r="H97" s="1" t="s">
        <v>990</v>
      </c>
      <c r="I97" s="1" t="s">
        <v>30</v>
      </c>
    </row>
    <row r="98" spans="1:9" x14ac:dyDescent="0.25">
      <c r="A98" s="1" t="s">
        <v>7</v>
      </c>
      <c r="B98" s="1" t="s">
        <v>8</v>
      </c>
      <c r="C98" s="23" t="s">
        <v>1002</v>
      </c>
      <c r="D98" s="1">
        <v>54</v>
      </c>
      <c r="E98" s="23" t="s">
        <v>2</v>
      </c>
      <c r="F98" s="1" t="s">
        <v>9</v>
      </c>
      <c r="G98" s="3" t="s">
        <v>10</v>
      </c>
      <c r="H98" s="1"/>
      <c r="I98" s="3" t="s">
        <v>11</v>
      </c>
    </row>
    <row r="99" spans="1:9" x14ac:dyDescent="0.25">
      <c r="A99" s="1" t="s">
        <v>17</v>
      </c>
      <c r="B99" s="1" t="s">
        <v>18</v>
      </c>
      <c r="C99" s="23" t="s">
        <v>1001</v>
      </c>
      <c r="D99" s="1">
        <v>42</v>
      </c>
      <c r="E99" s="23" t="s">
        <v>2</v>
      </c>
      <c r="F99" s="1" t="s">
        <v>9</v>
      </c>
      <c r="G99" s="3" t="s">
        <v>10</v>
      </c>
      <c r="H99" s="1" t="s">
        <v>19</v>
      </c>
      <c r="I99" s="1" t="s">
        <v>6</v>
      </c>
    </row>
    <row r="100" spans="1:9" x14ac:dyDescent="0.25">
      <c r="A100" s="1" t="s">
        <v>26</v>
      </c>
      <c r="B100" s="1" t="s">
        <v>27</v>
      </c>
      <c r="C100" s="23" t="s">
        <v>1001</v>
      </c>
      <c r="D100" s="1">
        <v>74</v>
      </c>
      <c r="E100" s="23" t="s">
        <v>2</v>
      </c>
      <c r="F100" s="1" t="s">
        <v>9</v>
      </c>
      <c r="G100" s="3" t="s">
        <v>28</v>
      </c>
      <c r="H100" s="1" t="s">
        <v>29</v>
      </c>
      <c r="I100" s="1" t="s">
        <v>30</v>
      </c>
    </row>
    <row r="101" spans="1:9" x14ac:dyDescent="0.25">
      <c r="A101" s="1" t="s">
        <v>31</v>
      </c>
      <c r="B101" s="1" t="s">
        <v>32</v>
      </c>
      <c r="C101" s="23" t="s">
        <v>1001</v>
      </c>
      <c r="D101" s="1">
        <v>52</v>
      </c>
      <c r="E101" s="23" t="s">
        <v>2</v>
      </c>
      <c r="F101" s="1" t="s">
        <v>9</v>
      </c>
      <c r="G101" s="3" t="s">
        <v>33</v>
      </c>
      <c r="H101" s="1" t="s">
        <v>34</v>
      </c>
      <c r="I101" s="1" t="s">
        <v>30</v>
      </c>
    </row>
    <row r="102" spans="1:9" x14ac:dyDescent="0.25">
      <c r="A102" s="1" t="s">
        <v>39</v>
      </c>
      <c r="B102" s="1" t="s">
        <v>40</v>
      </c>
      <c r="C102" s="23" t="s">
        <v>1001</v>
      </c>
      <c r="D102" s="1">
        <v>38</v>
      </c>
      <c r="E102" s="23" t="s">
        <v>2</v>
      </c>
      <c r="F102" s="1" t="s">
        <v>9</v>
      </c>
      <c r="G102" s="3" t="s">
        <v>10</v>
      </c>
      <c r="H102" s="1" t="s">
        <v>41</v>
      </c>
      <c r="I102" s="1" t="s">
        <v>6</v>
      </c>
    </row>
    <row r="103" spans="1:9" x14ac:dyDescent="0.25">
      <c r="A103" s="1" t="s">
        <v>50</v>
      </c>
      <c r="B103" s="1" t="s">
        <v>51</v>
      </c>
      <c r="C103" s="23" t="s">
        <v>1001</v>
      </c>
      <c r="D103" s="1">
        <v>40</v>
      </c>
      <c r="E103" s="23" t="s">
        <v>2</v>
      </c>
      <c r="F103" s="1" t="s">
        <v>9</v>
      </c>
      <c r="G103" s="3" t="s">
        <v>28</v>
      </c>
      <c r="H103" s="1" t="s">
        <v>52</v>
      </c>
      <c r="I103" s="1" t="s">
        <v>30</v>
      </c>
    </row>
    <row r="104" spans="1:9" x14ac:dyDescent="0.25">
      <c r="A104" s="1" t="s">
        <v>58</v>
      </c>
      <c r="B104" s="1" t="s">
        <v>59</v>
      </c>
      <c r="C104" s="23" t="s">
        <v>1002</v>
      </c>
      <c r="D104" s="1">
        <v>38</v>
      </c>
      <c r="E104" s="23" t="s">
        <v>2</v>
      </c>
      <c r="F104" s="1" t="s">
        <v>9</v>
      </c>
      <c r="G104" s="3" t="s">
        <v>10</v>
      </c>
      <c r="H104" s="1" t="s">
        <v>60</v>
      </c>
      <c r="I104" s="1" t="s">
        <v>6</v>
      </c>
    </row>
    <row r="105" spans="1:9" x14ac:dyDescent="0.25">
      <c r="A105" s="1" t="s">
        <v>61</v>
      </c>
      <c r="B105" s="1" t="s">
        <v>62</v>
      </c>
      <c r="C105" s="23" t="s">
        <v>1002</v>
      </c>
      <c r="D105" s="1">
        <v>66</v>
      </c>
      <c r="E105" s="23" t="s">
        <v>2</v>
      </c>
      <c r="F105" s="1" t="s">
        <v>9</v>
      </c>
      <c r="G105" s="3" t="s">
        <v>63</v>
      </c>
      <c r="H105" s="1" t="s">
        <v>64</v>
      </c>
      <c r="I105" s="1" t="s">
        <v>6</v>
      </c>
    </row>
    <row r="106" spans="1:9" x14ac:dyDescent="0.25">
      <c r="A106" s="1" t="s">
        <v>68</v>
      </c>
      <c r="B106" s="1" t="s">
        <v>69</v>
      </c>
      <c r="C106" s="23" t="s">
        <v>1001</v>
      </c>
      <c r="D106" s="1">
        <v>50</v>
      </c>
      <c r="E106" s="23" t="s">
        <v>2</v>
      </c>
      <c r="F106" s="1" t="s">
        <v>9</v>
      </c>
      <c r="G106" s="3" t="s">
        <v>4</v>
      </c>
      <c r="H106" s="1"/>
      <c r="I106" s="3" t="s">
        <v>70</v>
      </c>
    </row>
    <row r="107" spans="1:9" x14ac:dyDescent="0.25">
      <c r="A107" s="1" t="s">
        <v>71</v>
      </c>
      <c r="B107" s="1" t="s">
        <v>1034</v>
      </c>
      <c r="C107" s="23" t="s">
        <v>1001</v>
      </c>
      <c r="D107" s="1">
        <v>70</v>
      </c>
      <c r="E107" s="23" t="s">
        <v>2</v>
      </c>
      <c r="F107" s="1" t="s">
        <v>9</v>
      </c>
      <c r="G107" s="3" t="s">
        <v>10</v>
      </c>
      <c r="H107" s="1" t="s">
        <v>72</v>
      </c>
      <c r="I107" s="1" t="s">
        <v>30</v>
      </c>
    </row>
    <row r="108" spans="1:9" x14ac:dyDescent="0.25">
      <c r="A108" s="1" t="s">
        <v>76</v>
      </c>
      <c r="B108" s="1" t="s">
        <v>77</v>
      </c>
      <c r="C108" s="23" t="s">
        <v>1002</v>
      </c>
      <c r="D108" s="1">
        <v>36</v>
      </c>
      <c r="E108" s="23" t="s">
        <v>2</v>
      </c>
      <c r="F108" s="1" t="s">
        <v>9</v>
      </c>
      <c r="G108" s="3" t="s">
        <v>4</v>
      </c>
      <c r="H108" s="1" t="s">
        <v>78</v>
      </c>
      <c r="I108" s="1" t="s">
        <v>6</v>
      </c>
    </row>
    <row r="109" spans="1:9" x14ac:dyDescent="0.25">
      <c r="A109" s="1" t="s">
        <v>82</v>
      </c>
      <c r="B109" s="1" t="s">
        <v>83</v>
      </c>
      <c r="C109" s="23" t="s">
        <v>1001</v>
      </c>
      <c r="D109" s="1">
        <v>64</v>
      </c>
      <c r="E109" s="23" t="s">
        <v>2</v>
      </c>
      <c r="F109" s="1" t="s">
        <v>9</v>
      </c>
      <c r="G109" s="3" t="s">
        <v>10</v>
      </c>
      <c r="H109" s="1"/>
      <c r="I109" s="3" t="s">
        <v>70</v>
      </c>
    </row>
    <row r="110" spans="1:9" x14ac:dyDescent="0.25">
      <c r="A110" s="1" t="s">
        <v>84</v>
      </c>
      <c r="B110" s="1" t="s">
        <v>85</v>
      </c>
      <c r="C110" s="23" t="s">
        <v>1002</v>
      </c>
      <c r="D110" s="1">
        <v>46</v>
      </c>
      <c r="E110" s="23" t="s">
        <v>2</v>
      </c>
      <c r="F110" s="1" t="s">
        <v>9</v>
      </c>
      <c r="G110" s="3" t="s">
        <v>10</v>
      </c>
      <c r="H110" s="1" t="s">
        <v>86</v>
      </c>
      <c r="I110" s="1" t="s">
        <v>6</v>
      </c>
    </row>
    <row r="111" spans="1:9" x14ac:dyDescent="0.25">
      <c r="A111" s="1" t="s">
        <v>87</v>
      </c>
      <c r="B111" s="1" t="s">
        <v>88</v>
      </c>
      <c r="C111" s="23" t="s">
        <v>1002</v>
      </c>
      <c r="D111" s="1">
        <v>40</v>
      </c>
      <c r="E111" s="23" t="s">
        <v>2</v>
      </c>
      <c r="F111" s="1" t="s">
        <v>9</v>
      </c>
      <c r="G111" s="3" t="s">
        <v>4</v>
      </c>
      <c r="H111" s="1"/>
      <c r="I111" s="3" t="s">
        <v>89</v>
      </c>
    </row>
    <row r="112" spans="1:9" x14ac:dyDescent="0.25">
      <c r="A112" s="1" t="s">
        <v>90</v>
      </c>
      <c r="B112" s="1" t="s">
        <v>91</v>
      </c>
      <c r="C112" s="23" t="s">
        <v>1001</v>
      </c>
      <c r="D112" s="1">
        <v>42</v>
      </c>
      <c r="E112" s="23" t="s">
        <v>2</v>
      </c>
      <c r="F112" s="1" t="s">
        <v>9</v>
      </c>
      <c r="G112" s="3" t="s">
        <v>10</v>
      </c>
      <c r="H112" s="1" t="s">
        <v>92</v>
      </c>
      <c r="I112" s="1" t="s">
        <v>6</v>
      </c>
    </row>
    <row r="113" spans="1:9" x14ac:dyDescent="0.25">
      <c r="A113" s="1" t="s">
        <v>96</v>
      </c>
      <c r="B113" s="1" t="s">
        <v>97</v>
      </c>
      <c r="C113" s="23" t="s">
        <v>1002</v>
      </c>
      <c r="D113" s="1">
        <v>38</v>
      </c>
      <c r="E113" s="23" t="s">
        <v>2</v>
      </c>
      <c r="F113" s="1" t="s">
        <v>9</v>
      </c>
      <c r="G113" s="3" t="s">
        <v>98</v>
      </c>
      <c r="H113" s="1" t="s">
        <v>99</v>
      </c>
      <c r="I113" s="1" t="s">
        <v>30</v>
      </c>
    </row>
    <row r="114" spans="1:9" x14ac:dyDescent="0.25">
      <c r="A114" s="1" t="s">
        <v>100</v>
      </c>
      <c r="B114" s="1" t="s">
        <v>101</v>
      </c>
      <c r="C114" s="23" t="s">
        <v>1001</v>
      </c>
      <c r="D114" s="1">
        <v>40</v>
      </c>
      <c r="E114" s="23" t="s">
        <v>2</v>
      </c>
      <c r="F114" s="1" t="s">
        <v>9</v>
      </c>
      <c r="G114" s="3" t="s">
        <v>28</v>
      </c>
      <c r="H114" s="1" t="s">
        <v>102</v>
      </c>
      <c r="I114" s="1" t="s">
        <v>6</v>
      </c>
    </row>
    <row r="115" spans="1:9" x14ac:dyDescent="0.25">
      <c r="A115" s="1" t="s">
        <v>106</v>
      </c>
      <c r="B115" s="1" t="s">
        <v>1035</v>
      </c>
      <c r="C115" s="23" t="s">
        <v>1001</v>
      </c>
      <c r="D115" s="1">
        <v>42</v>
      </c>
      <c r="E115" s="23" t="s">
        <v>2</v>
      </c>
      <c r="F115" s="1" t="s">
        <v>9</v>
      </c>
      <c r="G115" s="3" t="s">
        <v>28</v>
      </c>
      <c r="H115" s="1" t="s">
        <v>107</v>
      </c>
      <c r="I115" s="1" t="s">
        <v>6</v>
      </c>
    </row>
    <row r="116" spans="1:9" x14ac:dyDescent="0.25">
      <c r="A116" s="1" t="s">
        <v>121</v>
      </c>
      <c r="B116" s="1" t="s">
        <v>122</v>
      </c>
      <c r="C116" s="23" t="s">
        <v>1002</v>
      </c>
      <c r="D116" s="1">
        <v>62</v>
      </c>
      <c r="E116" s="23" t="s">
        <v>2</v>
      </c>
      <c r="F116" s="1" t="s">
        <v>9</v>
      </c>
      <c r="G116" s="3" t="s">
        <v>10</v>
      </c>
      <c r="H116" s="1" t="s">
        <v>123</v>
      </c>
      <c r="I116" s="1" t="s">
        <v>6</v>
      </c>
    </row>
    <row r="117" spans="1:9" x14ac:dyDescent="0.25">
      <c r="A117" s="1" t="s">
        <v>124</v>
      </c>
      <c r="B117" s="1" t="s">
        <v>125</v>
      </c>
      <c r="C117" s="23" t="s">
        <v>1002</v>
      </c>
      <c r="D117" s="1">
        <v>80</v>
      </c>
      <c r="E117" s="23" t="s">
        <v>2</v>
      </c>
      <c r="F117" s="1" t="s">
        <v>9</v>
      </c>
      <c r="G117" s="3" t="s">
        <v>4</v>
      </c>
      <c r="H117" s="1" t="s">
        <v>126</v>
      </c>
      <c r="I117" s="1" t="s">
        <v>6</v>
      </c>
    </row>
    <row r="118" spans="1:9" x14ac:dyDescent="0.25">
      <c r="A118" s="1" t="s">
        <v>131</v>
      </c>
      <c r="B118" s="1" t="s">
        <v>132</v>
      </c>
      <c r="C118" s="23" t="s">
        <v>1002</v>
      </c>
      <c r="D118" s="1">
        <v>44</v>
      </c>
      <c r="E118" s="23" t="s">
        <v>2</v>
      </c>
      <c r="F118" s="1" t="s">
        <v>9</v>
      </c>
      <c r="G118" s="3" t="s">
        <v>4</v>
      </c>
      <c r="H118" s="1"/>
      <c r="I118" s="3" t="s">
        <v>113</v>
      </c>
    </row>
    <row r="119" spans="1:9" x14ac:dyDescent="0.25">
      <c r="A119" s="1" t="s">
        <v>139</v>
      </c>
      <c r="B119" s="1" t="s">
        <v>140</v>
      </c>
      <c r="C119" s="23" t="s">
        <v>1001</v>
      </c>
      <c r="D119" s="1">
        <v>40</v>
      </c>
      <c r="E119" s="23" t="s">
        <v>2</v>
      </c>
      <c r="F119" s="1" t="s">
        <v>9</v>
      </c>
      <c r="G119" s="3" t="s">
        <v>10</v>
      </c>
      <c r="H119" s="1" t="s">
        <v>141</v>
      </c>
      <c r="I119" s="1" t="s">
        <v>6</v>
      </c>
    </row>
    <row r="120" spans="1:9" x14ac:dyDescent="0.25">
      <c r="A120" s="1" t="s">
        <v>142</v>
      </c>
      <c r="B120" s="1" t="s">
        <v>1036</v>
      </c>
      <c r="C120" s="23" t="s">
        <v>1001</v>
      </c>
      <c r="D120" s="1">
        <v>64</v>
      </c>
      <c r="E120" s="23" t="s">
        <v>2</v>
      </c>
      <c r="F120" s="1" t="s">
        <v>9</v>
      </c>
      <c r="G120" s="3" t="s">
        <v>24</v>
      </c>
      <c r="H120" s="1"/>
      <c r="I120" s="3" t="s">
        <v>89</v>
      </c>
    </row>
    <row r="121" spans="1:9" x14ac:dyDescent="0.25">
      <c r="A121" s="1" t="s">
        <v>143</v>
      </c>
      <c r="B121" s="1" t="s">
        <v>144</v>
      </c>
      <c r="C121" s="23" t="s">
        <v>1001</v>
      </c>
      <c r="D121" s="1">
        <v>46</v>
      </c>
      <c r="E121" s="23" t="s">
        <v>2</v>
      </c>
      <c r="F121" s="1" t="s">
        <v>9</v>
      </c>
      <c r="G121" s="3" t="s">
        <v>129</v>
      </c>
      <c r="H121" s="1" t="s">
        <v>145</v>
      </c>
      <c r="I121" s="1" t="s">
        <v>6</v>
      </c>
    </row>
    <row r="122" spans="1:9" x14ac:dyDescent="0.25">
      <c r="A122" s="1" t="s">
        <v>148</v>
      </c>
      <c r="B122" s="1" t="s">
        <v>149</v>
      </c>
      <c r="C122" s="23" t="s">
        <v>1002</v>
      </c>
      <c r="D122" s="1">
        <v>36</v>
      </c>
      <c r="E122" s="23" t="s">
        <v>2</v>
      </c>
      <c r="F122" s="1" t="s">
        <v>9</v>
      </c>
      <c r="G122" s="3" t="s">
        <v>10</v>
      </c>
      <c r="H122" s="1" t="s">
        <v>150</v>
      </c>
      <c r="I122" s="1" t="s">
        <v>6</v>
      </c>
    </row>
    <row r="123" spans="1:9" x14ac:dyDescent="0.25">
      <c r="A123" s="1" t="s">
        <v>154</v>
      </c>
      <c r="B123" s="1" t="s">
        <v>1037</v>
      </c>
      <c r="C123" s="23" t="s">
        <v>1002</v>
      </c>
      <c r="D123" s="1">
        <v>56</v>
      </c>
      <c r="E123" s="23" t="s">
        <v>2</v>
      </c>
      <c r="F123" s="1" t="s">
        <v>9</v>
      </c>
      <c r="G123" s="3" t="s">
        <v>155</v>
      </c>
      <c r="H123" s="1"/>
      <c r="I123" s="3" t="s">
        <v>89</v>
      </c>
    </row>
    <row r="124" spans="1:9" x14ac:dyDescent="0.25">
      <c r="A124" s="1" t="s">
        <v>159</v>
      </c>
      <c r="B124" s="1" t="s">
        <v>160</v>
      </c>
      <c r="C124" s="23" t="s">
        <v>1001</v>
      </c>
      <c r="D124" s="1">
        <v>52</v>
      </c>
      <c r="E124" s="23" t="s">
        <v>2</v>
      </c>
      <c r="F124" s="1" t="s">
        <v>9</v>
      </c>
      <c r="G124" s="3" t="s">
        <v>161</v>
      </c>
      <c r="H124" s="1" t="s">
        <v>162</v>
      </c>
      <c r="I124" s="1" t="s">
        <v>30</v>
      </c>
    </row>
    <row r="125" spans="1:9" x14ac:dyDescent="0.25">
      <c r="A125" s="1" t="s">
        <v>163</v>
      </c>
      <c r="B125" s="1" t="s">
        <v>164</v>
      </c>
      <c r="C125" s="23" t="s">
        <v>1001</v>
      </c>
      <c r="D125" s="1">
        <v>38</v>
      </c>
      <c r="E125" s="23" t="s">
        <v>2</v>
      </c>
      <c r="F125" s="1" t="s">
        <v>9</v>
      </c>
      <c r="G125" s="3" t="s">
        <v>10</v>
      </c>
      <c r="H125" s="1" t="s">
        <v>165</v>
      </c>
      <c r="I125" s="1" t="s">
        <v>6</v>
      </c>
    </row>
    <row r="126" spans="1:9" x14ac:dyDescent="0.25">
      <c r="A126" s="1" t="s">
        <v>200</v>
      </c>
      <c r="B126" s="1" t="s">
        <v>201</v>
      </c>
      <c r="C126" s="23" t="s">
        <v>1002</v>
      </c>
      <c r="D126" s="1">
        <v>84</v>
      </c>
      <c r="E126" s="23" t="s">
        <v>2</v>
      </c>
      <c r="F126" s="1" t="s">
        <v>9</v>
      </c>
      <c r="G126" s="3" t="s">
        <v>10</v>
      </c>
      <c r="H126" s="1"/>
      <c r="I126" s="3" t="s">
        <v>11</v>
      </c>
    </row>
    <row r="127" spans="1:9" x14ac:dyDescent="0.25">
      <c r="A127" s="1" t="s">
        <v>202</v>
      </c>
      <c r="B127" s="1" t="s">
        <v>203</v>
      </c>
      <c r="C127" s="23" t="s">
        <v>1002</v>
      </c>
      <c r="D127" s="1">
        <v>50</v>
      </c>
      <c r="E127" s="23" t="s">
        <v>2</v>
      </c>
      <c r="F127" s="1" t="s">
        <v>9</v>
      </c>
      <c r="G127" s="3" t="s">
        <v>119</v>
      </c>
      <c r="H127" s="1" t="s">
        <v>204</v>
      </c>
      <c r="I127" s="1" t="s">
        <v>30</v>
      </c>
    </row>
    <row r="128" spans="1:9" x14ac:dyDescent="0.25">
      <c r="A128" s="1" t="s">
        <v>213</v>
      </c>
      <c r="B128" s="1" t="s">
        <v>1040</v>
      </c>
      <c r="C128" s="23" t="s">
        <v>1002</v>
      </c>
      <c r="D128" s="1">
        <v>80</v>
      </c>
      <c r="E128" s="23" t="s">
        <v>2</v>
      </c>
      <c r="F128" s="1" t="s">
        <v>9</v>
      </c>
      <c r="G128" s="3" t="s">
        <v>4</v>
      </c>
      <c r="H128" s="1"/>
      <c r="I128" s="3" t="s">
        <v>11</v>
      </c>
    </row>
    <row r="129" spans="1:9" x14ac:dyDescent="0.25">
      <c r="A129" s="1" t="s">
        <v>233</v>
      </c>
      <c r="B129" s="1" t="s">
        <v>234</v>
      </c>
      <c r="C129" s="23" t="s">
        <v>1001</v>
      </c>
      <c r="D129" s="1">
        <v>36</v>
      </c>
      <c r="E129" s="23" t="s">
        <v>2</v>
      </c>
      <c r="F129" s="1" t="s">
        <v>9</v>
      </c>
      <c r="G129" s="3" t="s">
        <v>10</v>
      </c>
      <c r="H129" s="1" t="s">
        <v>235</v>
      </c>
      <c r="I129" s="1" t="s">
        <v>6</v>
      </c>
    </row>
    <row r="130" spans="1:9" x14ac:dyDescent="0.25">
      <c r="A130" s="1" t="s">
        <v>246</v>
      </c>
      <c r="B130" s="1" t="s">
        <v>247</v>
      </c>
      <c r="C130" s="23" t="s">
        <v>1002</v>
      </c>
      <c r="D130" s="1">
        <v>54</v>
      </c>
      <c r="E130" s="23" t="s">
        <v>2</v>
      </c>
      <c r="F130" s="1" t="s">
        <v>9</v>
      </c>
      <c r="G130" s="3" t="s">
        <v>28</v>
      </c>
      <c r="H130" s="1" t="s">
        <v>248</v>
      </c>
      <c r="I130" s="1" t="s">
        <v>30</v>
      </c>
    </row>
    <row r="131" spans="1:9" x14ac:dyDescent="0.25">
      <c r="A131" s="1" t="s">
        <v>249</v>
      </c>
      <c r="B131" s="1" t="s">
        <v>250</v>
      </c>
      <c r="C131" s="23" t="s">
        <v>1002</v>
      </c>
      <c r="D131" s="1">
        <v>56</v>
      </c>
      <c r="E131" s="23" t="s">
        <v>2</v>
      </c>
      <c r="F131" s="1" t="s">
        <v>9</v>
      </c>
      <c r="G131" s="3" t="s">
        <v>4</v>
      </c>
      <c r="H131" s="1"/>
      <c r="I131" s="3" t="s">
        <v>11</v>
      </c>
    </row>
    <row r="132" spans="1:9" x14ac:dyDescent="0.25">
      <c r="A132" s="1" t="s">
        <v>251</v>
      </c>
      <c r="B132" s="1" t="s">
        <v>252</v>
      </c>
      <c r="C132" s="23" t="s">
        <v>1002</v>
      </c>
      <c r="D132" s="1">
        <v>34</v>
      </c>
      <c r="E132" s="23" t="s">
        <v>2</v>
      </c>
      <c r="F132" s="1" t="s">
        <v>9</v>
      </c>
      <c r="G132" s="3" t="s">
        <v>10</v>
      </c>
      <c r="H132" s="1"/>
      <c r="I132" s="3" t="s">
        <v>153</v>
      </c>
    </row>
    <row r="133" spans="1:9" x14ac:dyDescent="0.25">
      <c r="A133" s="1" t="s">
        <v>268</v>
      </c>
      <c r="B133" s="1" t="s">
        <v>269</v>
      </c>
      <c r="C133" s="23" t="s">
        <v>1001</v>
      </c>
      <c r="D133" s="1">
        <v>40</v>
      </c>
      <c r="E133" s="23" t="s">
        <v>2</v>
      </c>
      <c r="F133" s="1" t="s">
        <v>9</v>
      </c>
      <c r="G133" s="3" t="s">
        <v>28</v>
      </c>
      <c r="H133" s="1" t="s">
        <v>270</v>
      </c>
      <c r="I133" s="1" t="s">
        <v>30</v>
      </c>
    </row>
    <row r="134" spans="1:9" x14ac:dyDescent="0.25">
      <c r="A134" s="1" t="s">
        <v>271</v>
      </c>
      <c r="B134" s="1" t="s">
        <v>272</v>
      </c>
      <c r="C134" s="23" t="s">
        <v>1001</v>
      </c>
      <c r="D134" s="1">
        <v>56</v>
      </c>
      <c r="E134" s="23" t="s">
        <v>2</v>
      </c>
      <c r="F134" s="1" t="s">
        <v>9</v>
      </c>
      <c r="G134" s="3" t="s">
        <v>273</v>
      </c>
      <c r="H134" s="1"/>
      <c r="I134" s="3" t="s">
        <v>89</v>
      </c>
    </row>
    <row r="135" spans="1:9" x14ac:dyDescent="0.25">
      <c r="A135" s="1" t="s">
        <v>274</v>
      </c>
      <c r="B135" s="1" t="s">
        <v>275</v>
      </c>
      <c r="C135" s="23" t="s">
        <v>1002</v>
      </c>
      <c r="D135" s="1">
        <v>46</v>
      </c>
      <c r="E135" s="23" t="s">
        <v>2</v>
      </c>
      <c r="F135" s="1" t="s">
        <v>9</v>
      </c>
      <c r="G135" s="3" t="s">
        <v>116</v>
      </c>
      <c r="H135" s="1"/>
      <c r="I135" s="3" t="s">
        <v>89</v>
      </c>
    </row>
    <row r="136" spans="1:9" x14ac:dyDescent="0.25">
      <c r="A136" s="1" t="s">
        <v>278</v>
      </c>
      <c r="B136" s="1" t="s">
        <v>279</v>
      </c>
      <c r="C136" s="23" t="s">
        <v>1001</v>
      </c>
      <c r="D136" s="1">
        <v>46</v>
      </c>
      <c r="E136" s="23" t="s">
        <v>2</v>
      </c>
      <c r="F136" s="1" t="s">
        <v>9</v>
      </c>
      <c r="G136" s="3" t="s">
        <v>129</v>
      </c>
      <c r="H136" s="1" t="s">
        <v>280</v>
      </c>
      <c r="I136" s="1" t="s">
        <v>6</v>
      </c>
    </row>
    <row r="137" spans="1:9" x14ac:dyDescent="0.25">
      <c r="A137" s="1" t="s">
        <v>281</v>
      </c>
      <c r="B137" s="1" t="s">
        <v>282</v>
      </c>
      <c r="C137" s="23" t="s">
        <v>1002</v>
      </c>
      <c r="D137" s="1">
        <v>54</v>
      </c>
      <c r="E137" s="23" t="s">
        <v>2</v>
      </c>
      <c r="F137" s="1" t="s">
        <v>9</v>
      </c>
      <c r="G137" s="3" t="s">
        <v>207</v>
      </c>
      <c r="H137" s="1" t="s">
        <v>283</v>
      </c>
      <c r="I137" s="1" t="s">
        <v>30</v>
      </c>
    </row>
    <row r="138" spans="1:9" x14ac:dyDescent="0.25">
      <c r="A138" s="1" t="s">
        <v>284</v>
      </c>
      <c r="B138" s="1" t="s">
        <v>285</v>
      </c>
      <c r="C138" s="23" t="s">
        <v>1002</v>
      </c>
      <c r="D138" s="1">
        <v>62</v>
      </c>
      <c r="E138" s="23" t="s">
        <v>2</v>
      </c>
      <c r="F138" s="1" t="s">
        <v>9</v>
      </c>
      <c r="G138" s="3" t="s">
        <v>10</v>
      </c>
      <c r="H138" s="1" t="s">
        <v>286</v>
      </c>
      <c r="I138" s="1" t="s">
        <v>6</v>
      </c>
    </row>
    <row r="139" spans="1:9" x14ac:dyDescent="0.25">
      <c r="A139" s="1" t="s">
        <v>290</v>
      </c>
      <c r="B139" s="1" t="s">
        <v>1046</v>
      </c>
      <c r="C139" s="23" t="s">
        <v>1002</v>
      </c>
      <c r="D139" s="1">
        <v>36</v>
      </c>
      <c r="E139" s="23" t="s">
        <v>2</v>
      </c>
      <c r="F139" s="1" t="s">
        <v>9</v>
      </c>
      <c r="G139" s="3" t="s">
        <v>28</v>
      </c>
      <c r="H139" s="1" t="s">
        <v>291</v>
      </c>
      <c r="I139" s="1" t="s">
        <v>6</v>
      </c>
    </row>
    <row r="140" spans="1:9" x14ac:dyDescent="0.25">
      <c r="A140" s="1" t="s">
        <v>295</v>
      </c>
      <c r="B140" s="1" t="s">
        <v>296</v>
      </c>
      <c r="C140" s="23" t="s">
        <v>1001</v>
      </c>
      <c r="D140" s="1">
        <v>36</v>
      </c>
      <c r="E140" s="23" t="s">
        <v>2</v>
      </c>
      <c r="F140" s="1" t="s">
        <v>9</v>
      </c>
      <c r="G140" s="3" t="s">
        <v>10</v>
      </c>
      <c r="H140" s="1" t="s">
        <v>297</v>
      </c>
      <c r="I140" s="1" t="s">
        <v>6</v>
      </c>
    </row>
    <row r="141" spans="1:9" x14ac:dyDescent="0.25">
      <c r="A141" s="1" t="s">
        <v>298</v>
      </c>
      <c r="B141" s="1" t="s">
        <v>299</v>
      </c>
      <c r="C141" s="23" t="s">
        <v>1001</v>
      </c>
      <c r="D141" s="1">
        <v>34</v>
      </c>
      <c r="E141" s="23" t="s">
        <v>2</v>
      </c>
      <c r="F141" s="1" t="s">
        <v>9</v>
      </c>
      <c r="G141" s="3" t="s">
        <v>4</v>
      </c>
      <c r="H141" s="1" t="s">
        <v>300</v>
      </c>
      <c r="I141" s="1" t="s">
        <v>6</v>
      </c>
    </row>
    <row r="142" spans="1:9" x14ac:dyDescent="0.25">
      <c r="A142" s="1" t="s">
        <v>301</v>
      </c>
      <c r="B142" s="1" t="s">
        <v>302</v>
      </c>
      <c r="C142" s="23" t="s">
        <v>1002</v>
      </c>
      <c r="D142" s="1">
        <v>60</v>
      </c>
      <c r="E142" s="23" t="s">
        <v>2</v>
      </c>
      <c r="F142" s="1" t="s">
        <v>9</v>
      </c>
      <c r="G142" s="3" t="s">
        <v>10</v>
      </c>
      <c r="H142" s="1" t="s">
        <v>303</v>
      </c>
      <c r="I142" s="1" t="s">
        <v>30</v>
      </c>
    </row>
    <row r="143" spans="1:9" x14ac:dyDescent="0.25">
      <c r="A143" s="1" t="s">
        <v>315</v>
      </c>
      <c r="B143" s="1" t="s">
        <v>316</v>
      </c>
      <c r="C143" s="23" t="s">
        <v>1002</v>
      </c>
      <c r="D143" s="1">
        <v>62</v>
      </c>
      <c r="E143" s="23" t="s">
        <v>2</v>
      </c>
      <c r="F143" s="1" t="s">
        <v>9</v>
      </c>
      <c r="G143" s="3" t="s">
        <v>10</v>
      </c>
      <c r="H143" s="1" t="s">
        <v>317</v>
      </c>
      <c r="I143" s="1" t="s">
        <v>6</v>
      </c>
    </row>
    <row r="144" spans="1:9" x14ac:dyDescent="0.25">
      <c r="A144" s="1" t="s">
        <v>321</v>
      </c>
      <c r="B144" s="1" t="s">
        <v>322</v>
      </c>
      <c r="C144" s="23" t="s">
        <v>1001</v>
      </c>
      <c r="D144" s="1">
        <v>60</v>
      </c>
      <c r="E144" s="23" t="s">
        <v>2</v>
      </c>
      <c r="F144" s="1" t="s">
        <v>9</v>
      </c>
      <c r="G144" s="3" t="s">
        <v>4</v>
      </c>
      <c r="H144" s="1" t="s">
        <v>323</v>
      </c>
      <c r="I144" s="1" t="s">
        <v>6</v>
      </c>
    </row>
    <row r="145" spans="1:9" x14ac:dyDescent="0.25">
      <c r="A145" s="1" t="s">
        <v>333</v>
      </c>
      <c r="B145" s="1" t="s">
        <v>334</v>
      </c>
      <c r="C145" s="23" t="s">
        <v>1001</v>
      </c>
      <c r="D145" s="1">
        <v>40</v>
      </c>
      <c r="E145" s="23" t="s">
        <v>2</v>
      </c>
      <c r="F145" s="1" t="s">
        <v>9</v>
      </c>
      <c r="G145" s="3" t="s">
        <v>10</v>
      </c>
      <c r="H145" s="1" t="s">
        <v>335</v>
      </c>
      <c r="I145" s="1" t="s">
        <v>6</v>
      </c>
    </row>
    <row r="146" spans="1:9" x14ac:dyDescent="0.25">
      <c r="A146" s="1" t="s">
        <v>343</v>
      </c>
      <c r="B146" s="1" t="s">
        <v>344</v>
      </c>
      <c r="C146" s="23" t="s">
        <v>1002</v>
      </c>
      <c r="D146" s="1">
        <v>34</v>
      </c>
      <c r="E146" s="23" t="s">
        <v>2</v>
      </c>
      <c r="F146" s="1" t="s">
        <v>9</v>
      </c>
      <c r="G146" s="3" t="s">
        <v>4</v>
      </c>
      <c r="H146" s="1" t="s">
        <v>345</v>
      </c>
      <c r="I146" s="1" t="s">
        <v>6</v>
      </c>
    </row>
    <row r="147" spans="1:9" x14ac:dyDescent="0.25">
      <c r="A147" s="1" t="s">
        <v>363</v>
      </c>
      <c r="B147" s="1" t="s">
        <v>1049</v>
      </c>
      <c r="C147" s="23" t="s">
        <v>1002</v>
      </c>
      <c r="D147" s="1">
        <v>38</v>
      </c>
      <c r="E147" s="23" t="s">
        <v>2</v>
      </c>
      <c r="F147" s="1" t="s">
        <v>9</v>
      </c>
      <c r="G147" s="3" t="s">
        <v>364</v>
      </c>
      <c r="H147" s="1" t="s">
        <v>365</v>
      </c>
      <c r="I147" s="1" t="s">
        <v>6</v>
      </c>
    </row>
    <row r="148" spans="1:9" x14ac:dyDescent="0.25">
      <c r="A148" s="1" t="s">
        <v>379</v>
      </c>
      <c r="B148" s="1" t="s">
        <v>380</v>
      </c>
      <c r="C148" s="23" t="s">
        <v>1001</v>
      </c>
      <c r="D148" s="1">
        <v>46</v>
      </c>
      <c r="E148" s="23" t="s">
        <v>2</v>
      </c>
      <c r="F148" s="1" t="s">
        <v>9</v>
      </c>
      <c r="G148" s="3" t="s">
        <v>4</v>
      </c>
      <c r="H148" s="1" t="s">
        <v>381</v>
      </c>
      <c r="I148" s="1" t="s">
        <v>6</v>
      </c>
    </row>
    <row r="149" spans="1:9" x14ac:dyDescent="0.25">
      <c r="A149" s="1" t="s">
        <v>398</v>
      </c>
      <c r="B149" s="1" t="s">
        <v>399</v>
      </c>
      <c r="C149" s="23" t="s">
        <v>1002</v>
      </c>
      <c r="D149" s="1">
        <v>62</v>
      </c>
      <c r="E149" s="23" t="s">
        <v>2</v>
      </c>
      <c r="F149" s="1" t="s">
        <v>9</v>
      </c>
      <c r="G149" s="3" t="s">
        <v>4</v>
      </c>
      <c r="H149" s="1" t="s">
        <v>400</v>
      </c>
      <c r="I149" s="1" t="s">
        <v>6</v>
      </c>
    </row>
    <row r="150" spans="1:9" x14ac:dyDescent="0.25">
      <c r="A150" s="1" t="s">
        <v>406</v>
      </c>
      <c r="B150" s="1" t="s">
        <v>407</v>
      </c>
      <c r="C150" s="23" t="s">
        <v>1002</v>
      </c>
      <c r="D150" s="1">
        <v>52</v>
      </c>
      <c r="E150" s="23" t="s">
        <v>2</v>
      </c>
      <c r="F150" s="1" t="s">
        <v>9</v>
      </c>
      <c r="G150" s="3" t="s">
        <v>28</v>
      </c>
      <c r="H150" s="1"/>
      <c r="I150" s="3" t="s">
        <v>70</v>
      </c>
    </row>
    <row r="151" spans="1:9" x14ac:dyDescent="0.25">
      <c r="A151" s="1" t="s">
        <v>413</v>
      </c>
      <c r="B151" s="1" t="s">
        <v>414</v>
      </c>
      <c r="C151" s="23" t="s">
        <v>1001</v>
      </c>
      <c r="D151" s="1">
        <v>38</v>
      </c>
      <c r="E151" s="23" t="s">
        <v>2</v>
      </c>
      <c r="F151" s="1" t="s">
        <v>9</v>
      </c>
      <c r="G151" s="3" t="s">
        <v>10</v>
      </c>
      <c r="H151" s="1" t="s">
        <v>415</v>
      </c>
      <c r="I151" s="1" t="s">
        <v>6</v>
      </c>
    </row>
    <row r="152" spans="1:9" x14ac:dyDescent="0.25">
      <c r="A152" s="1" t="s">
        <v>421</v>
      </c>
      <c r="B152" s="1" t="s">
        <v>422</v>
      </c>
      <c r="C152" s="23" t="s">
        <v>1002</v>
      </c>
      <c r="D152" s="1">
        <v>32</v>
      </c>
      <c r="E152" s="23" t="s">
        <v>2</v>
      </c>
      <c r="F152" s="1" t="s">
        <v>9</v>
      </c>
      <c r="G152" s="3" t="s">
        <v>4</v>
      </c>
      <c r="H152" s="1" t="s">
        <v>423</v>
      </c>
      <c r="I152" s="1" t="s">
        <v>6</v>
      </c>
    </row>
    <row r="153" spans="1:9" x14ac:dyDescent="0.25">
      <c r="A153" s="1" t="s">
        <v>437</v>
      </c>
      <c r="B153" s="1" t="s">
        <v>438</v>
      </c>
      <c r="C153" s="23" t="s">
        <v>1001</v>
      </c>
      <c r="D153" s="1">
        <v>42</v>
      </c>
      <c r="E153" s="23" t="s">
        <v>2</v>
      </c>
      <c r="F153" s="1" t="s">
        <v>9</v>
      </c>
      <c r="G153" s="3" t="s">
        <v>28</v>
      </c>
      <c r="H153" s="1" t="s">
        <v>439</v>
      </c>
      <c r="I153" s="1" t="s">
        <v>6</v>
      </c>
    </row>
    <row r="154" spans="1:9" x14ac:dyDescent="0.25">
      <c r="A154" s="1" t="s">
        <v>451</v>
      </c>
      <c r="B154" s="1" t="s">
        <v>452</v>
      </c>
      <c r="C154" s="23" t="s">
        <v>1002</v>
      </c>
      <c r="D154" s="1">
        <v>46</v>
      </c>
      <c r="E154" s="23" t="s">
        <v>2</v>
      </c>
      <c r="F154" s="1" t="s">
        <v>9</v>
      </c>
      <c r="G154" s="3" t="s">
        <v>10</v>
      </c>
      <c r="H154" s="1"/>
      <c r="I154" s="3" t="s">
        <v>113</v>
      </c>
    </row>
    <row r="155" spans="1:9" x14ac:dyDescent="0.25">
      <c r="A155" s="1" t="s">
        <v>461</v>
      </c>
      <c r="B155" s="1" t="s">
        <v>462</v>
      </c>
      <c r="C155" s="23" t="s">
        <v>1002</v>
      </c>
      <c r="D155" s="1">
        <v>60</v>
      </c>
      <c r="E155" s="23" t="s">
        <v>2</v>
      </c>
      <c r="F155" s="1" t="s">
        <v>9</v>
      </c>
      <c r="G155" s="3" t="s">
        <v>4</v>
      </c>
      <c r="H155" s="1" t="s">
        <v>463</v>
      </c>
      <c r="I155" s="1" t="s">
        <v>6</v>
      </c>
    </row>
    <row r="156" spans="1:9" x14ac:dyDescent="0.25">
      <c r="A156" s="1" t="s">
        <v>464</v>
      </c>
      <c r="B156" s="1" t="s">
        <v>1053</v>
      </c>
      <c r="C156" s="23" t="s">
        <v>1002</v>
      </c>
      <c r="D156" s="1">
        <v>70</v>
      </c>
      <c r="E156" s="23" t="s">
        <v>2</v>
      </c>
      <c r="F156" s="1" t="s">
        <v>9</v>
      </c>
      <c r="G156" s="1"/>
      <c r="H156" s="1" t="s">
        <v>465</v>
      </c>
      <c r="I156" s="1" t="s">
        <v>6</v>
      </c>
    </row>
    <row r="157" spans="1:9" x14ac:dyDescent="0.25">
      <c r="A157" s="1" t="s">
        <v>466</v>
      </c>
      <c r="B157" s="1" t="s">
        <v>467</v>
      </c>
      <c r="C157" s="23" t="s">
        <v>1002</v>
      </c>
      <c r="D157" s="1">
        <v>44</v>
      </c>
      <c r="E157" s="23" t="s">
        <v>2</v>
      </c>
      <c r="F157" s="1" t="s">
        <v>9</v>
      </c>
      <c r="G157" s="3" t="s">
        <v>10</v>
      </c>
      <c r="H157" s="1" t="s">
        <v>468</v>
      </c>
      <c r="I157" s="1" t="s">
        <v>6</v>
      </c>
    </row>
    <row r="158" spans="1:9" x14ac:dyDescent="0.25">
      <c r="A158" s="1" t="s">
        <v>475</v>
      </c>
      <c r="B158" s="1" t="s">
        <v>476</v>
      </c>
      <c r="C158" s="23" t="s">
        <v>1002</v>
      </c>
      <c r="D158" s="1">
        <v>48</v>
      </c>
      <c r="E158" s="23" t="s">
        <v>2</v>
      </c>
      <c r="F158" s="1" t="s">
        <v>9</v>
      </c>
      <c r="G158" s="3" t="s">
        <v>4</v>
      </c>
      <c r="H158" s="1" t="s">
        <v>477</v>
      </c>
      <c r="I158" s="1" t="s">
        <v>6</v>
      </c>
    </row>
    <row r="159" spans="1:9" x14ac:dyDescent="0.25">
      <c r="A159" s="1" t="s">
        <v>478</v>
      </c>
      <c r="B159" s="1" t="s">
        <v>479</v>
      </c>
      <c r="C159" s="23" t="s">
        <v>1002</v>
      </c>
      <c r="D159" s="1">
        <v>38</v>
      </c>
      <c r="E159" s="23" t="s">
        <v>2</v>
      </c>
      <c r="F159" s="1" t="s">
        <v>9</v>
      </c>
      <c r="G159" s="3" t="s">
        <v>161</v>
      </c>
      <c r="H159" s="1"/>
      <c r="I159" s="3" t="s">
        <v>89</v>
      </c>
    </row>
    <row r="160" spans="1:9" x14ac:dyDescent="0.25">
      <c r="A160" s="1" t="s">
        <v>483</v>
      </c>
      <c r="B160" s="1" t="s">
        <v>484</v>
      </c>
      <c r="C160" s="23" t="s">
        <v>1002</v>
      </c>
      <c r="D160" s="1">
        <v>36</v>
      </c>
      <c r="E160" s="23" t="s">
        <v>2</v>
      </c>
      <c r="F160" s="1" t="s">
        <v>9</v>
      </c>
      <c r="G160" s="3" t="s">
        <v>10</v>
      </c>
      <c r="H160" s="1" t="s">
        <v>485</v>
      </c>
      <c r="I160" s="1" t="s">
        <v>6</v>
      </c>
    </row>
    <row r="161" spans="1:9" x14ac:dyDescent="0.25">
      <c r="A161" s="1" t="s">
        <v>514</v>
      </c>
      <c r="B161" s="1" t="s">
        <v>1055</v>
      </c>
      <c r="C161" s="23" t="s">
        <v>1001</v>
      </c>
      <c r="D161" s="1">
        <v>36</v>
      </c>
      <c r="E161" s="23" t="s">
        <v>2</v>
      </c>
      <c r="F161" s="1" t="s">
        <v>9</v>
      </c>
      <c r="G161" s="3" t="s">
        <v>10</v>
      </c>
      <c r="H161" s="1" t="s">
        <v>515</v>
      </c>
      <c r="I161" s="1" t="s">
        <v>6</v>
      </c>
    </row>
    <row r="162" spans="1:9" x14ac:dyDescent="0.25">
      <c r="A162" s="1" t="s">
        <v>553</v>
      </c>
      <c r="B162" s="1" t="s">
        <v>554</v>
      </c>
      <c r="C162" s="23" t="s">
        <v>1001</v>
      </c>
      <c r="D162" s="1">
        <v>38</v>
      </c>
      <c r="E162" s="23" t="s">
        <v>2</v>
      </c>
      <c r="F162" s="1" t="s">
        <v>9</v>
      </c>
      <c r="G162" s="3" t="s">
        <v>4</v>
      </c>
      <c r="H162" s="1" t="s">
        <v>555</v>
      </c>
      <c r="I162" s="1" t="s">
        <v>6</v>
      </c>
    </row>
    <row r="163" spans="1:9" x14ac:dyDescent="0.25">
      <c r="A163" s="1" t="s">
        <v>561</v>
      </c>
      <c r="B163" s="1" t="s">
        <v>562</v>
      </c>
      <c r="C163" s="23" t="s">
        <v>1001</v>
      </c>
      <c r="D163" s="1">
        <v>56</v>
      </c>
      <c r="E163" s="23" t="s">
        <v>2</v>
      </c>
      <c r="F163" s="1" t="s">
        <v>9</v>
      </c>
      <c r="G163" s="3" t="s">
        <v>4</v>
      </c>
      <c r="H163" s="1" t="s">
        <v>563</v>
      </c>
      <c r="I163" s="1" t="s">
        <v>6</v>
      </c>
    </row>
    <row r="164" spans="1:9" x14ac:dyDescent="0.25">
      <c r="A164" s="1" t="s">
        <v>564</v>
      </c>
      <c r="B164" s="1" t="s">
        <v>565</v>
      </c>
      <c r="C164" s="23" t="s">
        <v>1001</v>
      </c>
      <c r="D164" s="1">
        <v>38</v>
      </c>
      <c r="E164" s="23" t="s">
        <v>2</v>
      </c>
      <c r="F164" s="1" t="s">
        <v>9</v>
      </c>
      <c r="G164" s="3" t="s">
        <v>10</v>
      </c>
      <c r="H164" s="1" t="s">
        <v>566</v>
      </c>
      <c r="I164" s="1" t="s">
        <v>6</v>
      </c>
    </row>
    <row r="165" spans="1:9" x14ac:dyDescent="0.25">
      <c r="A165" s="1" t="s">
        <v>567</v>
      </c>
      <c r="B165" s="1" t="s">
        <v>568</v>
      </c>
      <c r="C165" s="23" t="s">
        <v>1001</v>
      </c>
      <c r="D165" s="1">
        <v>56</v>
      </c>
      <c r="E165" s="23" t="s">
        <v>2</v>
      </c>
      <c r="F165" s="1" t="s">
        <v>9</v>
      </c>
      <c r="G165" s="3" t="s">
        <v>119</v>
      </c>
      <c r="H165" s="1" t="s">
        <v>569</v>
      </c>
      <c r="I165" s="1" t="s">
        <v>30</v>
      </c>
    </row>
    <row r="166" spans="1:9" x14ac:dyDescent="0.25">
      <c r="A166" s="1" t="s">
        <v>573</v>
      </c>
      <c r="B166" s="1" t="s">
        <v>574</v>
      </c>
      <c r="C166" s="23" t="s">
        <v>1001</v>
      </c>
      <c r="D166" s="1">
        <v>34</v>
      </c>
      <c r="E166" s="23" t="s">
        <v>2</v>
      </c>
      <c r="F166" s="1" t="s">
        <v>9</v>
      </c>
      <c r="G166" s="3" t="s">
        <v>575</v>
      </c>
      <c r="H166" s="1" t="s">
        <v>576</v>
      </c>
      <c r="I166" s="1" t="s">
        <v>30</v>
      </c>
    </row>
    <row r="167" spans="1:9" x14ac:dyDescent="0.25">
      <c r="A167" s="1" t="s">
        <v>585</v>
      </c>
      <c r="B167" s="1" t="s">
        <v>586</v>
      </c>
      <c r="C167" s="23" t="s">
        <v>1001</v>
      </c>
      <c r="D167" s="1">
        <v>50</v>
      </c>
      <c r="E167" s="23" t="s">
        <v>2</v>
      </c>
      <c r="F167" s="1" t="s">
        <v>9</v>
      </c>
      <c r="G167" s="3" t="s">
        <v>10</v>
      </c>
      <c r="H167" s="1" t="s">
        <v>587</v>
      </c>
      <c r="I167" s="1" t="s">
        <v>30</v>
      </c>
    </row>
    <row r="168" spans="1:9" x14ac:dyDescent="0.25">
      <c r="A168" s="1" t="s">
        <v>594</v>
      </c>
      <c r="B168" s="1" t="s">
        <v>595</v>
      </c>
      <c r="C168" s="23" t="s">
        <v>1001</v>
      </c>
      <c r="D168" s="1">
        <v>62</v>
      </c>
      <c r="E168" s="23" t="s">
        <v>2</v>
      </c>
      <c r="F168" s="1" t="s">
        <v>9</v>
      </c>
      <c r="G168" s="3" t="s">
        <v>10</v>
      </c>
      <c r="H168" s="1"/>
      <c r="I168" s="3" t="s">
        <v>113</v>
      </c>
    </row>
    <row r="169" spans="1:9" x14ac:dyDescent="0.25">
      <c r="A169" s="1" t="s">
        <v>604</v>
      </c>
      <c r="B169" s="1" t="s">
        <v>605</v>
      </c>
      <c r="C169" s="23" t="s">
        <v>1001</v>
      </c>
      <c r="D169" s="1">
        <v>44</v>
      </c>
      <c r="E169" s="23" t="s">
        <v>2</v>
      </c>
      <c r="F169" s="1" t="s">
        <v>9</v>
      </c>
      <c r="G169" s="3" t="s">
        <v>547</v>
      </c>
      <c r="H169" s="1" t="s">
        <v>606</v>
      </c>
      <c r="I169" s="1" t="s">
        <v>6</v>
      </c>
    </row>
    <row r="170" spans="1:9" x14ac:dyDescent="0.25">
      <c r="A170" s="1" t="s">
        <v>624</v>
      </c>
      <c r="B170" s="1" t="s">
        <v>1058</v>
      </c>
      <c r="C170" s="23" t="s">
        <v>1002</v>
      </c>
      <c r="D170" s="1">
        <v>34</v>
      </c>
      <c r="E170" s="23" t="s">
        <v>2</v>
      </c>
      <c r="F170" s="1" t="s">
        <v>9</v>
      </c>
      <c r="G170" s="3" t="s">
        <v>4</v>
      </c>
      <c r="H170" s="1" t="s">
        <v>625</v>
      </c>
      <c r="I170" s="1" t="s">
        <v>6</v>
      </c>
    </row>
    <row r="171" spans="1:9" x14ac:dyDescent="0.25">
      <c r="A171" s="1" t="s">
        <v>629</v>
      </c>
      <c r="B171" s="1" t="s">
        <v>630</v>
      </c>
      <c r="C171" s="23" t="s">
        <v>1002</v>
      </c>
      <c r="D171" s="1">
        <v>42</v>
      </c>
      <c r="E171" s="23" t="s">
        <v>2</v>
      </c>
      <c r="F171" s="1" t="s">
        <v>9</v>
      </c>
      <c r="G171" s="3" t="s">
        <v>28</v>
      </c>
      <c r="H171" s="1"/>
      <c r="I171" s="3" t="s">
        <v>89</v>
      </c>
    </row>
    <row r="172" spans="1:9" x14ac:dyDescent="0.25">
      <c r="A172" s="1" t="s">
        <v>634</v>
      </c>
      <c r="B172" s="1" t="s">
        <v>635</v>
      </c>
      <c r="C172" s="23" t="s">
        <v>1002</v>
      </c>
      <c r="D172" s="1">
        <v>44</v>
      </c>
      <c r="E172" s="23" t="s">
        <v>2</v>
      </c>
      <c r="F172" s="1" t="s">
        <v>9</v>
      </c>
      <c r="G172" s="3" t="s">
        <v>4</v>
      </c>
      <c r="H172" s="1" t="s">
        <v>636</v>
      </c>
      <c r="I172" s="1" t="s">
        <v>6</v>
      </c>
    </row>
    <row r="173" spans="1:9" x14ac:dyDescent="0.25">
      <c r="A173" s="1" t="s">
        <v>639</v>
      </c>
      <c r="B173" s="1" t="s">
        <v>640</v>
      </c>
      <c r="C173" s="23" t="s">
        <v>1002</v>
      </c>
      <c r="D173" s="1">
        <v>54</v>
      </c>
      <c r="E173" s="23" t="s">
        <v>2</v>
      </c>
      <c r="F173" s="1" t="s">
        <v>9</v>
      </c>
      <c r="G173" s="3" t="s">
        <v>4</v>
      </c>
      <c r="H173" s="1" t="s">
        <v>641</v>
      </c>
      <c r="I173" s="1" t="s">
        <v>30</v>
      </c>
    </row>
    <row r="174" spans="1:9" x14ac:dyDescent="0.25">
      <c r="A174" s="1" t="s">
        <v>647</v>
      </c>
      <c r="B174" s="1" t="s">
        <v>648</v>
      </c>
      <c r="C174" s="23" t="s">
        <v>1002</v>
      </c>
      <c r="D174" s="1">
        <v>50</v>
      </c>
      <c r="E174" s="23" t="s">
        <v>2</v>
      </c>
      <c r="F174" s="1" t="s">
        <v>9</v>
      </c>
      <c r="G174" s="3" t="s">
        <v>28</v>
      </c>
      <c r="H174" s="1" t="s">
        <v>649</v>
      </c>
      <c r="I174" s="1" t="s">
        <v>30</v>
      </c>
    </row>
    <row r="175" spans="1:9" x14ac:dyDescent="0.25">
      <c r="A175" s="1" t="s">
        <v>653</v>
      </c>
      <c r="B175" s="1" t="s">
        <v>654</v>
      </c>
      <c r="C175" s="23" t="s">
        <v>1002</v>
      </c>
      <c r="D175" s="1">
        <v>52</v>
      </c>
      <c r="E175" s="23" t="s">
        <v>2</v>
      </c>
      <c r="F175" s="1" t="s">
        <v>9</v>
      </c>
      <c r="G175" s="3" t="s">
        <v>119</v>
      </c>
      <c r="H175" s="1"/>
      <c r="I175" s="3" t="s">
        <v>11</v>
      </c>
    </row>
    <row r="176" spans="1:9" x14ac:dyDescent="0.25">
      <c r="A176" s="1" t="s">
        <v>655</v>
      </c>
      <c r="B176" s="1" t="s">
        <v>656</v>
      </c>
      <c r="C176" s="23" t="s">
        <v>1002</v>
      </c>
      <c r="D176" s="1">
        <v>68</v>
      </c>
      <c r="E176" s="23" t="s">
        <v>2</v>
      </c>
      <c r="F176" s="1" t="s">
        <v>9</v>
      </c>
      <c r="G176" s="3" t="s">
        <v>10</v>
      </c>
      <c r="H176" s="1" t="s">
        <v>657</v>
      </c>
      <c r="I176" s="1" t="s">
        <v>30</v>
      </c>
    </row>
    <row r="177" spans="1:9" x14ac:dyDescent="0.25">
      <c r="A177" s="1" t="s">
        <v>662</v>
      </c>
      <c r="B177" s="1" t="s">
        <v>663</v>
      </c>
      <c r="C177" s="23" t="s">
        <v>1001</v>
      </c>
      <c r="D177" s="1">
        <v>56</v>
      </c>
      <c r="E177" s="23" t="s">
        <v>2</v>
      </c>
      <c r="F177" s="1" t="s">
        <v>9</v>
      </c>
      <c r="G177" s="3" t="s">
        <v>28</v>
      </c>
      <c r="H177" s="1"/>
      <c r="I177" s="3" t="s">
        <v>89</v>
      </c>
    </row>
    <row r="178" spans="1:9" x14ac:dyDescent="0.25">
      <c r="A178" s="1" t="s">
        <v>667</v>
      </c>
      <c r="B178" s="1" t="s">
        <v>668</v>
      </c>
      <c r="C178" s="23" t="s">
        <v>1002</v>
      </c>
      <c r="D178" s="1">
        <v>56</v>
      </c>
      <c r="E178" s="23" t="s">
        <v>2</v>
      </c>
      <c r="F178" s="1" t="s">
        <v>9</v>
      </c>
      <c r="G178" s="3" t="s">
        <v>10</v>
      </c>
      <c r="H178" s="1" t="s">
        <v>669</v>
      </c>
      <c r="I178" s="1" t="s">
        <v>6</v>
      </c>
    </row>
    <row r="179" spans="1:9" x14ac:dyDescent="0.25">
      <c r="A179" s="1" t="s">
        <v>673</v>
      </c>
      <c r="B179" s="1" t="s">
        <v>674</v>
      </c>
      <c r="C179" s="23" t="s">
        <v>1001</v>
      </c>
      <c r="D179" s="1">
        <v>54</v>
      </c>
      <c r="E179" s="23" t="s">
        <v>2</v>
      </c>
      <c r="F179" s="1" t="s">
        <v>9</v>
      </c>
      <c r="G179" s="3" t="s">
        <v>28</v>
      </c>
      <c r="H179" s="1"/>
      <c r="I179" s="3" t="s">
        <v>113</v>
      </c>
    </row>
    <row r="180" spans="1:9" x14ac:dyDescent="0.25">
      <c r="A180" s="1" t="s">
        <v>707</v>
      </c>
      <c r="B180" s="1" t="s">
        <v>708</v>
      </c>
      <c r="C180" s="23" t="s">
        <v>1002</v>
      </c>
      <c r="D180" s="1">
        <v>52</v>
      </c>
      <c r="E180" s="23" t="s">
        <v>2</v>
      </c>
      <c r="F180" s="1" t="s">
        <v>9</v>
      </c>
      <c r="G180" s="3" t="s">
        <v>98</v>
      </c>
      <c r="H180" s="1" t="s">
        <v>709</v>
      </c>
      <c r="I180" s="1" t="s">
        <v>30</v>
      </c>
    </row>
    <row r="181" spans="1:9" x14ac:dyDescent="0.25">
      <c r="A181" s="1" t="s">
        <v>713</v>
      </c>
      <c r="B181" s="1" t="s">
        <v>714</v>
      </c>
      <c r="C181" s="23" t="s">
        <v>1002</v>
      </c>
      <c r="D181" s="1">
        <v>56</v>
      </c>
      <c r="E181" s="23" t="s">
        <v>2</v>
      </c>
      <c r="F181" s="1" t="s">
        <v>9</v>
      </c>
      <c r="G181" s="3" t="s">
        <v>28</v>
      </c>
      <c r="H181" s="1" t="s">
        <v>715</v>
      </c>
      <c r="I181" s="1" t="s">
        <v>30</v>
      </c>
    </row>
    <row r="182" spans="1:9" x14ac:dyDescent="0.25">
      <c r="A182" s="1" t="s">
        <v>731</v>
      </c>
      <c r="B182" s="1" t="s">
        <v>732</v>
      </c>
      <c r="C182" s="23" t="s">
        <v>1002</v>
      </c>
      <c r="D182" s="1">
        <v>52</v>
      </c>
      <c r="E182" s="23" t="s">
        <v>2</v>
      </c>
      <c r="F182" s="1" t="s">
        <v>9</v>
      </c>
      <c r="G182" s="3" t="s">
        <v>4</v>
      </c>
      <c r="H182" s="1" t="s">
        <v>733</v>
      </c>
      <c r="I182" s="1" t="s">
        <v>6</v>
      </c>
    </row>
    <row r="183" spans="1:9" x14ac:dyDescent="0.25">
      <c r="A183" s="1" t="s">
        <v>737</v>
      </c>
      <c r="B183" s="1" t="s">
        <v>738</v>
      </c>
      <c r="C183" s="23" t="s">
        <v>1002</v>
      </c>
      <c r="D183" s="1">
        <v>46</v>
      </c>
      <c r="E183" s="23" t="s">
        <v>2</v>
      </c>
      <c r="F183" s="1" t="s">
        <v>9</v>
      </c>
      <c r="G183" s="3" t="s">
        <v>28</v>
      </c>
      <c r="H183" s="1" t="s">
        <v>739</v>
      </c>
      <c r="I183" s="1" t="s">
        <v>6</v>
      </c>
    </row>
    <row r="184" spans="1:9" x14ac:dyDescent="0.25">
      <c r="A184" s="1" t="s">
        <v>740</v>
      </c>
      <c r="B184" s="1" t="s">
        <v>741</v>
      </c>
      <c r="C184" s="23" t="s">
        <v>1002</v>
      </c>
      <c r="D184" s="1">
        <v>64</v>
      </c>
      <c r="E184" s="23" t="s">
        <v>2</v>
      </c>
      <c r="F184" s="1" t="s">
        <v>9</v>
      </c>
      <c r="G184" s="3" t="s">
        <v>10</v>
      </c>
      <c r="H184" s="1" t="s">
        <v>742</v>
      </c>
      <c r="I184" s="1" t="s">
        <v>6</v>
      </c>
    </row>
    <row r="185" spans="1:9" x14ac:dyDescent="0.25">
      <c r="A185" s="1" t="s">
        <v>743</v>
      </c>
      <c r="B185" s="1" t="s">
        <v>744</v>
      </c>
      <c r="C185" s="23" t="s">
        <v>1002</v>
      </c>
      <c r="D185" s="1">
        <v>48</v>
      </c>
      <c r="E185" s="23" t="s">
        <v>2</v>
      </c>
      <c r="F185" s="1" t="s">
        <v>9</v>
      </c>
      <c r="G185" s="3" t="s">
        <v>745</v>
      </c>
      <c r="H185" s="1" t="s">
        <v>746</v>
      </c>
      <c r="I185" s="1" t="s">
        <v>30</v>
      </c>
    </row>
    <row r="186" spans="1:9" x14ac:dyDescent="0.25">
      <c r="A186" s="1" t="s">
        <v>747</v>
      </c>
      <c r="B186" s="1" t="s">
        <v>748</v>
      </c>
      <c r="C186" s="23" t="s">
        <v>1001</v>
      </c>
      <c r="D186" s="1">
        <v>44</v>
      </c>
      <c r="E186" s="23" t="s">
        <v>2</v>
      </c>
      <c r="F186" s="1" t="s">
        <v>9</v>
      </c>
      <c r="G186" s="3" t="s">
        <v>129</v>
      </c>
      <c r="H186" s="1" t="s">
        <v>749</v>
      </c>
      <c r="I186" s="1" t="s">
        <v>6</v>
      </c>
    </row>
    <row r="187" spans="1:9" x14ac:dyDescent="0.25">
      <c r="A187" s="1" t="s">
        <v>752</v>
      </c>
      <c r="B187" s="1" t="s">
        <v>753</v>
      </c>
      <c r="C187" s="23" t="s">
        <v>1002</v>
      </c>
      <c r="D187" s="1">
        <v>54</v>
      </c>
      <c r="E187" s="23" t="s">
        <v>2</v>
      </c>
      <c r="F187" s="1" t="s">
        <v>9</v>
      </c>
      <c r="G187" s="3" t="s">
        <v>4</v>
      </c>
      <c r="H187" s="1" t="s">
        <v>754</v>
      </c>
      <c r="I187" s="1" t="s">
        <v>6</v>
      </c>
    </row>
    <row r="188" spans="1:9" x14ac:dyDescent="0.25">
      <c r="A188" s="1" t="s">
        <v>775</v>
      </c>
      <c r="B188" s="1" t="s">
        <v>776</v>
      </c>
      <c r="C188" s="23" t="s">
        <v>1002</v>
      </c>
      <c r="D188" s="1">
        <v>48</v>
      </c>
      <c r="E188" s="23" t="s">
        <v>2</v>
      </c>
      <c r="F188" s="1" t="s">
        <v>9</v>
      </c>
      <c r="G188" s="3" t="s">
        <v>4</v>
      </c>
      <c r="H188" s="1" t="s">
        <v>777</v>
      </c>
      <c r="I188" s="1" t="s">
        <v>6</v>
      </c>
    </row>
    <row r="189" spans="1:9" x14ac:dyDescent="0.25">
      <c r="A189" s="1" t="s">
        <v>782</v>
      </c>
      <c r="B189" s="1" t="s">
        <v>783</v>
      </c>
      <c r="C189" s="23" t="s">
        <v>1002</v>
      </c>
      <c r="D189" s="1">
        <v>34</v>
      </c>
      <c r="E189" s="23" t="s">
        <v>2</v>
      </c>
      <c r="F189" s="1" t="s">
        <v>9</v>
      </c>
      <c r="G189" s="3" t="s">
        <v>10</v>
      </c>
      <c r="H189" s="1"/>
      <c r="I189" s="3" t="s">
        <v>113</v>
      </c>
    </row>
    <row r="190" spans="1:9" x14ac:dyDescent="0.25">
      <c r="A190" s="1" t="s">
        <v>789</v>
      </c>
      <c r="B190" s="1" t="s">
        <v>790</v>
      </c>
      <c r="C190" s="23" t="s">
        <v>1002</v>
      </c>
      <c r="D190" s="1">
        <v>38</v>
      </c>
      <c r="E190" s="23" t="s">
        <v>2</v>
      </c>
      <c r="F190" s="1" t="s">
        <v>9</v>
      </c>
      <c r="G190" s="3" t="s">
        <v>10</v>
      </c>
      <c r="H190" s="1" t="s">
        <v>791</v>
      </c>
      <c r="I190" s="1" t="s">
        <v>6</v>
      </c>
    </row>
    <row r="191" spans="1:9" x14ac:dyDescent="0.25">
      <c r="A191" s="1" t="s">
        <v>792</v>
      </c>
      <c r="B191" s="1" t="s">
        <v>793</v>
      </c>
      <c r="C191" s="23" t="s">
        <v>1001</v>
      </c>
      <c r="D191" s="1">
        <v>60</v>
      </c>
      <c r="E191" s="23" t="s">
        <v>2</v>
      </c>
      <c r="F191" s="1" t="s">
        <v>9</v>
      </c>
      <c r="G191" s="3" t="s">
        <v>10</v>
      </c>
      <c r="H191" s="1" t="s">
        <v>794</v>
      </c>
      <c r="I191" s="1" t="s">
        <v>6</v>
      </c>
    </row>
    <row r="192" spans="1:9" x14ac:dyDescent="0.25">
      <c r="A192" s="1" t="s">
        <v>801</v>
      </c>
      <c r="B192" s="1" t="s">
        <v>802</v>
      </c>
      <c r="C192" s="23" t="s">
        <v>1002</v>
      </c>
      <c r="D192" s="1">
        <v>36</v>
      </c>
      <c r="E192" s="23" t="s">
        <v>2</v>
      </c>
      <c r="F192" s="1" t="s">
        <v>9</v>
      </c>
      <c r="G192" s="3" t="s">
        <v>28</v>
      </c>
      <c r="H192" s="1" t="s">
        <v>803</v>
      </c>
      <c r="I192" s="1" t="s">
        <v>6</v>
      </c>
    </row>
    <row r="193" spans="1:9" x14ac:dyDescent="0.25">
      <c r="A193" s="1" t="s">
        <v>815</v>
      </c>
      <c r="B193" s="1" t="s">
        <v>816</v>
      </c>
      <c r="C193" s="23" t="s">
        <v>1001</v>
      </c>
      <c r="D193" s="1">
        <v>36</v>
      </c>
      <c r="E193" s="23" t="s">
        <v>2</v>
      </c>
      <c r="F193" s="1" t="s">
        <v>9</v>
      </c>
      <c r="G193" s="3" t="s">
        <v>10</v>
      </c>
      <c r="H193" s="1" t="s">
        <v>817</v>
      </c>
      <c r="I193" s="1" t="s">
        <v>6</v>
      </c>
    </row>
    <row r="194" spans="1:9" x14ac:dyDescent="0.25">
      <c r="A194" s="1" t="s">
        <v>828</v>
      </c>
      <c r="B194" s="1" t="s">
        <v>829</v>
      </c>
      <c r="C194" s="23" t="s">
        <v>1001</v>
      </c>
      <c r="D194" s="1">
        <v>54</v>
      </c>
      <c r="E194" s="23" t="s">
        <v>2</v>
      </c>
      <c r="F194" s="1" t="s">
        <v>9</v>
      </c>
      <c r="G194" s="3" t="s">
        <v>10</v>
      </c>
      <c r="H194" s="1" t="s">
        <v>830</v>
      </c>
      <c r="I194" s="1" t="s">
        <v>6</v>
      </c>
    </row>
    <row r="195" spans="1:9" x14ac:dyDescent="0.25">
      <c r="A195" s="1" t="s">
        <v>834</v>
      </c>
      <c r="B195" s="1" t="s">
        <v>835</v>
      </c>
      <c r="C195" s="23" t="s">
        <v>1001</v>
      </c>
      <c r="D195" s="1">
        <v>42</v>
      </c>
      <c r="E195" s="23" t="s">
        <v>2</v>
      </c>
      <c r="F195" s="1" t="s">
        <v>9</v>
      </c>
      <c r="G195" s="3" t="s">
        <v>10</v>
      </c>
      <c r="H195" s="1" t="s">
        <v>836</v>
      </c>
      <c r="I195" s="1" t="s">
        <v>6</v>
      </c>
    </row>
    <row r="196" spans="1:9" x14ac:dyDescent="0.25">
      <c r="A196" s="1" t="s">
        <v>843</v>
      </c>
      <c r="B196" s="1" t="s">
        <v>1063</v>
      </c>
      <c r="C196" s="23" t="s">
        <v>1002</v>
      </c>
      <c r="D196" s="1">
        <v>54</v>
      </c>
      <c r="E196" s="23" t="s">
        <v>2</v>
      </c>
      <c r="F196" s="1" t="s">
        <v>9</v>
      </c>
      <c r="G196" s="3" t="s">
        <v>24</v>
      </c>
      <c r="H196" s="1" t="s">
        <v>844</v>
      </c>
      <c r="I196" s="1" t="s">
        <v>30</v>
      </c>
    </row>
    <row r="197" spans="1:9" x14ac:dyDescent="0.25">
      <c r="A197" s="1" t="s">
        <v>855</v>
      </c>
      <c r="B197" s="1" t="s">
        <v>856</v>
      </c>
      <c r="C197" s="23" t="s">
        <v>1002</v>
      </c>
      <c r="D197" s="1">
        <v>34</v>
      </c>
      <c r="E197" s="23" t="s">
        <v>2</v>
      </c>
      <c r="F197" s="1" t="s">
        <v>9</v>
      </c>
      <c r="G197" s="3" t="s">
        <v>4</v>
      </c>
      <c r="H197" s="1" t="s">
        <v>857</v>
      </c>
      <c r="I197" s="1" t="s">
        <v>6</v>
      </c>
    </row>
    <row r="198" spans="1:9" x14ac:dyDescent="0.25">
      <c r="A198" s="1" t="s">
        <v>869</v>
      </c>
      <c r="B198" s="1" t="s">
        <v>870</v>
      </c>
      <c r="C198" s="23" t="s">
        <v>1001</v>
      </c>
      <c r="D198" s="1">
        <v>64</v>
      </c>
      <c r="E198" s="23" t="s">
        <v>2</v>
      </c>
      <c r="F198" s="1" t="s">
        <v>9</v>
      </c>
      <c r="G198" s="3" t="s">
        <v>10</v>
      </c>
      <c r="H198" s="1" t="s">
        <v>871</v>
      </c>
      <c r="I198" s="1" t="s">
        <v>6</v>
      </c>
    </row>
    <row r="199" spans="1:9" x14ac:dyDescent="0.25">
      <c r="A199" s="1" t="s">
        <v>875</v>
      </c>
      <c r="B199" s="1" t="s">
        <v>876</v>
      </c>
      <c r="C199" s="23" t="s">
        <v>1002</v>
      </c>
      <c r="D199" s="1">
        <v>58</v>
      </c>
      <c r="E199" s="23" t="s">
        <v>2</v>
      </c>
      <c r="F199" s="1" t="s">
        <v>9</v>
      </c>
      <c r="G199" s="3" t="s">
        <v>4</v>
      </c>
      <c r="H199" s="1" t="s">
        <v>877</v>
      </c>
      <c r="I199" s="1" t="s">
        <v>6</v>
      </c>
    </row>
    <row r="200" spans="1:9" x14ac:dyDescent="0.25">
      <c r="A200" s="1" t="s">
        <v>884</v>
      </c>
      <c r="B200" s="1" t="s">
        <v>885</v>
      </c>
      <c r="C200" s="23" t="s">
        <v>1002</v>
      </c>
      <c r="D200" s="1">
        <v>34</v>
      </c>
      <c r="E200" s="23" t="s">
        <v>2</v>
      </c>
      <c r="F200" s="1" t="s">
        <v>9</v>
      </c>
      <c r="G200" s="3" t="s">
        <v>161</v>
      </c>
      <c r="H200" s="1"/>
      <c r="I200" s="3" t="s">
        <v>89</v>
      </c>
    </row>
    <row r="201" spans="1:9" x14ac:dyDescent="0.25">
      <c r="A201" s="1" t="s">
        <v>889</v>
      </c>
      <c r="B201" s="1" t="s">
        <v>890</v>
      </c>
      <c r="C201" s="23" t="s">
        <v>1002</v>
      </c>
      <c r="D201" s="1">
        <v>44</v>
      </c>
      <c r="E201" s="23" t="s">
        <v>2</v>
      </c>
      <c r="F201" s="1" t="s">
        <v>9</v>
      </c>
      <c r="G201" s="3" t="s">
        <v>10</v>
      </c>
      <c r="H201" s="1" t="s">
        <v>891</v>
      </c>
      <c r="I201" s="1" t="s">
        <v>6</v>
      </c>
    </row>
    <row r="202" spans="1:9" x14ac:dyDescent="0.25">
      <c r="A202" s="1" t="s">
        <v>901</v>
      </c>
      <c r="B202" s="1" t="s">
        <v>902</v>
      </c>
      <c r="C202" s="23" t="s">
        <v>1002</v>
      </c>
      <c r="D202" s="1">
        <v>36</v>
      </c>
      <c r="E202" s="23" t="s">
        <v>2</v>
      </c>
      <c r="F202" s="1" t="s">
        <v>9</v>
      </c>
      <c r="G202" s="3" t="s">
        <v>129</v>
      </c>
      <c r="H202" s="1" t="s">
        <v>903</v>
      </c>
      <c r="I202" s="1" t="s">
        <v>6</v>
      </c>
    </row>
    <row r="203" spans="1:9" x14ac:dyDescent="0.25">
      <c r="A203" s="1" t="s">
        <v>909</v>
      </c>
      <c r="B203" s="1" t="s">
        <v>910</v>
      </c>
      <c r="C203" s="23" t="s">
        <v>1002</v>
      </c>
      <c r="D203" s="1">
        <v>70</v>
      </c>
      <c r="E203" s="23" t="s">
        <v>2</v>
      </c>
      <c r="F203" s="1" t="s">
        <v>9</v>
      </c>
      <c r="G203" s="3" t="s">
        <v>116</v>
      </c>
      <c r="H203" s="1" t="s">
        <v>911</v>
      </c>
      <c r="I203" s="1" t="s">
        <v>30</v>
      </c>
    </row>
    <row r="204" spans="1:9" x14ac:dyDescent="0.25">
      <c r="A204" s="1" t="s">
        <v>914</v>
      </c>
      <c r="B204" s="1" t="s">
        <v>915</v>
      </c>
      <c r="C204" s="23" t="s">
        <v>1002</v>
      </c>
      <c r="D204" s="1">
        <v>38</v>
      </c>
      <c r="E204" s="23" t="s">
        <v>2</v>
      </c>
      <c r="F204" s="1" t="s">
        <v>9</v>
      </c>
      <c r="G204" s="3" t="s">
        <v>4</v>
      </c>
      <c r="H204" s="1" t="s">
        <v>916</v>
      </c>
      <c r="I204" s="1" t="s">
        <v>6</v>
      </c>
    </row>
    <row r="205" spans="1:9" x14ac:dyDescent="0.25">
      <c r="A205" s="1" t="s">
        <v>954</v>
      </c>
      <c r="B205" s="1" t="s">
        <v>955</v>
      </c>
      <c r="C205" s="23" t="s">
        <v>1001</v>
      </c>
      <c r="D205" s="1">
        <v>34</v>
      </c>
      <c r="E205" s="23" t="s">
        <v>2</v>
      </c>
      <c r="F205" s="1" t="s">
        <v>9</v>
      </c>
      <c r="G205" s="3" t="s">
        <v>10</v>
      </c>
      <c r="H205" s="1" t="s">
        <v>956</v>
      </c>
      <c r="I205" s="1" t="s">
        <v>6</v>
      </c>
    </row>
    <row r="206" spans="1:9" x14ac:dyDescent="0.25">
      <c r="A206" s="1" t="s">
        <v>964</v>
      </c>
      <c r="B206" s="1" t="s">
        <v>965</v>
      </c>
      <c r="C206" s="23" t="s">
        <v>1002</v>
      </c>
      <c r="D206" s="1">
        <v>36</v>
      </c>
      <c r="E206" s="23" t="s">
        <v>2</v>
      </c>
      <c r="F206" s="1" t="s">
        <v>9</v>
      </c>
      <c r="G206" s="3" t="s">
        <v>4</v>
      </c>
      <c r="H206" s="1" t="s">
        <v>966</v>
      </c>
      <c r="I206" s="1" t="s">
        <v>6</v>
      </c>
    </row>
    <row r="207" spans="1:9" x14ac:dyDescent="0.25">
      <c r="A207" s="1" t="s">
        <v>985</v>
      </c>
      <c r="B207" s="1" t="s">
        <v>986</v>
      </c>
      <c r="C207" s="23" t="s">
        <v>1002</v>
      </c>
      <c r="D207" s="1">
        <v>34</v>
      </c>
      <c r="E207" s="23" t="s">
        <v>2</v>
      </c>
      <c r="F207" s="1" t="s">
        <v>9</v>
      </c>
      <c r="G207" s="3" t="s">
        <v>4</v>
      </c>
      <c r="H207" s="1" t="s">
        <v>987</v>
      </c>
      <c r="I207" s="1" t="s">
        <v>6</v>
      </c>
    </row>
    <row r="208" spans="1:9" x14ac:dyDescent="0.25">
      <c r="A208" s="1" t="s">
        <v>20</v>
      </c>
      <c r="B208" s="1" t="s">
        <v>21</v>
      </c>
      <c r="C208" s="23" t="s">
        <v>1001</v>
      </c>
      <c r="D208" s="1">
        <v>34</v>
      </c>
      <c r="E208" s="23" t="s">
        <v>2</v>
      </c>
      <c r="F208" s="1" t="s">
        <v>3</v>
      </c>
      <c r="G208" s="3" t="s">
        <v>10</v>
      </c>
      <c r="H208" s="1" t="s">
        <v>22</v>
      </c>
      <c r="I208" s="1" t="s">
        <v>6</v>
      </c>
    </row>
    <row r="209" spans="1:10" x14ac:dyDescent="0.25">
      <c r="A209" s="1" t="s">
        <v>23</v>
      </c>
      <c r="B209" s="1" t="s">
        <v>1033</v>
      </c>
      <c r="C209" s="23" t="s">
        <v>1001</v>
      </c>
      <c r="D209" s="1">
        <v>56</v>
      </c>
      <c r="E209" s="23" t="s">
        <v>2</v>
      </c>
      <c r="F209" s="1" t="s">
        <v>3</v>
      </c>
      <c r="G209" s="3" t="s">
        <v>24</v>
      </c>
      <c r="H209" s="1" t="s">
        <v>25</v>
      </c>
      <c r="I209" s="1" t="s">
        <v>6</v>
      </c>
    </row>
    <row r="210" spans="1:10" x14ac:dyDescent="0.25">
      <c r="A210" s="1" t="s">
        <v>42</v>
      </c>
      <c r="B210" s="1" t="s">
        <v>43</v>
      </c>
      <c r="C210" s="23" t="s">
        <v>1002</v>
      </c>
      <c r="D210" s="1">
        <v>74</v>
      </c>
      <c r="E210" s="23" t="s">
        <v>2</v>
      </c>
      <c r="F210" s="1" t="s">
        <v>3</v>
      </c>
      <c r="G210" s="3" t="s">
        <v>44</v>
      </c>
      <c r="H210" s="1"/>
      <c r="I210" s="3" t="s">
        <v>11</v>
      </c>
      <c r="J210" s="12" t="s">
        <v>1003</v>
      </c>
    </row>
    <row r="211" spans="1:10" x14ac:dyDescent="0.25">
      <c r="A211" s="1" t="s">
        <v>48</v>
      </c>
      <c r="B211" s="1" t="s">
        <v>49</v>
      </c>
      <c r="C211" s="23" t="s">
        <v>1001</v>
      </c>
      <c r="D211" s="1">
        <v>66</v>
      </c>
      <c r="E211" s="23" t="s">
        <v>2</v>
      </c>
      <c r="F211" s="1" t="s">
        <v>3</v>
      </c>
      <c r="G211" s="3" t="s">
        <v>10</v>
      </c>
      <c r="H211" s="1"/>
      <c r="I211" s="3" t="s">
        <v>11</v>
      </c>
    </row>
    <row r="212" spans="1:10" x14ac:dyDescent="0.25">
      <c r="A212" s="1" t="s">
        <v>55</v>
      </c>
      <c r="B212" s="1" t="s">
        <v>56</v>
      </c>
      <c r="C212" s="23" t="s">
        <v>1002</v>
      </c>
      <c r="D212" s="1">
        <v>32</v>
      </c>
      <c r="E212" s="23" t="s">
        <v>2</v>
      </c>
      <c r="F212" s="1" t="s">
        <v>3</v>
      </c>
      <c r="G212" s="3" t="s">
        <v>10</v>
      </c>
      <c r="H212" s="1" t="s">
        <v>57</v>
      </c>
      <c r="I212" s="1" t="s">
        <v>6</v>
      </c>
    </row>
    <row r="213" spans="1:10" x14ac:dyDescent="0.25">
      <c r="A213" s="1" t="s">
        <v>133</v>
      </c>
      <c r="B213" s="1" t="s">
        <v>134</v>
      </c>
      <c r="C213" s="23" t="s">
        <v>1002</v>
      </c>
      <c r="D213" s="1">
        <v>60</v>
      </c>
      <c r="E213" s="23" t="s">
        <v>2</v>
      </c>
      <c r="F213" s="1" t="s">
        <v>3</v>
      </c>
      <c r="G213" s="3" t="s">
        <v>28</v>
      </c>
      <c r="H213" s="1" t="s">
        <v>135</v>
      </c>
      <c r="I213" s="1" t="s">
        <v>30</v>
      </c>
    </row>
    <row r="214" spans="1:10" x14ac:dyDescent="0.25">
      <c r="A214" s="1" t="s">
        <v>136</v>
      </c>
      <c r="B214" s="1" t="s">
        <v>137</v>
      </c>
      <c r="C214" s="23" t="s">
        <v>1001</v>
      </c>
      <c r="D214" s="1">
        <v>34</v>
      </c>
      <c r="E214" s="23" t="s">
        <v>2</v>
      </c>
      <c r="F214" s="1" t="s">
        <v>3</v>
      </c>
      <c r="G214" s="3" t="s">
        <v>10</v>
      </c>
      <c r="H214" s="1" t="s">
        <v>138</v>
      </c>
      <c r="I214" s="1" t="s">
        <v>6</v>
      </c>
    </row>
    <row r="215" spans="1:10" x14ac:dyDescent="0.25">
      <c r="A215" s="1" t="s">
        <v>151</v>
      </c>
      <c r="B215" s="1" t="s">
        <v>152</v>
      </c>
      <c r="C215" s="23" t="s">
        <v>1002</v>
      </c>
      <c r="D215" s="1">
        <v>56</v>
      </c>
      <c r="E215" s="23" t="s">
        <v>2</v>
      </c>
      <c r="F215" s="1" t="s">
        <v>3</v>
      </c>
      <c r="G215" s="3" t="s">
        <v>10</v>
      </c>
      <c r="H215" s="1"/>
      <c r="I215" s="3" t="s">
        <v>153</v>
      </c>
    </row>
    <row r="216" spans="1:10" x14ac:dyDescent="0.25">
      <c r="A216" s="1" t="s">
        <v>173</v>
      </c>
      <c r="B216" s="1" t="s">
        <v>174</v>
      </c>
      <c r="C216" s="23" t="s">
        <v>1002</v>
      </c>
      <c r="D216" s="1">
        <v>66</v>
      </c>
      <c r="E216" s="23" t="s">
        <v>2</v>
      </c>
      <c r="F216" s="1" t="s">
        <v>3</v>
      </c>
      <c r="G216" s="3" t="s">
        <v>10</v>
      </c>
      <c r="H216" s="1" t="s">
        <v>175</v>
      </c>
      <c r="I216" s="1" t="s">
        <v>30</v>
      </c>
    </row>
    <row r="217" spans="1:10" x14ac:dyDescent="0.25">
      <c r="A217" s="1" t="s">
        <v>180</v>
      </c>
      <c r="B217" s="1" t="s">
        <v>181</v>
      </c>
      <c r="C217" s="23" t="s">
        <v>1002</v>
      </c>
      <c r="D217" s="1">
        <v>40</v>
      </c>
      <c r="E217" s="23" t="s">
        <v>2</v>
      </c>
      <c r="F217" s="1" t="s">
        <v>3</v>
      </c>
      <c r="G217" s="3" t="s">
        <v>4</v>
      </c>
      <c r="H217" s="1" t="s">
        <v>182</v>
      </c>
      <c r="I217" s="1" t="s">
        <v>6</v>
      </c>
    </row>
    <row r="218" spans="1:10" x14ac:dyDescent="0.25">
      <c r="A218" s="1" t="s">
        <v>192</v>
      </c>
      <c r="B218" s="1" t="s">
        <v>193</v>
      </c>
      <c r="C218" s="23" t="s">
        <v>1002</v>
      </c>
      <c r="D218" s="1">
        <v>50</v>
      </c>
      <c r="E218" s="23" t="s">
        <v>2</v>
      </c>
      <c r="F218" s="1" t="s">
        <v>3</v>
      </c>
      <c r="G218" s="3" t="s">
        <v>10</v>
      </c>
      <c r="H218" s="1" t="s">
        <v>194</v>
      </c>
      <c r="I218" s="1" t="s">
        <v>6</v>
      </c>
    </row>
    <row r="219" spans="1:10" x14ac:dyDescent="0.25">
      <c r="A219" s="1" t="s">
        <v>195</v>
      </c>
      <c r="B219" s="1" t="s">
        <v>1039</v>
      </c>
      <c r="C219" s="23" t="s">
        <v>1002</v>
      </c>
      <c r="D219" s="1">
        <v>56</v>
      </c>
      <c r="E219" s="23" t="s">
        <v>2</v>
      </c>
      <c r="F219" s="1" t="s">
        <v>3</v>
      </c>
      <c r="G219" s="3" t="s">
        <v>4</v>
      </c>
      <c r="H219" s="1" t="s">
        <v>196</v>
      </c>
      <c r="I219" s="1" t="s">
        <v>6</v>
      </c>
    </row>
    <row r="220" spans="1:10" x14ac:dyDescent="0.25">
      <c r="A220" s="1" t="s">
        <v>205</v>
      </c>
      <c r="B220" s="1" t="s">
        <v>206</v>
      </c>
      <c r="C220" s="23" t="s">
        <v>1002</v>
      </c>
      <c r="D220" s="1">
        <v>42</v>
      </c>
      <c r="E220" s="23" t="s">
        <v>2</v>
      </c>
      <c r="F220" s="1" t="s">
        <v>3</v>
      </c>
      <c r="G220" s="3" t="s">
        <v>207</v>
      </c>
      <c r="H220" s="1" t="s">
        <v>208</v>
      </c>
      <c r="I220" s="1" t="s">
        <v>6</v>
      </c>
    </row>
    <row r="221" spans="1:10" x14ac:dyDescent="0.25">
      <c r="A221" s="1" t="s">
        <v>226</v>
      </c>
      <c r="B221" s="1" t="s">
        <v>1042</v>
      </c>
      <c r="C221" s="23" t="s">
        <v>1001</v>
      </c>
      <c r="D221" s="1">
        <v>50</v>
      </c>
      <c r="E221" s="23" t="s">
        <v>2</v>
      </c>
      <c r="F221" s="1" t="s">
        <v>3</v>
      </c>
      <c r="G221" s="3" t="s">
        <v>119</v>
      </c>
      <c r="H221" s="1" t="s">
        <v>227</v>
      </c>
      <c r="I221" s="1" t="s">
        <v>30</v>
      </c>
    </row>
    <row r="222" spans="1:10" x14ac:dyDescent="0.25">
      <c r="A222" s="1" t="s">
        <v>242</v>
      </c>
      <c r="B222" s="1" t="s">
        <v>243</v>
      </c>
      <c r="C222" s="23" t="s">
        <v>1002</v>
      </c>
      <c r="D222" s="1">
        <v>62</v>
      </c>
      <c r="E222" s="23" t="s">
        <v>2</v>
      </c>
      <c r="F222" s="1" t="s">
        <v>3</v>
      </c>
      <c r="G222" s="3" t="s">
        <v>10</v>
      </c>
      <c r="H222" s="1"/>
      <c r="I222" s="3" t="s">
        <v>172</v>
      </c>
    </row>
    <row r="223" spans="1:10" x14ac:dyDescent="0.25">
      <c r="A223" s="1" t="s">
        <v>261</v>
      </c>
      <c r="B223" s="1" t="s">
        <v>262</v>
      </c>
      <c r="C223" s="23" t="s">
        <v>1002</v>
      </c>
      <c r="D223" s="1">
        <v>48</v>
      </c>
      <c r="E223" s="23" t="s">
        <v>2</v>
      </c>
      <c r="F223" s="1" t="s">
        <v>3</v>
      </c>
      <c r="G223" s="3" t="s">
        <v>4</v>
      </c>
      <c r="H223" s="1"/>
      <c r="I223" s="3" t="s">
        <v>89</v>
      </c>
    </row>
    <row r="224" spans="1:10" x14ac:dyDescent="0.25">
      <c r="A224" s="1" t="s">
        <v>263</v>
      </c>
      <c r="B224" s="1" t="s">
        <v>264</v>
      </c>
      <c r="C224" s="23" t="s">
        <v>1001</v>
      </c>
      <c r="D224" s="1">
        <v>62</v>
      </c>
      <c r="E224" s="23" t="s">
        <v>2</v>
      </c>
      <c r="F224" s="1" t="s">
        <v>3</v>
      </c>
      <c r="G224" s="3" t="s">
        <v>10</v>
      </c>
      <c r="H224" s="1" t="s">
        <v>265</v>
      </c>
      <c r="I224" s="1" t="s">
        <v>30</v>
      </c>
    </row>
    <row r="225" spans="1:9" x14ac:dyDescent="0.25">
      <c r="A225" s="1" t="s">
        <v>307</v>
      </c>
      <c r="B225" s="1" t="s">
        <v>308</v>
      </c>
      <c r="C225" s="23" t="s">
        <v>1002</v>
      </c>
      <c r="D225" s="1">
        <v>60</v>
      </c>
      <c r="E225" s="23" t="s">
        <v>2</v>
      </c>
      <c r="F225" s="1" t="s">
        <v>3</v>
      </c>
      <c r="G225" s="3" t="s">
        <v>207</v>
      </c>
      <c r="H225" s="1" t="s">
        <v>309</v>
      </c>
      <c r="I225" s="1" t="s">
        <v>30</v>
      </c>
    </row>
    <row r="226" spans="1:9" x14ac:dyDescent="0.25">
      <c r="A226" s="1" t="s">
        <v>310</v>
      </c>
      <c r="B226" s="1" t="s">
        <v>311</v>
      </c>
      <c r="C226" s="23" t="s">
        <v>1001</v>
      </c>
      <c r="D226" s="1">
        <v>78</v>
      </c>
      <c r="E226" s="23" t="s">
        <v>2</v>
      </c>
      <c r="F226" s="1" t="s">
        <v>3</v>
      </c>
      <c r="G226" s="3" t="s">
        <v>10</v>
      </c>
      <c r="H226" s="1" t="s">
        <v>312</v>
      </c>
      <c r="I226" s="1" t="s">
        <v>30</v>
      </c>
    </row>
    <row r="227" spans="1:9" x14ac:dyDescent="0.25">
      <c r="A227" s="1" t="s">
        <v>313</v>
      </c>
      <c r="B227" s="1" t="s">
        <v>314</v>
      </c>
      <c r="C227" s="23" t="s">
        <v>1002</v>
      </c>
      <c r="D227" s="1">
        <v>76</v>
      </c>
      <c r="E227" s="23" t="s">
        <v>2</v>
      </c>
      <c r="F227" s="1" t="s">
        <v>3</v>
      </c>
      <c r="G227" s="3" t="s">
        <v>4</v>
      </c>
      <c r="H227" s="1"/>
      <c r="I227" s="3" t="s">
        <v>11</v>
      </c>
    </row>
    <row r="228" spans="1:9" x14ac:dyDescent="0.25">
      <c r="A228" s="1" t="s">
        <v>326</v>
      </c>
      <c r="B228" s="1" t="s">
        <v>1047</v>
      </c>
      <c r="C228" s="23" t="s">
        <v>1002</v>
      </c>
      <c r="D228" s="1">
        <v>62</v>
      </c>
      <c r="E228" s="23" t="s">
        <v>2</v>
      </c>
      <c r="F228" s="1" t="s">
        <v>3</v>
      </c>
      <c r="G228" s="3" t="s">
        <v>10</v>
      </c>
      <c r="H228" s="1"/>
      <c r="I228" s="3" t="s">
        <v>11</v>
      </c>
    </row>
    <row r="229" spans="1:9" x14ac:dyDescent="0.25">
      <c r="A229" s="1" t="s">
        <v>338</v>
      </c>
      <c r="B229" s="1" t="s">
        <v>339</v>
      </c>
      <c r="C229" s="23" t="s">
        <v>1002</v>
      </c>
      <c r="D229" s="1">
        <v>54</v>
      </c>
      <c r="E229" s="23" t="s">
        <v>2</v>
      </c>
      <c r="F229" s="1" t="s">
        <v>3</v>
      </c>
      <c r="G229" s="3" t="s">
        <v>4</v>
      </c>
      <c r="H229" s="1" t="s">
        <v>340</v>
      </c>
      <c r="I229" s="1" t="s">
        <v>6</v>
      </c>
    </row>
    <row r="230" spans="1:9" x14ac:dyDescent="0.25">
      <c r="A230" s="1" t="s">
        <v>354</v>
      </c>
      <c r="B230" s="1" t="s">
        <v>355</v>
      </c>
      <c r="C230" s="23" t="s">
        <v>1001</v>
      </c>
      <c r="D230" s="1">
        <v>76</v>
      </c>
      <c r="E230" s="23" t="s">
        <v>2</v>
      </c>
      <c r="F230" s="1" t="s">
        <v>3</v>
      </c>
      <c r="G230" s="3" t="s">
        <v>10</v>
      </c>
      <c r="H230" s="1" t="s">
        <v>356</v>
      </c>
      <c r="I230" s="1" t="s">
        <v>30</v>
      </c>
    </row>
    <row r="231" spans="1:9" x14ac:dyDescent="0.25">
      <c r="A231" s="1" t="s">
        <v>357</v>
      </c>
      <c r="B231" s="1" t="s">
        <v>358</v>
      </c>
      <c r="C231" s="23" t="s">
        <v>1001</v>
      </c>
      <c r="D231" s="1">
        <v>66</v>
      </c>
      <c r="E231" s="23" t="s">
        <v>2</v>
      </c>
      <c r="F231" s="1" t="s">
        <v>3</v>
      </c>
      <c r="G231" s="3" t="s">
        <v>4</v>
      </c>
      <c r="H231" s="1" t="s">
        <v>359</v>
      </c>
      <c r="I231" s="1" t="s">
        <v>30</v>
      </c>
    </row>
    <row r="232" spans="1:9" x14ac:dyDescent="0.25">
      <c r="A232" s="1" t="s">
        <v>372</v>
      </c>
      <c r="B232" s="1" t="s">
        <v>373</v>
      </c>
      <c r="C232" s="23" t="s">
        <v>1002</v>
      </c>
      <c r="D232" s="1">
        <v>60</v>
      </c>
      <c r="E232" s="23" t="s">
        <v>2</v>
      </c>
      <c r="F232" s="1" t="s">
        <v>3</v>
      </c>
      <c r="G232" s="3" t="s">
        <v>44</v>
      </c>
      <c r="H232" s="1" t="s">
        <v>374</v>
      </c>
      <c r="I232" s="1" t="s">
        <v>6</v>
      </c>
    </row>
    <row r="233" spans="1:9" x14ac:dyDescent="0.25">
      <c r="A233" s="1" t="s">
        <v>375</v>
      </c>
      <c r="B233" s="1" t="s">
        <v>1050</v>
      </c>
      <c r="C233" s="23" t="s">
        <v>1002</v>
      </c>
      <c r="D233" s="1">
        <v>80</v>
      </c>
      <c r="E233" s="23" t="s">
        <v>2</v>
      </c>
      <c r="F233" s="1" t="s">
        <v>3</v>
      </c>
      <c r="G233" s="3" t="s">
        <v>10</v>
      </c>
      <c r="H233" s="1"/>
      <c r="I233" s="3" t="s">
        <v>11</v>
      </c>
    </row>
    <row r="234" spans="1:9" x14ac:dyDescent="0.25">
      <c r="A234" s="1" t="s">
        <v>416</v>
      </c>
      <c r="B234" s="1" t="s">
        <v>417</v>
      </c>
      <c r="C234" s="23" t="s">
        <v>1002</v>
      </c>
      <c r="D234" s="1">
        <v>56</v>
      </c>
      <c r="E234" s="23" t="s">
        <v>2</v>
      </c>
      <c r="F234" s="1" t="s">
        <v>3</v>
      </c>
      <c r="G234" s="3" t="s">
        <v>10</v>
      </c>
      <c r="H234" s="1"/>
      <c r="I234" s="3" t="s">
        <v>172</v>
      </c>
    </row>
    <row r="235" spans="1:9" x14ac:dyDescent="0.25">
      <c r="A235" s="1" t="s">
        <v>424</v>
      </c>
      <c r="B235" s="1" t="s">
        <v>425</v>
      </c>
      <c r="C235" s="23" t="s">
        <v>1001</v>
      </c>
      <c r="D235" s="1">
        <v>46</v>
      </c>
      <c r="E235" s="23" t="s">
        <v>2</v>
      </c>
      <c r="F235" s="1" t="s">
        <v>3</v>
      </c>
      <c r="G235" s="3" t="s">
        <v>10</v>
      </c>
      <c r="H235" s="1" t="s">
        <v>426</v>
      </c>
      <c r="I235" s="1" t="s">
        <v>6</v>
      </c>
    </row>
    <row r="236" spans="1:9" x14ac:dyDescent="0.25">
      <c r="A236" s="1" t="s">
        <v>442</v>
      </c>
      <c r="B236" s="1" t="s">
        <v>443</v>
      </c>
      <c r="C236" s="23" t="s">
        <v>1001</v>
      </c>
      <c r="D236" s="1">
        <v>44</v>
      </c>
      <c r="E236" s="23" t="s">
        <v>2</v>
      </c>
      <c r="F236" s="1" t="s">
        <v>3</v>
      </c>
      <c r="G236" s="3" t="s">
        <v>10</v>
      </c>
      <c r="H236" s="1" t="s">
        <v>444</v>
      </c>
      <c r="I236" s="1" t="s">
        <v>6</v>
      </c>
    </row>
    <row r="237" spans="1:9" x14ac:dyDescent="0.25">
      <c r="A237" s="1" t="s">
        <v>445</v>
      </c>
      <c r="B237" s="1" t="s">
        <v>446</v>
      </c>
      <c r="C237" s="23" t="s">
        <v>1001</v>
      </c>
      <c r="D237" s="1">
        <v>48</v>
      </c>
      <c r="E237" s="23" t="s">
        <v>2</v>
      </c>
      <c r="F237" s="1" t="s">
        <v>3</v>
      </c>
      <c r="G237" s="3" t="s">
        <v>4</v>
      </c>
      <c r="H237" s="1" t="s">
        <v>447</v>
      </c>
      <c r="I237" s="1" t="s">
        <v>6</v>
      </c>
    </row>
    <row r="238" spans="1:9" x14ac:dyDescent="0.25">
      <c r="A238" s="1" t="s">
        <v>499</v>
      </c>
      <c r="B238" s="1" t="s">
        <v>500</v>
      </c>
      <c r="C238" s="23" t="s">
        <v>1001</v>
      </c>
      <c r="D238" s="1">
        <v>52</v>
      </c>
      <c r="E238" s="23" t="s">
        <v>2</v>
      </c>
      <c r="F238" s="1" t="s">
        <v>3</v>
      </c>
      <c r="G238" s="3" t="s">
        <v>207</v>
      </c>
      <c r="H238" s="1" t="s">
        <v>501</v>
      </c>
      <c r="I238" s="1" t="s">
        <v>30</v>
      </c>
    </row>
    <row r="239" spans="1:9" x14ac:dyDescent="0.25">
      <c r="A239" s="1" t="s">
        <v>516</v>
      </c>
      <c r="B239" s="1" t="s">
        <v>517</v>
      </c>
      <c r="C239" s="23" t="s">
        <v>1002</v>
      </c>
      <c r="D239" s="1">
        <v>62</v>
      </c>
      <c r="E239" s="23" t="s">
        <v>2</v>
      </c>
      <c r="F239" s="1" t="s">
        <v>3</v>
      </c>
      <c r="G239" s="3" t="s">
        <v>4</v>
      </c>
      <c r="H239" s="1" t="s">
        <v>518</v>
      </c>
      <c r="I239" s="1" t="s">
        <v>30</v>
      </c>
    </row>
    <row r="240" spans="1:9" x14ac:dyDescent="0.25">
      <c r="A240" s="1" t="s">
        <v>519</v>
      </c>
      <c r="B240" s="1" t="s">
        <v>520</v>
      </c>
      <c r="C240" s="23" t="s">
        <v>1002</v>
      </c>
      <c r="D240" s="1">
        <v>84</v>
      </c>
      <c r="E240" s="23" t="s">
        <v>2</v>
      </c>
      <c r="F240" s="1" t="s">
        <v>3</v>
      </c>
      <c r="G240" s="3" t="s">
        <v>10</v>
      </c>
      <c r="H240" s="1" t="s">
        <v>521</v>
      </c>
      <c r="I240" s="1" t="s">
        <v>30</v>
      </c>
    </row>
    <row r="241" spans="1:9" x14ac:dyDescent="0.25">
      <c r="A241" s="1" t="s">
        <v>530</v>
      </c>
      <c r="B241" s="1" t="s">
        <v>531</v>
      </c>
      <c r="C241" s="23" t="s">
        <v>1002</v>
      </c>
      <c r="D241" s="1">
        <v>58</v>
      </c>
      <c r="E241" s="23" t="s">
        <v>2</v>
      </c>
      <c r="F241" s="1" t="s">
        <v>3</v>
      </c>
      <c r="G241" s="3" t="s">
        <v>10</v>
      </c>
      <c r="H241" s="1" t="s">
        <v>532</v>
      </c>
      <c r="I241" s="1" t="s">
        <v>30</v>
      </c>
    </row>
    <row r="242" spans="1:9" x14ac:dyDescent="0.25">
      <c r="A242" s="1" t="s">
        <v>588</v>
      </c>
      <c r="B242" s="1" t="s">
        <v>589</v>
      </c>
      <c r="C242" s="23" t="s">
        <v>1001</v>
      </c>
      <c r="D242" s="1">
        <v>48</v>
      </c>
      <c r="E242" s="23" t="s">
        <v>2</v>
      </c>
      <c r="F242" s="1" t="s">
        <v>3</v>
      </c>
      <c r="G242" s="3" t="s">
        <v>4</v>
      </c>
      <c r="H242" s="1" t="s">
        <v>590</v>
      </c>
      <c r="I242" s="1" t="s">
        <v>6</v>
      </c>
    </row>
    <row r="243" spans="1:9" x14ac:dyDescent="0.25">
      <c r="A243" s="1" t="s">
        <v>591</v>
      </c>
      <c r="B243" s="1" t="s">
        <v>592</v>
      </c>
      <c r="C243" s="23" t="s">
        <v>1002</v>
      </c>
      <c r="D243" s="1">
        <v>74</v>
      </c>
      <c r="E243" s="23" t="s">
        <v>2</v>
      </c>
      <c r="F243" s="1" t="s">
        <v>3</v>
      </c>
      <c r="G243" s="3" t="s">
        <v>10</v>
      </c>
      <c r="H243" s="1" t="s">
        <v>593</v>
      </c>
      <c r="I243" s="1" t="s">
        <v>30</v>
      </c>
    </row>
    <row r="244" spans="1:9" x14ac:dyDescent="0.25">
      <c r="A244" s="1" t="s">
        <v>596</v>
      </c>
      <c r="B244" s="1" t="s">
        <v>597</v>
      </c>
      <c r="C244" s="23" t="s">
        <v>1001</v>
      </c>
      <c r="D244" s="1">
        <v>54</v>
      </c>
      <c r="E244" s="23" t="s">
        <v>2</v>
      </c>
      <c r="F244" s="1" t="s">
        <v>3</v>
      </c>
      <c r="G244" s="3" t="s">
        <v>10</v>
      </c>
      <c r="H244" s="1" t="s">
        <v>598</v>
      </c>
      <c r="I244" s="1" t="s">
        <v>6</v>
      </c>
    </row>
    <row r="245" spans="1:9" x14ac:dyDescent="0.25">
      <c r="A245" s="1" t="s">
        <v>615</v>
      </c>
      <c r="B245" s="1" t="s">
        <v>616</v>
      </c>
      <c r="C245" s="23" t="s">
        <v>1001</v>
      </c>
      <c r="D245" s="1">
        <v>44</v>
      </c>
      <c r="E245" s="23" t="s">
        <v>2</v>
      </c>
      <c r="F245" s="1" t="s">
        <v>3</v>
      </c>
      <c r="G245" s="3" t="s">
        <v>10</v>
      </c>
      <c r="H245" s="1" t="s">
        <v>617</v>
      </c>
      <c r="I245" s="1" t="s">
        <v>6</v>
      </c>
    </row>
    <row r="246" spans="1:9" x14ac:dyDescent="0.25">
      <c r="A246" s="1" t="s">
        <v>618</v>
      </c>
      <c r="B246" s="1" t="s">
        <v>619</v>
      </c>
      <c r="C246" s="23" t="s">
        <v>1002</v>
      </c>
      <c r="D246" s="1">
        <v>40</v>
      </c>
      <c r="E246" s="23" t="s">
        <v>2</v>
      </c>
      <c r="F246" s="1" t="s">
        <v>3</v>
      </c>
      <c r="G246" s="3" t="s">
        <v>10</v>
      </c>
      <c r="H246" s="1" t="s">
        <v>620</v>
      </c>
      <c r="I246" s="1" t="s">
        <v>30</v>
      </c>
    </row>
    <row r="247" spans="1:9" x14ac:dyDescent="0.25">
      <c r="A247" s="1" t="s">
        <v>687</v>
      </c>
      <c r="B247" s="1" t="s">
        <v>688</v>
      </c>
      <c r="C247" s="23" t="s">
        <v>1002</v>
      </c>
      <c r="D247" s="1">
        <v>40</v>
      </c>
      <c r="E247" s="23" t="s">
        <v>2</v>
      </c>
      <c r="F247" s="1" t="s">
        <v>3</v>
      </c>
      <c r="G247" s="3" t="s">
        <v>10</v>
      </c>
      <c r="H247" s="1" t="s">
        <v>689</v>
      </c>
      <c r="I247" s="1" t="s">
        <v>6</v>
      </c>
    </row>
    <row r="248" spans="1:9" x14ac:dyDescent="0.25">
      <c r="A248" s="1" t="s">
        <v>690</v>
      </c>
      <c r="B248" s="1" t="s">
        <v>691</v>
      </c>
      <c r="C248" s="23" t="s">
        <v>1002</v>
      </c>
      <c r="D248" s="1">
        <v>48</v>
      </c>
      <c r="E248" s="23" t="s">
        <v>2</v>
      </c>
      <c r="F248" s="1" t="s">
        <v>3</v>
      </c>
      <c r="G248" s="3" t="s">
        <v>28</v>
      </c>
      <c r="H248" s="1" t="s">
        <v>692</v>
      </c>
      <c r="I248" s="1" t="s">
        <v>30</v>
      </c>
    </row>
    <row r="249" spans="1:9" x14ac:dyDescent="0.25">
      <c r="A249" s="1" t="s">
        <v>704</v>
      </c>
      <c r="B249" s="1" t="s">
        <v>705</v>
      </c>
      <c r="C249" s="23" t="s">
        <v>1002</v>
      </c>
      <c r="D249" s="1">
        <v>54</v>
      </c>
      <c r="E249" s="23" t="s">
        <v>2</v>
      </c>
      <c r="F249" s="1" t="s">
        <v>3</v>
      </c>
      <c r="G249" s="3" t="s">
        <v>4</v>
      </c>
      <c r="H249" s="1" t="s">
        <v>706</v>
      </c>
      <c r="I249" s="1" t="s">
        <v>6</v>
      </c>
    </row>
    <row r="250" spans="1:9" x14ac:dyDescent="0.25">
      <c r="A250" s="1" t="s">
        <v>710</v>
      </c>
      <c r="B250" s="1" t="s">
        <v>711</v>
      </c>
      <c r="C250" s="23" t="s">
        <v>1002</v>
      </c>
      <c r="D250" s="1">
        <v>42</v>
      </c>
      <c r="E250" s="23" t="s">
        <v>2</v>
      </c>
      <c r="F250" s="1" t="s">
        <v>3</v>
      </c>
      <c r="G250" s="3" t="s">
        <v>4</v>
      </c>
      <c r="H250" s="1" t="s">
        <v>712</v>
      </c>
      <c r="I250" s="1" t="s">
        <v>6</v>
      </c>
    </row>
    <row r="251" spans="1:9" x14ac:dyDescent="0.25">
      <c r="A251" s="1" t="s">
        <v>721</v>
      </c>
      <c r="B251" s="1" t="s">
        <v>1059</v>
      </c>
      <c r="C251" s="23" t="s">
        <v>1002</v>
      </c>
      <c r="D251" s="1">
        <v>38</v>
      </c>
      <c r="E251" s="23" t="s">
        <v>2</v>
      </c>
      <c r="F251" s="1" t="s">
        <v>3</v>
      </c>
      <c r="G251" s="3" t="s">
        <v>24</v>
      </c>
      <c r="H251" s="1"/>
      <c r="I251" s="3" t="s">
        <v>89</v>
      </c>
    </row>
    <row r="252" spans="1:9" x14ac:dyDescent="0.25">
      <c r="A252" s="1" t="s">
        <v>755</v>
      </c>
      <c r="B252" s="1" t="s">
        <v>756</v>
      </c>
      <c r="C252" s="23" t="s">
        <v>1001</v>
      </c>
      <c r="D252" s="1">
        <v>58</v>
      </c>
      <c r="E252" s="23" t="s">
        <v>2</v>
      </c>
      <c r="F252" s="1" t="s">
        <v>3</v>
      </c>
      <c r="G252" s="3" t="s">
        <v>4</v>
      </c>
      <c r="H252" s="1" t="s">
        <v>757</v>
      </c>
      <c r="I252" s="1" t="s">
        <v>6</v>
      </c>
    </row>
    <row r="253" spans="1:9" x14ac:dyDescent="0.25">
      <c r="A253" s="1" t="s">
        <v>760</v>
      </c>
      <c r="B253" s="1" t="s">
        <v>761</v>
      </c>
      <c r="C253" s="23" t="s">
        <v>1001</v>
      </c>
      <c r="D253" s="1">
        <v>66</v>
      </c>
      <c r="E253" s="23" t="s">
        <v>2</v>
      </c>
      <c r="F253" s="1" t="s">
        <v>3</v>
      </c>
      <c r="G253" s="3" t="s">
        <v>4</v>
      </c>
      <c r="H253" s="1" t="s">
        <v>762</v>
      </c>
      <c r="I253" s="1" t="s">
        <v>30</v>
      </c>
    </row>
    <row r="254" spans="1:9" x14ac:dyDescent="0.25">
      <c r="A254" s="1" t="s">
        <v>763</v>
      </c>
      <c r="B254" s="1" t="s">
        <v>764</v>
      </c>
      <c r="C254" s="23" t="s">
        <v>1001</v>
      </c>
      <c r="D254" s="1">
        <v>56</v>
      </c>
      <c r="E254" s="23" t="s">
        <v>2</v>
      </c>
      <c r="F254" s="1" t="s">
        <v>3</v>
      </c>
      <c r="G254" s="3" t="s">
        <v>4</v>
      </c>
      <c r="H254" s="1" t="s">
        <v>765</v>
      </c>
      <c r="I254" s="1" t="s">
        <v>6</v>
      </c>
    </row>
    <row r="255" spans="1:9" x14ac:dyDescent="0.25">
      <c r="A255" s="1" t="s">
        <v>769</v>
      </c>
      <c r="B255" s="1" t="s">
        <v>770</v>
      </c>
      <c r="C255" s="23" t="s">
        <v>1001</v>
      </c>
      <c r="D255" s="1">
        <v>82</v>
      </c>
      <c r="E255" s="23" t="s">
        <v>2</v>
      </c>
      <c r="F255" s="1" t="s">
        <v>3</v>
      </c>
      <c r="G255" s="3" t="s">
        <v>10</v>
      </c>
      <c r="H255" s="1" t="s">
        <v>771</v>
      </c>
      <c r="I255" s="1" t="s">
        <v>6</v>
      </c>
    </row>
    <row r="256" spans="1:9" x14ac:dyDescent="0.25">
      <c r="A256" s="1" t="s">
        <v>780</v>
      </c>
      <c r="B256" s="1" t="s">
        <v>781</v>
      </c>
      <c r="C256" s="23" t="s">
        <v>1002</v>
      </c>
      <c r="D256" s="1">
        <v>48</v>
      </c>
      <c r="E256" s="23" t="s">
        <v>2</v>
      </c>
      <c r="F256" s="1" t="s">
        <v>3</v>
      </c>
      <c r="G256" s="3" t="s">
        <v>10</v>
      </c>
      <c r="H256" s="1"/>
      <c r="I256" s="3" t="s">
        <v>89</v>
      </c>
    </row>
    <row r="257" spans="1:9" x14ac:dyDescent="0.25">
      <c r="A257" s="1" t="s">
        <v>804</v>
      </c>
      <c r="B257" s="1" t="s">
        <v>805</v>
      </c>
      <c r="C257" s="23" t="s">
        <v>1002</v>
      </c>
      <c r="D257" s="1">
        <v>46</v>
      </c>
      <c r="E257" s="23" t="s">
        <v>2</v>
      </c>
      <c r="F257" s="1" t="s">
        <v>3</v>
      </c>
      <c r="G257" s="3" t="s">
        <v>10</v>
      </c>
      <c r="H257" s="1" t="s">
        <v>806</v>
      </c>
      <c r="I257" s="1" t="s">
        <v>6</v>
      </c>
    </row>
    <row r="258" spans="1:9" x14ac:dyDescent="0.25">
      <c r="A258" s="1" t="s">
        <v>807</v>
      </c>
      <c r="B258" s="1" t="s">
        <v>808</v>
      </c>
      <c r="C258" s="23" t="s">
        <v>1001</v>
      </c>
      <c r="D258" s="1">
        <v>46</v>
      </c>
      <c r="E258" s="23" t="s">
        <v>2</v>
      </c>
      <c r="F258" s="1" t="s">
        <v>3</v>
      </c>
      <c r="G258" s="3" t="s">
        <v>10</v>
      </c>
      <c r="H258" s="1" t="s">
        <v>809</v>
      </c>
      <c r="I258" s="1" t="s">
        <v>6</v>
      </c>
    </row>
    <row r="259" spans="1:9" x14ac:dyDescent="0.25">
      <c r="A259" s="1" t="s">
        <v>837</v>
      </c>
      <c r="B259" s="1" t="s">
        <v>838</v>
      </c>
      <c r="C259" s="23" t="s">
        <v>1001</v>
      </c>
      <c r="D259" s="1">
        <v>34</v>
      </c>
      <c r="E259" s="23" t="s">
        <v>2</v>
      </c>
      <c r="F259" s="1" t="s">
        <v>3</v>
      </c>
      <c r="G259" s="3" t="s">
        <v>4</v>
      </c>
      <c r="H259" s="1" t="s">
        <v>839</v>
      </c>
      <c r="I259" s="1" t="s">
        <v>6</v>
      </c>
    </row>
    <row r="260" spans="1:9" x14ac:dyDescent="0.25">
      <c r="A260" s="1" t="s">
        <v>851</v>
      </c>
      <c r="B260" s="1" t="s">
        <v>852</v>
      </c>
      <c r="C260" s="23" t="s">
        <v>1002</v>
      </c>
      <c r="D260" s="1">
        <v>44</v>
      </c>
      <c r="E260" s="23" t="s">
        <v>2</v>
      </c>
      <c r="F260" s="1" t="s">
        <v>3</v>
      </c>
      <c r="G260" s="3" t="s">
        <v>4</v>
      </c>
      <c r="H260" s="1"/>
      <c r="I260" s="3" t="s">
        <v>89</v>
      </c>
    </row>
    <row r="261" spans="1:9" x14ac:dyDescent="0.25">
      <c r="A261" s="1" t="s">
        <v>858</v>
      </c>
      <c r="B261" s="1" t="s">
        <v>859</v>
      </c>
      <c r="C261" s="23" t="s">
        <v>1001</v>
      </c>
      <c r="D261" s="1">
        <v>56</v>
      </c>
      <c r="E261" s="23" t="s">
        <v>2</v>
      </c>
      <c r="F261" s="1" t="s">
        <v>3</v>
      </c>
      <c r="G261" s="3" t="s">
        <v>10</v>
      </c>
      <c r="H261" s="1" t="s">
        <v>860</v>
      </c>
      <c r="I261" s="1" t="s">
        <v>30</v>
      </c>
    </row>
    <row r="262" spans="1:9" x14ac:dyDescent="0.25">
      <c r="A262" s="1" t="s">
        <v>861</v>
      </c>
      <c r="B262" s="1" t="s">
        <v>862</v>
      </c>
      <c r="C262" s="23" t="s">
        <v>1002</v>
      </c>
      <c r="D262" s="1">
        <v>56</v>
      </c>
      <c r="E262" s="23" t="s">
        <v>2</v>
      </c>
      <c r="F262" s="1" t="s">
        <v>3</v>
      </c>
      <c r="G262" s="3" t="s">
        <v>28</v>
      </c>
      <c r="H262" s="1" t="s">
        <v>863</v>
      </c>
      <c r="I262" s="1" t="s">
        <v>30</v>
      </c>
    </row>
    <row r="263" spans="1:9" x14ac:dyDescent="0.25">
      <c r="A263" s="1" t="s">
        <v>864</v>
      </c>
      <c r="B263" s="1" t="s">
        <v>1064</v>
      </c>
      <c r="C263" s="23" t="s">
        <v>1001</v>
      </c>
      <c r="D263" s="1">
        <v>52</v>
      </c>
      <c r="E263" s="23" t="s">
        <v>2</v>
      </c>
      <c r="F263" s="1" t="s">
        <v>3</v>
      </c>
      <c r="G263" s="3" t="s">
        <v>28</v>
      </c>
      <c r="H263" s="1" t="s">
        <v>865</v>
      </c>
      <c r="I263" s="1" t="s">
        <v>6</v>
      </c>
    </row>
    <row r="264" spans="1:9" x14ac:dyDescent="0.25">
      <c r="A264" s="1" t="s">
        <v>866</v>
      </c>
      <c r="B264" s="1" t="s">
        <v>867</v>
      </c>
      <c r="C264" s="23" t="s">
        <v>1002</v>
      </c>
      <c r="D264" s="1">
        <v>48</v>
      </c>
      <c r="E264" s="23" t="s">
        <v>2</v>
      </c>
      <c r="F264" s="1" t="s">
        <v>3</v>
      </c>
      <c r="G264" s="3" t="s">
        <v>129</v>
      </c>
      <c r="H264" s="1" t="s">
        <v>868</v>
      </c>
      <c r="I264" s="1" t="s">
        <v>30</v>
      </c>
    </row>
    <row r="265" spans="1:9" x14ac:dyDescent="0.25">
      <c r="A265" s="1" t="s">
        <v>878</v>
      </c>
      <c r="B265" s="1" t="s">
        <v>879</v>
      </c>
      <c r="C265" s="23" t="s">
        <v>1001</v>
      </c>
      <c r="D265" s="1">
        <v>33</v>
      </c>
      <c r="E265" s="23" t="s">
        <v>2</v>
      </c>
      <c r="F265" s="1" t="s">
        <v>3</v>
      </c>
      <c r="G265" s="3" t="s">
        <v>10</v>
      </c>
      <c r="H265" s="1" t="s">
        <v>880</v>
      </c>
      <c r="I265" s="1" t="s">
        <v>6</v>
      </c>
    </row>
    <row r="266" spans="1:9" x14ac:dyDescent="0.25">
      <c r="A266" s="1" t="s">
        <v>881</v>
      </c>
      <c r="B266" s="1" t="s">
        <v>882</v>
      </c>
      <c r="C266" s="23" t="s">
        <v>1002</v>
      </c>
      <c r="D266" s="1">
        <v>40</v>
      </c>
      <c r="E266" s="23" t="s">
        <v>2</v>
      </c>
      <c r="F266" s="1" t="s">
        <v>3</v>
      </c>
      <c r="G266" s="3" t="s">
        <v>4</v>
      </c>
      <c r="H266" s="1" t="s">
        <v>883</v>
      </c>
      <c r="I266" s="1" t="s">
        <v>6</v>
      </c>
    </row>
    <row r="267" spans="1:9" x14ac:dyDescent="0.25">
      <c r="A267" s="1" t="s">
        <v>886</v>
      </c>
      <c r="B267" s="1" t="s">
        <v>887</v>
      </c>
      <c r="C267" s="23" t="s">
        <v>1002</v>
      </c>
      <c r="D267" s="1">
        <v>70</v>
      </c>
      <c r="E267" s="23" t="s">
        <v>2</v>
      </c>
      <c r="F267" s="1" t="s">
        <v>3</v>
      </c>
      <c r="G267" s="3" t="s">
        <v>10</v>
      </c>
      <c r="H267" s="1"/>
      <c r="I267" s="3" t="s">
        <v>113</v>
      </c>
    </row>
    <row r="268" spans="1:9" x14ac:dyDescent="0.25">
      <c r="A268" s="1" t="s">
        <v>892</v>
      </c>
      <c r="B268" s="1" t="s">
        <v>893</v>
      </c>
      <c r="C268" s="23" t="s">
        <v>1002</v>
      </c>
      <c r="D268" s="1">
        <v>58</v>
      </c>
      <c r="E268" s="23" t="s">
        <v>2</v>
      </c>
      <c r="F268" s="1" t="s">
        <v>3</v>
      </c>
      <c r="G268" s="3" t="s">
        <v>10</v>
      </c>
      <c r="H268" s="1" t="s">
        <v>894</v>
      </c>
      <c r="I268" s="1" t="s">
        <v>30</v>
      </c>
    </row>
    <row r="269" spans="1:9" x14ac:dyDescent="0.25">
      <c r="A269" s="1" t="s">
        <v>912</v>
      </c>
      <c r="B269" s="1" t="s">
        <v>1067</v>
      </c>
      <c r="C269" s="23" t="s">
        <v>1002</v>
      </c>
      <c r="D269" s="1">
        <v>62</v>
      </c>
      <c r="E269" s="23" t="s">
        <v>2</v>
      </c>
      <c r="F269" s="1" t="s">
        <v>3</v>
      </c>
      <c r="G269" s="3" t="s">
        <v>28</v>
      </c>
      <c r="H269" s="1" t="s">
        <v>913</v>
      </c>
      <c r="I269" s="1" t="s">
        <v>30</v>
      </c>
    </row>
    <row r="270" spans="1:9" x14ac:dyDescent="0.25">
      <c r="A270" s="1" t="s">
        <v>922</v>
      </c>
      <c r="B270" s="1" t="s">
        <v>923</v>
      </c>
      <c r="C270" s="23" t="s">
        <v>1001</v>
      </c>
      <c r="D270" s="1">
        <v>60</v>
      </c>
      <c r="E270" s="23" t="s">
        <v>2</v>
      </c>
      <c r="F270" s="1" t="s">
        <v>3</v>
      </c>
      <c r="G270" s="3" t="s">
        <v>10</v>
      </c>
      <c r="H270" s="1" t="s">
        <v>924</v>
      </c>
      <c r="I270" s="1" t="s">
        <v>6</v>
      </c>
    </row>
    <row r="271" spans="1:9" x14ac:dyDescent="0.25">
      <c r="A271" s="1" t="s">
        <v>925</v>
      </c>
      <c r="B271" s="1" t="s">
        <v>1069</v>
      </c>
      <c r="C271" s="23" t="s">
        <v>1002</v>
      </c>
      <c r="D271" s="1">
        <v>76</v>
      </c>
      <c r="E271" s="23" t="s">
        <v>2</v>
      </c>
      <c r="F271" s="1" t="s">
        <v>3</v>
      </c>
      <c r="G271" s="3" t="s">
        <v>10</v>
      </c>
      <c r="H271" s="1"/>
      <c r="I271" s="3" t="s">
        <v>11</v>
      </c>
    </row>
    <row r="272" spans="1:9" x14ac:dyDescent="0.25">
      <c r="A272" s="1" t="s">
        <v>940</v>
      </c>
      <c r="B272" s="1" t="s">
        <v>941</v>
      </c>
      <c r="C272" s="23" t="s">
        <v>1001</v>
      </c>
      <c r="D272" s="1">
        <v>52</v>
      </c>
      <c r="E272" s="23" t="s">
        <v>2</v>
      </c>
      <c r="F272" s="1" t="s">
        <v>3</v>
      </c>
      <c r="G272" s="3" t="s">
        <v>119</v>
      </c>
      <c r="H272" s="1" t="s">
        <v>942</v>
      </c>
      <c r="I272" s="1" t="s">
        <v>30</v>
      </c>
    </row>
    <row r="273" spans="1:9" x14ac:dyDescent="0.25">
      <c r="A273" s="1" t="s">
        <v>949</v>
      </c>
      <c r="B273" s="1" t="s">
        <v>950</v>
      </c>
      <c r="C273" s="23" t="s">
        <v>1001</v>
      </c>
      <c r="D273" s="1">
        <v>66</v>
      </c>
      <c r="E273" s="23" t="s">
        <v>2</v>
      </c>
      <c r="F273" s="1" t="s">
        <v>3</v>
      </c>
      <c r="G273" s="3" t="s">
        <v>4</v>
      </c>
      <c r="H273" s="1"/>
      <c r="I273" s="3" t="s">
        <v>113</v>
      </c>
    </row>
    <row r="274" spans="1:9" x14ac:dyDescent="0.25">
      <c r="A274" s="1" t="s">
        <v>978</v>
      </c>
      <c r="B274" s="1" t="s">
        <v>979</v>
      </c>
      <c r="C274" s="23" t="s">
        <v>1002</v>
      </c>
      <c r="D274" s="1">
        <v>34</v>
      </c>
      <c r="E274" s="23" t="s">
        <v>2</v>
      </c>
      <c r="F274" s="1" t="s">
        <v>3</v>
      </c>
      <c r="G274" s="3" t="s">
        <v>10</v>
      </c>
      <c r="H274" s="1"/>
      <c r="I274" s="3" t="s">
        <v>113</v>
      </c>
    </row>
    <row r="275" spans="1:9" x14ac:dyDescent="0.25">
      <c r="A275" s="1" t="s">
        <v>980</v>
      </c>
      <c r="B275" s="1" t="s">
        <v>981</v>
      </c>
      <c r="C275" s="23" t="s">
        <v>1002</v>
      </c>
      <c r="D275" s="1">
        <v>70</v>
      </c>
      <c r="E275" s="23" t="s">
        <v>2</v>
      </c>
      <c r="F275" s="1" t="s">
        <v>3</v>
      </c>
      <c r="G275" s="3" t="s">
        <v>207</v>
      </c>
      <c r="H275" s="1"/>
      <c r="I275" s="3" t="s">
        <v>113</v>
      </c>
    </row>
    <row r="276" spans="1:9" x14ac:dyDescent="0.25">
      <c r="A276" s="1" t="s">
        <v>114</v>
      </c>
      <c r="B276" s="1" t="s">
        <v>115</v>
      </c>
      <c r="C276" s="23" t="s">
        <v>1002</v>
      </c>
      <c r="D276" s="1">
        <v>80</v>
      </c>
      <c r="E276" s="23" t="s">
        <v>2</v>
      </c>
      <c r="F276" s="1"/>
      <c r="G276" s="3" t="s">
        <v>116</v>
      </c>
      <c r="H276" s="1"/>
      <c r="I276" s="3" t="s">
        <v>11</v>
      </c>
    </row>
    <row r="277" spans="1:9" x14ac:dyDescent="0.25">
      <c r="A277" s="1" t="s">
        <v>169</v>
      </c>
      <c r="B277" s="1" t="s">
        <v>170</v>
      </c>
      <c r="C277" s="23" t="s">
        <v>1002</v>
      </c>
      <c r="D277" s="1">
        <v>44</v>
      </c>
      <c r="E277" s="23"/>
      <c r="F277" s="1"/>
      <c r="G277" s="3" t="s">
        <v>171</v>
      </c>
      <c r="H277" s="1"/>
      <c r="I277" s="3" t="s">
        <v>172</v>
      </c>
    </row>
    <row r="278" spans="1:9" x14ac:dyDescent="0.25">
      <c r="A278" s="1" t="s">
        <v>236</v>
      </c>
      <c r="B278" s="1" t="s">
        <v>237</v>
      </c>
      <c r="C278" s="23" t="s">
        <v>1002</v>
      </c>
      <c r="D278" s="1">
        <v>36</v>
      </c>
      <c r="E278" s="23"/>
      <c r="F278" s="1"/>
      <c r="G278" s="3" t="s">
        <v>4</v>
      </c>
      <c r="H278" s="1" t="s">
        <v>238</v>
      </c>
      <c r="I278" s="1" t="s">
        <v>6</v>
      </c>
    </row>
    <row r="279" spans="1:9" x14ac:dyDescent="0.25">
      <c r="A279" s="1" t="s">
        <v>287</v>
      </c>
      <c r="B279" s="1" t="s">
        <v>288</v>
      </c>
      <c r="C279" s="23" t="s">
        <v>1001</v>
      </c>
      <c r="D279" s="1">
        <v>46</v>
      </c>
      <c r="E279" s="23"/>
      <c r="F279" s="1"/>
      <c r="G279" s="3" t="s">
        <v>10</v>
      </c>
      <c r="H279" s="1" t="s">
        <v>289</v>
      </c>
      <c r="I279" s="1" t="s">
        <v>30</v>
      </c>
    </row>
    <row r="280" spans="1:9" x14ac:dyDescent="0.25">
      <c r="A280" s="1" t="s">
        <v>410</v>
      </c>
      <c r="B280" s="1" t="s">
        <v>411</v>
      </c>
      <c r="C280" s="23" t="s">
        <v>1001</v>
      </c>
      <c r="D280" s="1">
        <v>54</v>
      </c>
      <c r="E280" s="23"/>
      <c r="F280" s="1"/>
      <c r="G280" s="3" t="s">
        <v>10</v>
      </c>
      <c r="H280" s="1" t="s">
        <v>412</v>
      </c>
      <c r="I280" s="1" t="s">
        <v>6</v>
      </c>
    </row>
    <row r="281" spans="1:9" x14ac:dyDescent="0.25">
      <c r="A281" s="1" t="s">
        <v>418</v>
      </c>
      <c r="B281" s="1" t="s">
        <v>419</v>
      </c>
      <c r="C281" s="23" t="s">
        <v>1001</v>
      </c>
      <c r="D281" s="1">
        <v>82</v>
      </c>
      <c r="E281" s="23"/>
      <c r="F281" s="1"/>
      <c r="G281" s="3" t="s">
        <v>420</v>
      </c>
      <c r="H281" s="1"/>
      <c r="I281" s="3" t="s">
        <v>11</v>
      </c>
    </row>
    <row r="282" spans="1:9" x14ac:dyDescent="0.25">
      <c r="A282" s="1" t="s">
        <v>577</v>
      </c>
      <c r="B282" s="1" t="s">
        <v>578</v>
      </c>
      <c r="C282" s="23" t="s">
        <v>1001</v>
      </c>
      <c r="D282" s="1">
        <v>56</v>
      </c>
      <c r="E282" s="23"/>
      <c r="F282" s="1"/>
      <c r="G282" s="3" t="s">
        <v>4</v>
      </c>
      <c r="H282" s="1"/>
      <c r="I282" s="3" t="s">
        <v>113</v>
      </c>
    </row>
    <row r="283" spans="1:9" x14ac:dyDescent="0.25">
      <c r="A283" s="1" t="s">
        <v>650</v>
      </c>
      <c r="B283" s="1" t="s">
        <v>651</v>
      </c>
      <c r="C283" s="23" t="s">
        <v>1002</v>
      </c>
      <c r="D283" s="1">
        <v>78</v>
      </c>
      <c r="E283" s="23"/>
      <c r="F283" s="1"/>
      <c r="G283" s="3" t="s">
        <v>10</v>
      </c>
      <c r="H283" s="1" t="s">
        <v>652</v>
      </c>
      <c r="I283" s="1" t="s">
        <v>30</v>
      </c>
    </row>
    <row r="284" spans="1:9" x14ac:dyDescent="0.25">
      <c r="A284" s="1" t="s">
        <v>818</v>
      </c>
      <c r="B284" s="1" t="s">
        <v>819</v>
      </c>
      <c r="C284" s="23" t="s">
        <v>1002</v>
      </c>
      <c r="D284" s="1">
        <v>46</v>
      </c>
      <c r="E284" s="23"/>
      <c r="F284" s="1"/>
      <c r="G284" s="3" t="s">
        <v>4</v>
      </c>
      <c r="H284" s="1" t="s">
        <v>820</v>
      </c>
      <c r="I284" s="1" t="s">
        <v>6</v>
      </c>
    </row>
  </sheetData>
  <sortState xmlns:xlrd2="http://schemas.microsoft.com/office/spreadsheetml/2017/richdata2" ref="A1:L285">
    <sortCondition ref="F1:F285"/>
  </sortState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73"/>
  <sheetViews>
    <sheetView topLeftCell="A10" zoomScale="102" workbookViewId="0">
      <selection activeCell="C15" sqref="C15"/>
    </sheetView>
  </sheetViews>
  <sheetFormatPr defaultRowHeight="15" x14ac:dyDescent="0.25"/>
  <cols>
    <col min="3" max="3" width="32.42578125" bestFit="1" customWidth="1"/>
    <col min="4" max="4" width="2.140625" bestFit="1" customWidth="1"/>
    <col min="5" max="5" width="3" bestFit="1" customWidth="1"/>
    <col min="6" max="6" width="3.7109375" bestFit="1" customWidth="1"/>
    <col min="7" max="7" width="26.7109375" bestFit="1" customWidth="1"/>
    <col min="8" max="8" width="44.140625" bestFit="1" customWidth="1"/>
    <col min="9" max="9" width="13.140625" bestFit="1" customWidth="1"/>
    <col min="10" max="10" width="22.140625" bestFit="1" customWidth="1"/>
  </cols>
  <sheetData>
    <row r="1" spans="1:11" x14ac:dyDescent="0.25">
      <c r="B1" s="1" t="s">
        <v>266</v>
      </c>
      <c r="C1" s="1" t="s">
        <v>267</v>
      </c>
      <c r="D1" s="6" t="s">
        <v>1002</v>
      </c>
      <c r="E1" s="2">
        <v>76</v>
      </c>
      <c r="F1" s="6" t="s">
        <v>14</v>
      </c>
      <c r="G1" s="2" t="s">
        <v>15</v>
      </c>
      <c r="H1" s="3" t="s">
        <v>28</v>
      </c>
      <c r="I1" s="1"/>
      <c r="J1" s="3" t="s">
        <v>11</v>
      </c>
      <c r="K1" t="s">
        <v>1014</v>
      </c>
    </row>
    <row r="2" spans="1:11" x14ac:dyDescent="0.25">
      <c r="B2" s="1" t="s">
        <v>489</v>
      </c>
      <c r="C2" s="1" t="s">
        <v>490</v>
      </c>
      <c r="D2" s="6" t="s">
        <v>1002</v>
      </c>
      <c r="E2" s="2">
        <v>66</v>
      </c>
      <c r="F2" s="6" t="s">
        <v>14</v>
      </c>
      <c r="G2" s="2" t="s">
        <v>15</v>
      </c>
      <c r="H2" s="3" t="s">
        <v>10</v>
      </c>
      <c r="I2" s="1" t="s">
        <v>491</v>
      </c>
      <c r="J2" s="1" t="s">
        <v>30</v>
      </c>
      <c r="K2" t="s">
        <v>1014</v>
      </c>
    </row>
    <row r="3" spans="1:11" x14ac:dyDescent="0.25">
      <c r="B3" s="1" t="s">
        <v>382</v>
      </c>
      <c r="C3" s="1" t="s">
        <v>383</v>
      </c>
      <c r="D3" s="6" t="s">
        <v>1002</v>
      </c>
      <c r="E3" s="2">
        <v>58</v>
      </c>
      <c r="F3" s="6" t="s">
        <v>14</v>
      </c>
      <c r="G3" s="2" t="s">
        <v>15</v>
      </c>
      <c r="H3" s="3" t="s">
        <v>10</v>
      </c>
      <c r="I3" s="1" t="s">
        <v>384</v>
      </c>
      <c r="J3" s="1" t="s">
        <v>6</v>
      </c>
      <c r="K3" t="s">
        <v>1014</v>
      </c>
    </row>
    <row r="4" spans="1:11" x14ac:dyDescent="0.25">
      <c r="B4" s="1" t="s">
        <v>831</v>
      </c>
      <c r="C4" s="1" t="s">
        <v>832</v>
      </c>
      <c r="D4" s="6" t="s">
        <v>1002</v>
      </c>
      <c r="E4" s="2">
        <v>58</v>
      </c>
      <c r="F4" s="6" t="s">
        <v>14</v>
      </c>
      <c r="G4" s="2" t="s">
        <v>15</v>
      </c>
      <c r="H4" s="3" t="s">
        <v>10</v>
      </c>
      <c r="I4" s="1" t="s">
        <v>833</v>
      </c>
      <c r="J4" s="1" t="s">
        <v>6</v>
      </c>
      <c r="K4" t="s">
        <v>1014</v>
      </c>
    </row>
    <row r="5" spans="1:11" x14ac:dyDescent="0.25">
      <c r="B5" s="1" t="s">
        <v>211</v>
      </c>
      <c r="C5" s="1" t="s">
        <v>212</v>
      </c>
      <c r="D5" s="6" t="s">
        <v>1002</v>
      </c>
      <c r="E5" s="2">
        <v>52</v>
      </c>
      <c r="F5" s="6" t="s">
        <v>14</v>
      </c>
      <c r="G5" s="2" t="s">
        <v>15</v>
      </c>
      <c r="H5" s="3" t="s">
        <v>10</v>
      </c>
      <c r="I5" s="1"/>
      <c r="J5" s="3" t="s">
        <v>89</v>
      </c>
      <c r="K5" t="s">
        <v>1014</v>
      </c>
    </row>
    <row r="6" spans="1:11" x14ac:dyDescent="0.25">
      <c r="B6" s="1" t="s">
        <v>610</v>
      </c>
      <c r="C6" s="1" t="s">
        <v>611</v>
      </c>
      <c r="D6" s="6" t="s">
        <v>1002</v>
      </c>
      <c r="E6" s="2">
        <v>52</v>
      </c>
      <c r="F6" s="6" t="s">
        <v>14</v>
      </c>
      <c r="G6" s="2" t="s">
        <v>15</v>
      </c>
      <c r="H6" s="3" t="s">
        <v>44</v>
      </c>
      <c r="I6" s="1" t="s">
        <v>612</v>
      </c>
      <c r="J6" s="1" t="s">
        <v>6</v>
      </c>
      <c r="K6" t="s">
        <v>1014</v>
      </c>
    </row>
    <row r="7" spans="1:11" x14ac:dyDescent="0.25">
      <c r="B7" s="1" t="s">
        <v>486</v>
      </c>
      <c r="C7" s="1" t="s">
        <v>487</v>
      </c>
      <c r="D7" s="6" t="s">
        <v>1002</v>
      </c>
      <c r="E7" s="2">
        <v>48</v>
      </c>
      <c r="F7" s="6" t="s">
        <v>14</v>
      </c>
      <c r="G7" s="2" t="s">
        <v>15</v>
      </c>
      <c r="H7" s="3" t="s">
        <v>329</v>
      </c>
      <c r="I7" s="1" t="s">
        <v>488</v>
      </c>
      <c r="J7" s="1" t="s">
        <v>6</v>
      </c>
      <c r="K7" t="s">
        <v>1014</v>
      </c>
    </row>
    <row r="8" spans="1:11" x14ac:dyDescent="0.25">
      <c r="B8" s="1" t="s">
        <v>389</v>
      </c>
      <c r="C8" s="1" t="s">
        <v>390</v>
      </c>
      <c r="D8" s="6" t="s">
        <v>1001</v>
      </c>
      <c r="E8" s="2">
        <v>46</v>
      </c>
      <c r="F8" s="6" t="s">
        <v>14</v>
      </c>
      <c r="G8" s="2" t="s">
        <v>15</v>
      </c>
      <c r="H8" s="3" t="s">
        <v>10</v>
      </c>
      <c r="I8" s="1" t="s">
        <v>391</v>
      </c>
      <c r="J8" s="1" t="s">
        <v>6</v>
      </c>
      <c r="K8" t="s">
        <v>1014</v>
      </c>
    </row>
    <row r="9" spans="1:11" x14ac:dyDescent="0.25">
      <c r="B9" s="1" t="s">
        <v>376</v>
      </c>
      <c r="C9" s="1" t="s">
        <v>377</v>
      </c>
      <c r="D9" s="6" t="s">
        <v>1002</v>
      </c>
      <c r="E9" s="2">
        <v>44</v>
      </c>
      <c r="F9" s="6" t="s">
        <v>14</v>
      </c>
      <c r="G9" s="2" t="s">
        <v>15</v>
      </c>
      <c r="H9" s="3" t="s">
        <v>10</v>
      </c>
      <c r="I9" s="1" t="s">
        <v>378</v>
      </c>
      <c r="J9" s="1" t="s">
        <v>6</v>
      </c>
      <c r="K9" t="s">
        <v>1014</v>
      </c>
    </row>
    <row r="10" spans="1:11" x14ac:dyDescent="0.25">
      <c r="B10" s="1" t="s">
        <v>427</v>
      </c>
      <c r="C10" s="1" t="s">
        <v>428</v>
      </c>
      <c r="D10" s="6" t="s">
        <v>1002</v>
      </c>
      <c r="E10" s="2">
        <v>42</v>
      </c>
      <c r="F10" s="6" t="s">
        <v>14</v>
      </c>
      <c r="G10" s="2" t="s">
        <v>15</v>
      </c>
      <c r="H10" s="3" t="s">
        <v>4</v>
      </c>
      <c r="I10" s="1" t="s">
        <v>429</v>
      </c>
      <c r="J10" s="1" t="s">
        <v>6</v>
      </c>
      <c r="K10" t="s">
        <v>1014</v>
      </c>
    </row>
    <row r="11" spans="1:11" x14ac:dyDescent="0.25">
      <c r="A11" t="s">
        <v>1003</v>
      </c>
      <c r="B11" s="1" t="s">
        <v>346</v>
      </c>
      <c r="C11" s="1" t="s">
        <v>347</v>
      </c>
      <c r="D11" s="6" t="s">
        <v>1002</v>
      </c>
      <c r="E11" s="2">
        <v>34</v>
      </c>
      <c r="F11" s="6" t="s">
        <v>14</v>
      </c>
      <c r="G11" s="2" t="s">
        <v>15</v>
      </c>
      <c r="H11" s="3" t="s">
        <v>10</v>
      </c>
      <c r="I11" s="1" t="s">
        <v>348</v>
      </c>
      <c r="J11" s="1" t="s">
        <v>6</v>
      </c>
      <c r="K11" t="s">
        <v>1014</v>
      </c>
    </row>
    <row r="12" spans="1:11" x14ac:dyDescent="0.25">
      <c r="B12" s="1" t="s">
        <v>533</v>
      </c>
      <c r="C12" s="1" t="s">
        <v>534</v>
      </c>
      <c r="D12" s="6" t="s">
        <v>1002</v>
      </c>
      <c r="E12" s="2">
        <v>32</v>
      </c>
      <c r="F12" s="6" t="s">
        <v>2</v>
      </c>
      <c r="G12" s="2" t="s">
        <v>9</v>
      </c>
      <c r="H12" s="3" t="s">
        <v>4</v>
      </c>
      <c r="I12" s="1" t="s">
        <v>535</v>
      </c>
      <c r="J12" s="1" t="s">
        <v>6</v>
      </c>
      <c r="K12" t="s">
        <v>1014</v>
      </c>
    </row>
    <row r="13" spans="1:11" x14ac:dyDescent="0.25">
      <c r="B13" s="1" t="s">
        <v>360</v>
      </c>
      <c r="C13" s="1" t="s">
        <v>361</v>
      </c>
      <c r="D13" s="6" t="s">
        <v>1001</v>
      </c>
      <c r="E13" s="2">
        <v>32</v>
      </c>
      <c r="F13" s="6" t="s">
        <v>14</v>
      </c>
      <c r="G13" s="2" t="s">
        <v>15</v>
      </c>
      <c r="H13" s="3" t="s">
        <v>10</v>
      </c>
      <c r="I13" s="1" t="s">
        <v>362</v>
      </c>
      <c r="J13" s="1" t="s">
        <v>6</v>
      </c>
      <c r="K13" t="s">
        <v>1014</v>
      </c>
    </row>
    <row r="14" spans="1:11" x14ac:dyDescent="0.25">
      <c r="B14" s="1" t="s">
        <v>453</v>
      </c>
      <c r="C14" s="1" t="s">
        <v>454</v>
      </c>
      <c r="D14" s="6" t="s">
        <v>1001</v>
      </c>
      <c r="E14" s="2">
        <v>32</v>
      </c>
      <c r="F14" s="6" t="s">
        <v>2</v>
      </c>
      <c r="G14" s="2" t="s">
        <v>3</v>
      </c>
      <c r="H14" s="3" t="s">
        <v>10</v>
      </c>
      <c r="I14" s="1" t="s">
        <v>455</v>
      </c>
      <c r="J14" s="1" t="s">
        <v>6</v>
      </c>
      <c r="K14" t="s">
        <v>1014</v>
      </c>
    </row>
    <row r="15" spans="1:11" x14ac:dyDescent="0.25">
      <c r="B15" s="1" t="s">
        <v>750</v>
      </c>
      <c r="C15" s="1" t="s">
        <v>1061</v>
      </c>
      <c r="D15" s="6" t="s">
        <v>1002</v>
      </c>
      <c r="E15" s="2">
        <v>32</v>
      </c>
      <c r="F15" s="6" t="s">
        <v>2</v>
      </c>
      <c r="G15" s="2" t="s">
        <v>9</v>
      </c>
      <c r="H15" s="3" t="s">
        <v>10</v>
      </c>
      <c r="I15" s="1" t="s">
        <v>751</v>
      </c>
      <c r="J15" s="1" t="s">
        <v>6</v>
      </c>
      <c r="K15" t="s">
        <v>1014</v>
      </c>
    </row>
    <row r="16" spans="1:11" x14ac:dyDescent="0.25">
      <c r="B16" s="1" t="s">
        <v>189</v>
      </c>
      <c r="C16" s="1" t="s">
        <v>190</v>
      </c>
      <c r="D16" s="6" t="s">
        <v>1002</v>
      </c>
      <c r="E16" s="2">
        <v>30</v>
      </c>
      <c r="F16" s="6" t="s">
        <v>14</v>
      </c>
      <c r="G16" s="2" t="s">
        <v>15</v>
      </c>
      <c r="H16" s="3" t="s">
        <v>10</v>
      </c>
      <c r="I16" s="1" t="s">
        <v>191</v>
      </c>
      <c r="J16" s="1" t="s">
        <v>6</v>
      </c>
      <c r="K16" t="s">
        <v>1014</v>
      </c>
    </row>
    <row r="17" spans="2:11" x14ac:dyDescent="0.25">
      <c r="B17" s="1" t="s">
        <v>480</v>
      </c>
      <c r="C17" s="1" t="s">
        <v>481</v>
      </c>
      <c r="D17" s="6" t="s">
        <v>1002</v>
      </c>
      <c r="E17" s="2">
        <v>30</v>
      </c>
      <c r="F17" s="6" t="s">
        <v>2</v>
      </c>
      <c r="G17" s="2" t="s">
        <v>9</v>
      </c>
      <c r="H17" s="3" t="s">
        <v>10</v>
      </c>
      <c r="I17" s="1" t="s">
        <v>482</v>
      </c>
      <c r="J17" s="1" t="s">
        <v>6</v>
      </c>
      <c r="K17" t="s">
        <v>1014</v>
      </c>
    </row>
    <row r="18" spans="2:11" x14ac:dyDescent="0.25">
      <c r="B18" s="1" t="s">
        <v>542</v>
      </c>
      <c r="C18" s="1" t="s">
        <v>543</v>
      </c>
      <c r="D18" s="6" t="s">
        <v>1001</v>
      </c>
      <c r="E18" s="2">
        <v>30</v>
      </c>
      <c r="F18" s="6"/>
      <c r="G18" s="2"/>
      <c r="H18" s="3" t="s">
        <v>44</v>
      </c>
      <c r="I18" s="1" t="s">
        <v>544</v>
      </c>
      <c r="J18" s="1" t="s">
        <v>6</v>
      </c>
      <c r="K18" t="s">
        <v>1014</v>
      </c>
    </row>
    <row r="19" spans="2:11" x14ac:dyDescent="0.25">
      <c r="B19" s="1" t="s">
        <v>734</v>
      </c>
      <c r="C19" s="1" t="s">
        <v>735</v>
      </c>
      <c r="D19" s="6" t="s">
        <v>1002</v>
      </c>
      <c r="E19" s="2">
        <v>30</v>
      </c>
      <c r="F19" s="6" t="s">
        <v>2</v>
      </c>
      <c r="G19" s="2" t="s">
        <v>9</v>
      </c>
      <c r="H19" s="3" t="s">
        <v>119</v>
      </c>
      <c r="I19" s="1" t="s">
        <v>736</v>
      </c>
      <c r="J19" s="1" t="s">
        <v>30</v>
      </c>
      <c r="K19" t="s">
        <v>1014</v>
      </c>
    </row>
    <row r="20" spans="2:11" x14ac:dyDescent="0.25">
      <c r="B20" s="1" t="s">
        <v>848</v>
      </c>
      <c r="C20" s="1" t="s">
        <v>849</v>
      </c>
      <c r="D20" s="6" t="s">
        <v>1002</v>
      </c>
      <c r="E20" s="2">
        <v>30</v>
      </c>
      <c r="F20" s="6" t="s">
        <v>14</v>
      </c>
      <c r="G20" s="2" t="s">
        <v>15</v>
      </c>
      <c r="H20" s="3" t="s">
        <v>10</v>
      </c>
      <c r="I20" s="1" t="s">
        <v>850</v>
      </c>
      <c r="J20" s="1" t="s">
        <v>6</v>
      </c>
      <c r="K20" t="s">
        <v>1014</v>
      </c>
    </row>
    <row r="21" spans="2:11" x14ac:dyDescent="0.25">
      <c r="B21" s="1" t="s">
        <v>872</v>
      </c>
      <c r="C21" s="1" t="s">
        <v>873</v>
      </c>
      <c r="D21" s="6" t="s">
        <v>1002</v>
      </c>
      <c r="E21" s="2">
        <v>30</v>
      </c>
      <c r="F21" s="6" t="s">
        <v>14</v>
      </c>
      <c r="G21" s="2" t="s">
        <v>15</v>
      </c>
      <c r="H21" s="3" t="s">
        <v>10</v>
      </c>
      <c r="I21" s="1" t="s">
        <v>874</v>
      </c>
      <c r="J21" s="1" t="s">
        <v>6</v>
      </c>
      <c r="K21" t="s">
        <v>1014</v>
      </c>
    </row>
    <row r="22" spans="2:11" x14ac:dyDescent="0.25">
      <c r="B22" s="1" t="s">
        <v>959</v>
      </c>
      <c r="C22" s="1" t="s">
        <v>960</v>
      </c>
      <c r="D22" s="6" t="s">
        <v>1002</v>
      </c>
      <c r="E22" s="2">
        <v>30</v>
      </c>
      <c r="F22" s="6" t="s">
        <v>2</v>
      </c>
      <c r="G22" s="2" t="s">
        <v>9</v>
      </c>
      <c r="H22" s="3" t="s">
        <v>10</v>
      </c>
      <c r="I22" s="1" t="s">
        <v>961</v>
      </c>
      <c r="J22" s="1" t="s">
        <v>6</v>
      </c>
      <c r="K22" t="s">
        <v>1014</v>
      </c>
    </row>
    <row r="23" spans="2:11" x14ac:dyDescent="0.25">
      <c r="B23" s="1" t="s">
        <v>221</v>
      </c>
      <c r="C23" s="1" t="s">
        <v>222</v>
      </c>
      <c r="D23" s="6" t="s">
        <v>1002</v>
      </c>
      <c r="E23" s="2">
        <v>28</v>
      </c>
      <c r="F23" s="6" t="s">
        <v>2</v>
      </c>
      <c r="G23" s="2" t="s">
        <v>3</v>
      </c>
      <c r="H23" s="3" t="s">
        <v>4</v>
      </c>
      <c r="I23" s="1" t="s">
        <v>223</v>
      </c>
      <c r="J23" s="1" t="s">
        <v>6</v>
      </c>
      <c r="K23" t="s">
        <v>1014</v>
      </c>
    </row>
    <row r="24" spans="2:11" x14ac:dyDescent="0.25">
      <c r="B24" s="1" t="s">
        <v>626</v>
      </c>
      <c r="C24" s="1" t="s">
        <v>627</v>
      </c>
      <c r="D24" s="6" t="s">
        <v>1002</v>
      </c>
      <c r="E24" s="2">
        <v>28</v>
      </c>
      <c r="F24" s="6" t="s">
        <v>2</v>
      </c>
      <c r="G24" s="2" t="s">
        <v>37</v>
      </c>
      <c r="H24" s="3" t="s">
        <v>4</v>
      </c>
      <c r="I24" s="1" t="s">
        <v>628</v>
      </c>
      <c r="J24" s="1" t="s">
        <v>6</v>
      </c>
      <c r="K24" t="s">
        <v>1014</v>
      </c>
    </row>
    <row r="25" spans="2:11" x14ac:dyDescent="0.25">
      <c r="B25" s="1" t="s">
        <v>766</v>
      </c>
      <c r="C25" s="1" t="s">
        <v>767</v>
      </c>
      <c r="D25" s="6" t="s">
        <v>1001</v>
      </c>
      <c r="E25" s="2">
        <v>28</v>
      </c>
      <c r="F25" s="6" t="s">
        <v>2</v>
      </c>
      <c r="G25" s="2" t="s">
        <v>37</v>
      </c>
      <c r="H25" s="3" t="s">
        <v>10</v>
      </c>
      <c r="I25" s="1" t="s">
        <v>768</v>
      </c>
      <c r="J25" s="1" t="s">
        <v>6</v>
      </c>
      <c r="K25" t="s">
        <v>1014</v>
      </c>
    </row>
    <row r="26" spans="2:11" x14ac:dyDescent="0.25">
      <c r="B26" s="1" t="s">
        <v>813</v>
      </c>
      <c r="C26" s="1" t="s">
        <v>814</v>
      </c>
      <c r="D26" s="6" t="s">
        <v>1001</v>
      </c>
      <c r="E26" s="2">
        <v>28</v>
      </c>
      <c r="F26" s="6" t="s">
        <v>2</v>
      </c>
      <c r="G26" s="2" t="s">
        <v>3</v>
      </c>
      <c r="H26" s="3" t="s">
        <v>4</v>
      </c>
      <c r="I26" s="1"/>
      <c r="J26" s="3" t="s">
        <v>89</v>
      </c>
      <c r="K26" t="s">
        <v>1014</v>
      </c>
    </row>
    <row r="27" spans="2:11" x14ac:dyDescent="0.25">
      <c r="K27" t="s">
        <v>1014</v>
      </c>
    </row>
    <row r="28" spans="2:11" x14ac:dyDescent="0.25">
      <c r="B28" s="1" t="s">
        <v>972</v>
      </c>
      <c r="C28" s="1" t="s">
        <v>973</v>
      </c>
      <c r="D28" s="6" t="s">
        <v>1001</v>
      </c>
      <c r="E28" s="2">
        <v>28</v>
      </c>
      <c r="F28" s="6" t="s">
        <v>2</v>
      </c>
      <c r="G28" s="2" t="s">
        <v>3</v>
      </c>
      <c r="H28" s="3" t="s">
        <v>10</v>
      </c>
      <c r="I28" s="1" t="s">
        <v>974</v>
      </c>
      <c r="J28" s="1" t="s">
        <v>6</v>
      </c>
      <c r="K28" t="s">
        <v>1014</v>
      </c>
    </row>
    <row r="29" spans="2:11" x14ac:dyDescent="0.25">
      <c r="B29" s="1" t="s">
        <v>244</v>
      </c>
      <c r="C29" s="1" t="s">
        <v>1043</v>
      </c>
      <c r="D29" s="6" t="s">
        <v>1002</v>
      </c>
      <c r="E29" s="2">
        <v>26</v>
      </c>
      <c r="F29" s="6" t="s">
        <v>2</v>
      </c>
      <c r="G29" s="2" t="s">
        <v>3</v>
      </c>
      <c r="H29" s="3" t="s">
        <v>129</v>
      </c>
      <c r="I29" s="1" t="s">
        <v>245</v>
      </c>
      <c r="J29" s="1" t="s">
        <v>6</v>
      </c>
      <c r="K29" t="s">
        <v>1014</v>
      </c>
    </row>
    <row r="30" spans="2:11" x14ac:dyDescent="0.25">
      <c r="B30" s="1" t="s">
        <v>545</v>
      </c>
      <c r="C30" s="1" t="s">
        <v>546</v>
      </c>
      <c r="D30" s="6" t="s">
        <v>1001</v>
      </c>
      <c r="E30" s="2">
        <v>26</v>
      </c>
      <c r="F30" s="6" t="s">
        <v>2</v>
      </c>
      <c r="G30" s="2" t="s">
        <v>9</v>
      </c>
      <c r="H30" s="3" t="s">
        <v>547</v>
      </c>
      <c r="I30" s="1" t="s">
        <v>548</v>
      </c>
      <c r="J30" s="1" t="s">
        <v>6</v>
      </c>
      <c r="K30" t="s">
        <v>1014</v>
      </c>
    </row>
    <row r="31" spans="2:11" x14ac:dyDescent="0.25">
      <c r="B31" s="1" t="s">
        <v>631</v>
      </c>
      <c r="C31" s="1" t="s">
        <v>632</v>
      </c>
      <c r="D31" s="6" t="s">
        <v>1002</v>
      </c>
      <c r="E31" s="2">
        <v>26</v>
      </c>
      <c r="F31" s="6" t="s">
        <v>2</v>
      </c>
      <c r="G31" s="2" t="s">
        <v>9</v>
      </c>
      <c r="H31" s="3" t="s">
        <v>10</v>
      </c>
      <c r="I31" s="1" t="s">
        <v>633</v>
      </c>
      <c r="J31" s="1" t="s">
        <v>6</v>
      </c>
      <c r="K31" t="s">
        <v>1014</v>
      </c>
    </row>
    <row r="32" spans="2:11" x14ac:dyDescent="0.25">
      <c r="B32" s="1" t="s">
        <v>12</v>
      </c>
      <c r="C32" s="1" t="s">
        <v>13</v>
      </c>
      <c r="D32" s="6" t="s">
        <v>1001</v>
      </c>
      <c r="E32" s="2">
        <v>20</v>
      </c>
      <c r="F32" s="6" t="s">
        <v>14</v>
      </c>
      <c r="G32" s="2" t="s">
        <v>15</v>
      </c>
      <c r="H32" s="3" t="s">
        <v>10</v>
      </c>
      <c r="I32" s="1" t="s">
        <v>16</v>
      </c>
      <c r="J32" s="1" t="s">
        <v>6</v>
      </c>
      <c r="K32" t="s">
        <v>1014</v>
      </c>
    </row>
    <row r="33" spans="2:11" x14ac:dyDescent="0.25">
      <c r="B33" s="1" t="s">
        <v>239</v>
      </c>
      <c r="C33" s="1" t="s">
        <v>240</v>
      </c>
      <c r="D33" s="6" t="s">
        <v>1002</v>
      </c>
      <c r="E33" s="2">
        <v>20</v>
      </c>
      <c r="F33" s="6" t="s">
        <v>14</v>
      </c>
      <c r="G33" s="2" t="s">
        <v>15</v>
      </c>
      <c r="H33" s="3" t="s">
        <v>10</v>
      </c>
      <c r="I33" s="1" t="s">
        <v>241</v>
      </c>
      <c r="J33" s="1" t="s">
        <v>6</v>
      </c>
      <c r="K33" t="s">
        <v>1014</v>
      </c>
    </row>
    <row r="34" spans="2:11" x14ac:dyDescent="0.25">
      <c r="B34" s="1" t="s">
        <v>681</v>
      </c>
      <c r="C34" s="1" t="s">
        <v>682</v>
      </c>
      <c r="D34" s="6" t="s">
        <v>1002</v>
      </c>
      <c r="E34" s="2">
        <v>20</v>
      </c>
      <c r="F34" s="6" t="s">
        <v>2</v>
      </c>
      <c r="G34" s="2" t="s">
        <v>9</v>
      </c>
      <c r="H34" s="3" t="s">
        <v>683</v>
      </c>
      <c r="I34" s="1" t="s">
        <v>684</v>
      </c>
      <c r="J34" s="1" t="s">
        <v>6</v>
      </c>
      <c r="K34" t="s">
        <v>1014</v>
      </c>
    </row>
    <row r="35" spans="2:11" x14ac:dyDescent="0.25">
      <c r="B35" s="1" t="s">
        <v>821</v>
      </c>
      <c r="C35" s="1" t="s">
        <v>822</v>
      </c>
      <c r="D35" s="6" t="s">
        <v>1002</v>
      </c>
      <c r="E35" s="2">
        <v>16</v>
      </c>
      <c r="F35" s="6" t="s">
        <v>2</v>
      </c>
      <c r="G35" s="2" t="s">
        <v>9</v>
      </c>
      <c r="H35" s="3" t="s">
        <v>823</v>
      </c>
      <c r="I35" s="1"/>
      <c r="J35" s="3" t="s">
        <v>89</v>
      </c>
      <c r="K35" t="s">
        <v>1014</v>
      </c>
    </row>
    <row r="36" spans="2:11" x14ac:dyDescent="0.25">
      <c r="B36" s="1" t="s">
        <v>508</v>
      </c>
      <c r="C36" s="1" t="s">
        <v>509</v>
      </c>
      <c r="D36" s="6" t="s">
        <v>1001</v>
      </c>
      <c r="E36" s="2">
        <v>14</v>
      </c>
      <c r="F36" s="6" t="s">
        <v>2</v>
      </c>
      <c r="G36" s="2" t="s">
        <v>9</v>
      </c>
      <c r="H36" s="3" t="s">
        <v>10</v>
      </c>
      <c r="I36" s="1" t="s">
        <v>510</v>
      </c>
      <c r="J36" s="1" t="s">
        <v>6</v>
      </c>
      <c r="K36" t="s">
        <v>1014</v>
      </c>
    </row>
    <row r="37" spans="2:11" x14ac:dyDescent="0.25">
      <c r="B37" s="1" t="s">
        <v>111</v>
      </c>
      <c r="C37" s="1" t="s">
        <v>112</v>
      </c>
      <c r="D37" s="6" t="s">
        <v>1002</v>
      </c>
      <c r="E37" s="2">
        <v>74</v>
      </c>
      <c r="F37" s="6" t="s">
        <v>14</v>
      </c>
      <c r="G37" s="2" t="s">
        <v>15</v>
      </c>
      <c r="H37" s="3" t="s">
        <v>10</v>
      </c>
      <c r="I37" s="1"/>
      <c r="J37" s="3" t="s">
        <v>113</v>
      </c>
      <c r="K37" t="s">
        <v>1015</v>
      </c>
    </row>
    <row r="38" spans="2:11" x14ac:dyDescent="0.25">
      <c r="B38" s="1" t="s">
        <v>784</v>
      </c>
      <c r="C38" s="1" t="s">
        <v>785</v>
      </c>
      <c r="D38" s="6" t="s">
        <v>1001</v>
      </c>
      <c r="E38" s="2">
        <v>62</v>
      </c>
      <c r="F38" s="6" t="s">
        <v>14</v>
      </c>
      <c r="G38" s="2" t="s">
        <v>15</v>
      </c>
      <c r="H38" s="3" t="s">
        <v>28</v>
      </c>
      <c r="I38" s="1"/>
      <c r="J38" s="3" t="s">
        <v>70</v>
      </c>
      <c r="K38" t="s">
        <v>1015</v>
      </c>
    </row>
    <row r="39" spans="2:11" x14ac:dyDescent="0.25">
      <c r="B39" s="1" t="s">
        <v>725</v>
      </c>
      <c r="C39" s="1" t="s">
        <v>726</v>
      </c>
      <c r="D39" s="6" t="s">
        <v>1002</v>
      </c>
      <c r="E39" s="2">
        <v>58</v>
      </c>
      <c r="F39" s="6" t="s">
        <v>14</v>
      </c>
      <c r="G39" s="2" t="s">
        <v>15</v>
      </c>
      <c r="H39" s="3" t="s">
        <v>10</v>
      </c>
      <c r="I39" s="1"/>
      <c r="J39" s="3" t="s">
        <v>11</v>
      </c>
      <c r="K39" t="s">
        <v>1015</v>
      </c>
    </row>
    <row r="40" spans="2:11" x14ac:dyDescent="0.25">
      <c r="B40" s="1" t="s">
        <v>947</v>
      </c>
      <c r="C40" s="1" t="s">
        <v>948</v>
      </c>
      <c r="D40" s="6" t="s">
        <v>1002</v>
      </c>
      <c r="E40" s="2">
        <v>56</v>
      </c>
      <c r="F40" s="6" t="s">
        <v>14</v>
      </c>
      <c r="G40" s="2" t="s">
        <v>15</v>
      </c>
      <c r="H40" s="3" t="s">
        <v>10</v>
      </c>
      <c r="I40" s="1"/>
      <c r="J40" s="3" t="s">
        <v>11</v>
      </c>
      <c r="K40" t="s">
        <v>1015</v>
      </c>
    </row>
    <row r="41" spans="2:11" x14ac:dyDescent="0.25">
      <c r="B41" s="1" t="s">
        <v>318</v>
      </c>
      <c r="C41" s="1" t="s">
        <v>319</v>
      </c>
      <c r="D41" s="6" t="s">
        <v>1002</v>
      </c>
      <c r="E41" s="2">
        <v>52</v>
      </c>
      <c r="F41" s="6" t="s">
        <v>14</v>
      </c>
      <c r="G41" s="2" t="s">
        <v>15</v>
      </c>
      <c r="H41" s="3" t="s">
        <v>28</v>
      </c>
      <c r="I41" s="1" t="s">
        <v>320</v>
      </c>
      <c r="J41" s="1" t="s">
        <v>30</v>
      </c>
      <c r="K41" t="s">
        <v>1015</v>
      </c>
    </row>
    <row r="42" spans="2:11" x14ac:dyDescent="0.25">
      <c r="B42" s="1" t="s">
        <v>156</v>
      </c>
      <c r="C42" s="1" t="s">
        <v>157</v>
      </c>
      <c r="D42" s="6" t="s">
        <v>1002</v>
      </c>
      <c r="E42" s="2">
        <v>48</v>
      </c>
      <c r="F42" s="6" t="s">
        <v>14</v>
      </c>
      <c r="G42" s="2" t="s">
        <v>15</v>
      </c>
      <c r="H42" s="3" t="s">
        <v>10</v>
      </c>
      <c r="I42" s="1" t="s">
        <v>158</v>
      </c>
      <c r="J42" s="1" t="s">
        <v>6</v>
      </c>
      <c r="K42" t="s">
        <v>1015</v>
      </c>
    </row>
    <row r="43" spans="2:11" x14ac:dyDescent="0.25">
      <c r="B43" s="1" t="s">
        <v>349</v>
      </c>
      <c r="C43" s="1" t="s">
        <v>350</v>
      </c>
      <c r="D43" s="6" t="s">
        <v>1002</v>
      </c>
      <c r="E43" s="2">
        <v>46</v>
      </c>
      <c r="F43" s="6" t="s">
        <v>14</v>
      </c>
      <c r="G43" s="2" t="s">
        <v>15</v>
      </c>
      <c r="H43" s="3" t="s">
        <v>207</v>
      </c>
      <c r="I43" s="1" t="s">
        <v>351</v>
      </c>
      <c r="J43" s="1" t="s">
        <v>30</v>
      </c>
      <c r="K43" t="s">
        <v>1015</v>
      </c>
    </row>
    <row r="44" spans="2:11" x14ac:dyDescent="0.25">
      <c r="B44" s="1" t="s">
        <v>127</v>
      </c>
      <c r="C44" s="1" t="s">
        <v>128</v>
      </c>
      <c r="D44" s="6" t="s">
        <v>1002</v>
      </c>
      <c r="E44" s="2">
        <v>44</v>
      </c>
      <c r="F44" s="6" t="s">
        <v>14</v>
      </c>
      <c r="G44" s="2" t="s">
        <v>15</v>
      </c>
      <c r="H44" s="3" t="s">
        <v>129</v>
      </c>
      <c r="I44" s="1" t="s">
        <v>130</v>
      </c>
      <c r="J44" s="1" t="s">
        <v>6</v>
      </c>
      <c r="K44" t="s">
        <v>1015</v>
      </c>
    </row>
    <row r="45" spans="2:11" x14ac:dyDescent="0.25">
      <c r="B45" s="1" t="s">
        <v>716</v>
      </c>
      <c r="C45" s="1" t="s">
        <v>717</v>
      </c>
      <c r="D45" s="6" t="s">
        <v>1002</v>
      </c>
      <c r="E45" s="2">
        <v>44</v>
      </c>
      <c r="F45" s="6" t="s">
        <v>14</v>
      </c>
      <c r="G45" s="2" t="s">
        <v>15</v>
      </c>
      <c r="H45" s="3" t="s">
        <v>4</v>
      </c>
      <c r="I45" s="1"/>
      <c r="J45" s="3" t="s">
        <v>11</v>
      </c>
      <c r="K45" t="s">
        <v>1015</v>
      </c>
    </row>
    <row r="46" spans="2:11" x14ac:dyDescent="0.25">
      <c r="B46" s="1" t="s">
        <v>678</v>
      </c>
      <c r="C46" s="1" t="s">
        <v>679</v>
      </c>
      <c r="D46" s="6" t="s">
        <v>1002</v>
      </c>
      <c r="E46" s="2">
        <v>38</v>
      </c>
      <c r="F46" s="6" t="s">
        <v>14</v>
      </c>
      <c r="G46" s="2" t="s">
        <v>15</v>
      </c>
      <c r="H46" s="3" t="s">
        <v>4</v>
      </c>
      <c r="I46" s="1" t="s">
        <v>680</v>
      </c>
      <c r="J46" s="1" t="s">
        <v>6</v>
      </c>
      <c r="K46" t="s">
        <v>1015</v>
      </c>
    </row>
    <row r="47" spans="2:11" x14ac:dyDescent="0.25">
      <c r="B47" s="1" t="s">
        <v>433</v>
      </c>
      <c r="C47" s="1" t="s">
        <v>434</v>
      </c>
      <c r="D47" s="6" t="s">
        <v>1001</v>
      </c>
      <c r="E47" s="2">
        <v>34</v>
      </c>
      <c r="F47" s="6" t="s">
        <v>14</v>
      </c>
      <c r="G47" s="2" t="s">
        <v>15</v>
      </c>
      <c r="H47" s="3" t="s">
        <v>435</v>
      </c>
      <c r="I47" s="1" t="s">
        <v>436</v>
      </c>
      <c r="J47" s="1" t="s">
        <v>6</v>
      </c>
      <c r="K47" t="s">
        <v>1015</v>
      </c>
    </row>
    <row r="48" spans="2:11" x14ac:dyDescent="0.25">
      <c r="B48" s="1" t="s">
        <v>324</v>
      </c>
      <c r="C48" s="1" t="s">
        <v>325</v>
      </c>
      <c r="D48" s="6" t="s">
        <v>1002</v>
      </c>
      <c r="E48" s="2">
        <v>32</v>
      </c>
      <c r="F48" s="6" t="s">
        <v>2</v>
      </c>
      <c r="G48" s="2" t="s">
        <v>3</v>
      </c>
      <c r="H48" s="3" t="s">
        <v>4</v>
      </c>
      <c r="I48" s="1"/>
      <c r="J48" s="3" t="s">
        <v>89</v>
      </c>
      <c r="K48" t="s">
        <v>1015</v>
      </c>
    </row>
    <row r="49" spans="2:11" x14ac:dyDescent="0.25">
      <c r="B49" s="1" t="s">
        <v>448</v>
      </c>
      <c r="C49" s="1" t="s">
        <v>449</v>
      </c>
      <c r="D49" s="6" t="s">
        <v>1002</v>
      </c>
      <c r="E49" s="2">
        <v>32</v>
      </c>
      <c r="F49" s="6" t="s">
        <v>2</v>
      </c>
      <c r="G49" s="2" t="s">
        <v>3</v>
      </c>
      <c r="H49" s="3" t="s">
        <v>10</v>
      </c>
      <c r="I49" s="1" t="s">
        <v>450</v>
      </c>
      <c r="J49" s="1" t="s">
        <v>6</v>
      </c>
      <c r="K49" t="s">
        <v>1015</v>
      </c>
    </row>
    <row r="50" spans="2:11" x14ac:dyDescent="0.25">
      <c r="B50" s="1" t="s">
        <v>570</v>
      </c>
      <c r="C50" s="1" t="s">
        <v>571</v>
      </c>
      <c r="D50" s="6" t="s">
        <v>1001</v>
      </c>
      <c r="E50" s="2">
        <v>32</v>
      </c>
      <c r="F50" s="6" t="s">
        <v>2</v>
      </c>
      <c r="G50" s="2" t="s">
        <v>9</v>
      </c>
      <c r="H50" s="3" t="s">
        <v>28</v>
      </c>
      <c r="I50" s="1" t="s">
        <v>572</v>
      </c>
      <c r="J50" s="1" t="s">
        <v>6</v>
      </c>
      <c r="K50" t="s">
        <v>1015</v>
      </c>
    </row>
    <row r="51" spans="2:11" x14ac:dyDescent="0.25">
      <c r="B51" s="1" t="s">
        <v>975</v>
      </c>
      <c r="C51" s="1" t="s">
        <v>976</v>
      </c>
      <c r="D51" s="6" t="s">
        <v>1001</v>
      </c>
      <c r="E51" s="2">
        <v>32</v>
      </c>
      <c r="F51" s="6" t="s">
        <v>2</v>
      </c>
      <c r="G51" s="2" t="s">
        <v>9</v>
      </c>
      <c r="H51" s="3" t="s">
        <v>207</v>
      </c>
      <c r="I51" s="1" t="s">
        <v>977</v>
      </c>
      <c r="J51" s="1" t="s">
        <v>30</v>
      </c>
      <c r="K51" t="s">
        <v>1015</v>
      </c>
    </row>
    <row r="52" spans="2:11" x14ac:dyDescent="0.25">
      <c r="B52" s="1" t="s">
        <v>440</v>
      </c>
      <c r="C52" s="1" t="s">
        <v>441</v>
      </c>
      <c r="D52" s="6" t="s">
        <v>1002</v>
      </c>
      <c r="E52" s="2">
        <v>30</v>
      </c>
      <c r="F52" s="6" t="s">
        <v>2</v>
      </c>
      <c r="G52" s="2" t="s">
        <v>3</v>
      </c>
      <c r="H52" s="3" t="s">
        <v>10</v>
      </c>
      <c r="I52" s="1"/>
      <c r="J52" s="3" t="s">
        <v>113</v>
      </c>
      <c r="K52" t="s">
        <v>1015</v>
      </c>
    </row>
    <row r="53" spans="2:11" x14ac:dyDescent="0.25">
      <c r="B53" s="1" t="s">
        <v>496</v>
      </c>
      <c r="C53" s="1" t="s">
        <v>497</v>
      </c>
      <c r="D53" s="6" t="s">
        <v>1001</v>
      </c>
      <c r="E53" s="2">
        <v>30</v>
      </c>
      <c r="F53" s="6" t="s">
        <v>14</v>
      </c>
      <c r="G53" s="2" t="s">
        <v>15</v>
      </c>
      <c r="H53" s="3" t="s">
        <v>129</v>
      </c>
      <c r="I53" s="1" t="s">
        <v>498</v>
      </c>
      <c r="J53" s="1" t="s">
        <v>6</v>
      </c>
      <c r="K53" t="s">
        <v>1015</v>
      </c>
    </row>
    <row r="54" spans="2:11" x14ac:dyDescent="0.25">
      <c r="B54" s="1" t="s">
        <v>644</v>
      </c>
      <c r="C54" s="1" t="s">
        <v>645</v>
      </c>
      <c r="D54" s="6" t="s">
        <v>1002</v>
      </c>
      <c r="E54" s="2">
        <v>30</v>
      </c>
      <c r="F54" s="6" t="s">
        <v>14</v>
      </c>
      <c r="G54" s="2" t="s">
        <v>15</v>
      </c>
      <c r="H54" s="3" t="s">
        <v>4</v>
      </c>
      <c r="I54" s="1" t="s">
        <v>646</v>
      </c>
      <c r="J54" s="1" t="s">
        <v>6</v>
      </c>
      <c r="K54" t="s">
        <v>1015</v>
      </c>
    </row>
    <row r="55" spans="2:11" x14ac:dyDescent="0.25">
      <c r="B55" s="1" t="s">
        <v>786</v>
      </c>
      <c r="C55" s="1" t="s">
        <v>787</v>
      </c>
      <c r="D55" s="6" t="s">
        <v>1001</v>
      </c>
      <c r="E55" s="2">
        <v>30</v>
      </c>
      <c r="F55" s="6" t="s">
        <v>2</v>
      </c>
      <c r="G55" s="2" t="s">
        <v>9</v>
      </c>
      <c r="H55" s="3" t="s">
        <v>10</v>
      </c>
      <c r="I55" s="1" t="s">
        <v>788</v>
      </c>
      <c r="J55" s="1" t="s">
        <v>6</v>
      </c>
      <c r="K55" t="s">
        <v>1015</v>
      </c>
    </row>
    <row r="56" spans="2:11" x14ac:dyDescent="0.25">
      <c r="B56" s="1" t="s">
        <v>853</v>
      </c>
      <c r="C56" s="1" t="s">
        <v>854</v>
      </c>
      <c r="D56" s="6" t="s">
        <v>1002</v>
      </c>
      <c r="E56" s="2">
        <v>30</v>
      </c>
      <c r="F56" s="6" t="s">
        <v>2</v>
      </c>
      <c r="G56" s="2" t="s">
        <v>9</v>
      </c>
      <c r="H56" s="3" t="s">
        <v>207</v>
      </c>
      <c r="I56" s="1"/>
      <c r="J56" s="3" t="s">
        <v>11</v>
      </c>
      <c r="K56" t="s">
        <v>1015</v>
      </c>
    </row>
    <row r="57" spans="2:11" x14ac:dyDescent="0.25">
      <c r="B57" s="1" t="s">
        <v>957</v>
      </c>
      <c r="C57" s="1" t="s">
        <v>958</v>
      </c>
      <c r="D57" s="6" t="s">
        <v>1002</v>
      </c>
      <c r="E57" s="2">
        <v>30</v>
      </c>
      <c r="F57" s="6" t="s">
        <v>2</v>
      </c>
      <c r="G57" s="2" t="s">
        <v>37</v>
      </c>
      <c r="H57" s="3" t="s">
        <v>4</v>
      </c>
      <c r="I57" s="1"/>
      <c r="J57" s="3" t="s">
        <v>89</v>
      </c>
      <c r="K57" t="s">
        <v>1015</v>
      </c>
    </row>
    <row r="58" spans="2:11" x14ac:dyDescent="0.25">
      <c r="B58" s="1" t="s">
        <v>0</v>
      </c>
      <c r="C58" s="1" t="s">
        <v>1</v>
      </c>
      <c r="D58" s="6" t="s">
        <v>1001</v>
      </c>
      <c r="E58" s="2">
        <v>28</v>
      </c>
      <c r="F58" s="6" t="s">
        <v>2</v>
      </c>
      <c r="G58" s="2" t="s">
        <v>3</v>
      </c>
      <c r="H58" s="3" t="s">
        <v>4</v>
      </c>
      <c r="I58" s="1" t="s">
        <v>5</v>
      </c>
      <c r="J58" s="1" t="s">
        <v>6</v>
      </c>
      <c r="K58" t="s">
        <v>1015</v>
      </c>
    </row>
    <row r="59" spans="2:11" x14ac:dyDescent="0.25">
      <c r="B59" s="1" t="s">
        <v>511</v>
      </c>
      <c r="C59" s="1" t="s">
        <v>512</v>
      </c>
      <c r="D59" s="6" t="s">
        <v>1001</v>
      </c>
      <c r="E59" s="2">
        <v>28</v>
      </c>
      <c r="F59" s="6" t="s">
        <v>2</v>
      </c>
      <c r="G59" s="2" t="s">
        <v>9</v>
      </c>
      <c r="H59" s="3" t="s">
        <v>10</v>
      </c>
      <c r="I59" s="1" t="s">
        <v>513</v>
      </c>
      <c r="J59" s="1" t="s">
        <v>6</v>
      </c>
      <c r="K59" t="s">
        <v>1015</v>
      </c>
    </row>
    <row r="60" spans="2:11" x14ac:dyDescent="0.25">
      <c r="B60" s="1" t="s">
        <v>727</v>
      </c>
      <c r="C60" s="1" t="s">
        <v>1060</v>
      </c>
      <c r="D60" s="6" t="s">
        <v>1002</v>
      </c>
      <c r="E60" s="2">
        <v>28</v>
      </c>
      <c r="F60" s="6" t="s">
        <v>2</v>
      </c>
      <c r="G60" s="2" t="s">
        <v>3</v>
      </c>
      <c r="H60" s="3" t="s">
        <v>4</v>
      </c>
      <c r="I60" s="1"/>
      <c r="J60" s="3" t="s">
        <v>89</v>
      </c>
      <c r="K60" t="s">
        <v>1015</v>
      </c>
    </row>
    <row r="61" spans="2:11" x14ac:dyDescent="0.25">
      <c r="B61" s="1" t="s">
        <v>795</v>
      </c>
      <c r="C61" s="1" t="s">
        <v>796</v>
      </c>
      <c r="D61" s="6" t="s">
        <v>1001</v>
      </c>
      <c r="E61" s="2">
        <v>28</v>
      </c>
      <c r="F61" s="6" t="s">
        <v>2</v>
      </c>
      <c r="G61" s="2" t="s">
        <v>9</v>
      </c>
      <c r="H61" s="3" t="s">
        <v>10</v>
      </c>
      <c r="I61" s="1" t="s">
        <v>797</v>
      </c>
      <c r="J61" s="1" t="s">
        <v>6</v>
      </c>
      <c r="K61" t="s">
        <v>1015</v>
      </c>
    </row>
    <row r="62" spans="2:11" x14ac:dyDescent="0.25">
      <c r="B62" s="1" t="s">
        <v>840</v>
      </c>
      <c r="C62" s="1" t="s">
        <v>841</v>
      </c>
      <c r="D62" s="6" t="s">
        <v>1001</v>
      </c>
      <c r="E62" s="2">
        <v>28</v>
      </c>
      <c r="F62" s="6" t="s">
        <v>2</v>
      </c>
      <c r="G62" s="2" t="s">
        <v>3</v>
      </c>
      <c r="H62" s="3" t="s">
        <v>10</v>
      </c>
      <c r="I62" s="1" t="s">
        <v>842</v>
      </c>
      <c r="J62" s="1" t="s">
        <v>6</v>
      </c>
      <c r="K62" t="s">
        <v>1015</v>
      </c>
    </row>
    <row r="63" spans="2:11" x14ac:dyDescent="0.25">
      <c r="B63" s="1" t="s">
        <v>962</v>
      </c>
      <c r="C63" s="1" t="s">
        <v>963</v>
      </c>
      <c r="D63" s="6" t="s">
        <v>1002</v>
      </c>
      <c r="E63" s="2">
        <v>28</v>
      </c>
      <c r="F63" s="6" t="s">
        <v>2</v>
      </c>
      <c r="G63" s="2" t="s">
        <v>9</v>
      </c>
      <c r="H63" s="3" t="s">
        <v>4</v>
      </c>
      <c r="I63" s="1"/>
      <c r="J63" s="3" t="s">
        <v>89</v>
      </c>
      <c r="K63" t="s">
        <v>1015</v>
      </c>
    </row>
    <row r="64" spans="2:11" x14ac:dyDescent="0.25">
      <c r="B64" s="1" t="s">
        <v>117</v>
      </c>
      <c r="C64" s="1" t="s">
        <v>118</v>
      </c>
      <c r="D64" s="6" t="s">
        <v>1002</v>
      </c>
      <c r="E64" s="2">
        <v>26</v>
      </c>
      <c r="F64" s="6" t="s">
        <v>2</v>
      </c>
      <c r="G64" s="2" t="s">
        <v>9</v>
      </c>
      <c r="H64" s="3" t="s">
        <v>119</v>
      </c>
      <c r="I64" s="1" t="s">
        <v>120</v>
      </c>
      <c r="J64" s="1" t="s">
        <v>30</v>
      </c>
      <c r="K64" t="s">
        <v>1015</v>
      </c>
    </row>
    <row r="65" spans="2:11" x14ac:dyDescent="0.25">
      <c r="B65" s="1" t="s">
        <v>366</v>
      </c>
      <c r="C65" s="1" t="s">
        <v>367</v>
      </c>
      <c r="D65" s="6" t="s">
        <v>1002</v>
      </c>
      <c r="E65" s="2">
        <v>26</v>
      </c>
      <c r="F65" s="6" t="s">
        <v>2</v>
      </c>
      <c r="G65" s="2" t="s">
        <v>3</v>
      </c>
      <c r="H65" s="3" t="s">
        <v>10</v>
      </c>
      <c r="I65" s="1" t="s">
        <v>368</v>
      </c>
      <c r="J65" s="1" t="s">
        <v>6</v>
      </c>
      <c r="K65" t="s">
        <v>1015</v>
      </c>
    </row>
    <row r="66" spans="2:11" x14ac:dyDescent="0.25">
      <c r="B66" s="1" t="s">
        <v>582</v>
      </c>
      <c r="C66" s="1" t="s">
        <v>583</v>
      </c>
      <c r="D66" s="6" t="s">
        <v>1001</v>
      </c>
      <c r="E66" s="2">
        <v>26</v>
      </c>
      <c r="F66" s="6" t="s">
        <v>2</v>
      </c>
      <c r="G66" s="2" t="s">
        <v>9</v>
      </c>
      <c r="H66" s="3" t="s">
        <v>10</v>
      </c>
      <c r="I66" s="1" t="s">
        <v>584</v>
      </c>
      <c r="J66" s="1" t="s">
        <v>6</v>
      </c>
      <c r="K66" t="s">
        <v>1015</v>
      </c>
    </row>
    <row r="67" spans="2:11" x14ac:dyDescent="0.25">
      <c r="B67" s="1" t="s">
        <v>556</v>
      </c>
      <c r="C67" s="1" t="s">
        <v>557</v>
      </c>
      <c r="D67" s="6" t="s">
        <v>1001</v>
      </c>
      <c r="E67" s="2">
        <v>24</v>
      </c>
      <c r="F67" s="6" t="s">
        <v>2</v>
      </c>
      <c r="G67" s="2" t="s">
        <v>3</v>
      </c>
      <c r="H67" s="3" t="s">
        <v>44</v>
      </c>
      <c r="I67" s="1" t="s">
        <v>558</v>
      </c>
      <c r="J67" s="1" t="s">
        <v>6</v>
      </c>
      <c r="K67" t="s">
        <v>1015</v>
      </c>
    </row>
    <row r="68" spans="2:11" x14ac:dyDescent="0.25">
      <c r="B68" s="1" t="s">
        <v>231</v>
      </c>
      <c r="C68" s="1" t="s">
        <v>232</v>
      </c>
      <c r="D68" s="6" t="s">
        <v>1001</v>
      </c>
      <c r="E68" s="2">
        <v>20</v>
      </c>
      <c r="F68" s="6" t="s">
        <v>2</v>
      </c>
      <c r="G68" s="2" t="s">
        <v>3</v>
      </c>
      <c r="H68" s="3" t="s">
        <v>28</v>
      </c>
      <c r="I68" s="1"/>
      <c r="J68" s="3" t="s">
        <v>89</v>
      </c>
      <c r="K68" t="s">
        <v>1015</v>
      </c>
    </row>
    <row r="69" spans="2:11" x14ac:dyDescent="0.25">
      <c r="B69" s="1" t="s">
        <v>675</v>
      </c>
      <c r="C69" s="1" t="s">
        <v>676</v>
      </c>
      <c r="D69" s="6" t="s">
        <v>1001</v>
      </c>
      <c r="E69" s="2">
        <v>20</v>
      </c>
      <c r="F69" s="6" t="s">
        <v>2</v>
      </c>
      <c r="G69" s="2" t="s">
        <v>9</v>
      </c>
      <c r="H69" s="3" t="s">
        <v>4</v>
      </c>
      <c r="I69" s="1" t="s">
        <v>677</v>
      </c>
      <c r="J69" s="1" t="s">
        <v>6</v>
      </c>
      <c r="K69" t="s">
        <v>1015</v>
      </c>
    </row>
    <row r="70" spans="2:11" x14ac:dyDescent="0.25">
      <c r="B70" s="1" t="s">
        <v>607</v>
      </c>
      <c r="C70" s="1" t="s">
        <v>608</v>
      </c>
      <c r="D70" s="6" t="s">
        <v>1001</v>
      </c>
      <c r="E70" s="2">
        <v>16</v>
      </c>
      <c r="F70" s="6" t="s">
        <v>2</v>
      </c>
      <c r="G70" s="2" t="s">
        <v>3</v>
      </c>
      <c r="H70" s="3" t="s">
        <v>10</v>
      </c>
      <c r="I70" s="1" t="s">
        <v>609</v>
      </c>
      <c r="J70" s="1" t="s">
        <v>6</v>
      </c>
      <c r="K70" t="s">
        <v>1015</v>
      </c>
    </row>
    <row r="71" spans="2:11" x14ac:dyDescent="0.25">
      <c r="B71" s="1" t="s">
        <v>920</v>
      </c>
      <c r="C71" s="1" t="s">
        <v>1068</v>
      </c>
      <c r="D71" s="6" t="s">
        <v>1002</v>
      </c>
      <c r="E71" s="2">
        <v>16</v>
      </c>
      <c r="F71" s="6" t="s">
        <v>14</v>
      </c>
      <c r="G71" s="2" t="s">
        <v>15</v>
      </c>
      <c r="H71" s="3" t="s">
        <v>364</v>
      </c>
      <c r="I71" s="1" t="s">
        <v>921</v>
      </c>
      <c r="J71" s="1" t="s">
        <v>30</v>
      </c>
      <c r="K71" t="s">
        <v>1015</v>
      </c>
    </row>
    <row r="72" spans="2:11" x14ac:dyDescent="0.25">
      <c r="B72" s="1" t="s">
        <v>183</v>
      </c>
      <c r="C72" s="1" t="s">
        <v>184</v>
      </c>
      <c r="D72" s="6" t="s">
        <v>1002</v>
      </c>
      <c r="E72" s="2">
        <v>0</v>
      </c>
      <c r="F72" s="6" t="s">
        <v>2</v>
      </c>
      <c r="G72" s="2" t="s">
        <v>37</v>
      </c>
      <c r="H72" s="3" t="s">
        <v>185</v>
      </c>
      <c r="I72" s="1"/>
      <c r="J72" s="3" t="s">
        <v>113</v>
      </c>
      <c r="K72" t="s">
        <v>1015</v>
      </c>
    </row>
    <row r="73" spans="2:11" x14ac:dyDescent="0.25">
      <c r="B73" s="1" t="s">
        <v>522</v>
      </c>
      <c r="C73" s="1" t="s">
        <v>523</v>
      </c>
      <c r="D73" s="6" t="s">
        <v>1001</v>
      </c>
      <c r="E73" s="2">
        <v>30</v>
      </c>
      <c r="F73" s="6" t="s">
        <v>2</v>
      </c>
      <c r="G73" s="2" t="s">
        <v>9</v>
      </c>
      <c r="H73" s="3" t="s">
        <v>28</v>
      </c>
      <c r="I73" s="1" t="s">
        <v>524</v>
      </c>
      <c r="J73" s="1" t="s">
        <v>6</v>
      </c>
    </row>
  </sheetData>
  <sortState xmlns:xlrd2="http://schemas.microsoft.com/office/spreadsheetml/2017/richdata2" ref="A1:T75">
    <sortCondition ref="K1:K75"/>
  </sortState>
  <conditionalFormatting sqref="C1:C2 C4:C26 C28:C31">
    <cfRule type="colorScale" priority="7">
      <colorScale>
        <cfvo type="min"/>
        <cfvo type="max"/>
        <color rgb="FFFCFCFF"/>
        <color rgb="FF63BE7B"/>
      </colorScale>
    </cfRule>
  </conditionalFormatting>
  <conditionalFormatting sqref="C3">
    <cfRule type="colorScale" priority="3">
      <colorScale>
        <cfvo type="min"/>
        <cfvo type="max"/>
        <color rgb="FFFCFCFF"/>
        <color rgb="FF63BE7B"/>
      </colorScale>
    </cfRule>
    <cfRule type="duplicateValues" dxfId="26" priority="4"/>
  </conditionalFormatting>
  <conditionalFormatting sqref="C32:C72">
    <cfRule type="colorScale" priority="5">
      <colorScale>
        <cfvo type="min"/>
        <cfvo type="max"/>
        <color rgb="FFFCFCFF"/>
        <color rgb="FF63BE7B"/>
      </colorScale>
    </cfRule>
    <cfRule type="duplicateValues" dxfId="25" priority="6"/>
  </conditionalFormatting>
  <conditionalFormatting sqref="C73">
    <cfRule type="colorScale" priority="1">
      <colorScale>
        <cfvo type="min"/>
        <cfvo type="max"/>
        <color rgb="FFFCFCFF"/>
        <color rgb="FF63BE7B"/>
      </colorScale>
    </cfRule>
    <cfRule type="duplicateValues" dxfId="24" priority="2"/>
  </conditionalFormatting>
  <conditionalFormatting sqref="U1:U31 C1:C2 C4:C26 C28:C31">
    <cfRule type="duplicateValues" dxfId="23" priority="8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G12"/>
  <sheetViews>
    <sheetView workbookViewId="0">
      <selection activeCell="C14" sqref="C14"/>
    </sheetView>
  </sheetViews>
  <sheetFormatPr defaultRowHeight="15" x14ac:dyDescent="0.25"/>
  <cols>
    <col min="2" max="2" width="20" bestFit="1" customWidth="1"/>
    <col min="3" max="3" width="12" bestFit="1" customWidth="1"/>
    <col min="6" max="6" width="9" bestFit="1" customWidth="1"/>
  </cols>
  <sheetData>
    <row r="3" spans="1:7" ht="15.75" x14ac:dyDescent="0.3">
      <c r="A3" t="s">
        <v>1006</v>
      </c>
      <c r="B3" s="13" t="s">
        <v>1004</v>
      </c>
      <c r="C3" s="14" t="s">
        <v>1005</v>
      </c>
    </row>
    <row r="4" spans="1:7" ht="16.5" thickBot="1" x14ac:dyDescent="0.35">
      <c r="A4" t="s">
        <v>1007</v>
      </c>
      <c r="B4" s="13" t="s">
        <v>1016</v>
      </c>
      <c r="C4" s="15" t="s">
        <v>1017</v>
      </c>
    </row>
    <row r="5" spans="1:7" ht="16.5" thickBot="1" x14ac:dyDescent="0.35">
      <c r="A5" t="s">
        <v>1008</v>
      </c>
      <c r="B5" s="13" t="s">
        <v>1018</v>
      </c>
      <c r="C5" s="15" t="s">
        <v>1023</v>
      </c>
      <c r="F5" s="18"/>
      <c r="G5" s="17"/>
    </row>
    <row r="6" spans="1:7" ht="16.5" thickBot="1" x14ac:dyDescent="0.35">
      <c r="A6" t="s">
        <v>1009</v>
      </c>
      <c r="B6" s="13" t="s">
        <v>1026</v>
      </c>
      <c r="C6" s="15" t="s">
        <v>1027</v>
      </c>
    </row>
    <row r="7" spans="1:7" ht="15.75" thickBot="1" x14ac:dyDescent="0.3">
      <c r="A7" t="s">
        <v>1010</v>
      </c>
      <c r="B7" s="16" t="s">
        <v>1028</v>
      </c>
      <c r="C7" s="15" t="s">
        <v>1029</v>
      </c>
    </row>
    <row r="8" spans="1:7" ht="30" x14ac:dyDescent="0.25">
      <c r="A8" t="s">
        <v>1011</v>
      </c>
      <c r="B8" s="19" t="s">
        <v>1032</v>
      </c>
    </row>
    <row r="9" spans="1:7" ht="15.75" x14ac:dyDescent="0.3">
      <c r="A9" t="s">
        <v>1012</v>
      </c>
      <c r="B9" s="13" t="s">
        <v>1030</v>
      </c>
      <c r="C9" s="15" t="s">
        <v>1031</v>
      </c>
    </row>
    <row r="10" spans="1:7" ht="15.75" x14ac:dyDescent="0.3">
      <c r="A10" t="s">
        <v>1013</v>
      </c>
      <c r="B10" s="13" t="s">
        <v>1019</v>
      </c>
      <c r="C10" s="15" t="s">
        <v>1020</v>
      </c>
    </row>
    <row r="11" spans="1:7" ht="15.75" x14ac:dyDescent="0.3">
      <c r="A11" t="s">
        <v>1014</v>
      </c>
      <c r="B11" s="13" t="s">
        <v>1021</v>
      </c>
      <c r="C11" s="15" t="s">
        <v>1022</v>
      </c>
    </row>
    <row r="12" spans="1:7" ht="15.75" x14ac:dyDescent="0.3">
      <c r="A12" t="s">
        <v>1015</v>
      </c>
      <c r="B12" s="13" t="s">
        <v>1024</v>
      </c>
      <c r="C12" s="15" t="s">
        <v>1025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F361"/>
  <sheetViews>
    <sheetView workbookViewId="0">
      <selection activeCell="C4" sqref="C4"/>
    </sheetView>
  </sheetViews>
  <sheetFormatPr defaultRowHeight="15" x14ac:dyDescent="0.25"/>
  <cols>
    <col min="2" max="2" width="13.140625" customWidth="1"/>
    <col min="3" max="3" width="12.5703125" customWidth="1"/>
    <col min="4" max="4" width="37.28515625" customWidth="1"/>
  </cols>
  <sheetData>
    <row r="3" spans="1:6" x14ac:dyDescent="0.25">
      <c r="A3" t="s">
        <v>1072</v>
      </c>
      <c r="B3" t="s">
        <v>1073</v>
      </c>
      <c r="C3" t="s">
        <v>992</v>
      </c>
      <c r="D3" t="s">
        <v>1074</v>
      </c>
      <c r="E3" t="s">
        <v>994</v>
      </c>
      <c r="F3" t="s">
        <v>1075</v>
      </c>
    </row>
    <row r="4" spans="1:6" x14ac:dyDescent="0.25">
      <c r="A4" s="6">
        <v>1</v>
      </c>
      <c r="B4" s="6">
        <v>14222</v>
      </c>
      <c r="C4" s="1" t="s">
        <v>7</v>
      </c>
      <c r="D4" s="1" t="s">
        <v>8</v>
      </c>
      <c r="E4" s="6" t="s">
        <v>1002</v>
      </c>
      <c r="F4" s="5" t="s">
        <v>1013</v>
      </c>
    </row>
    <row r="5" spans="1:6" x14ac:dyDescent="0.25">
      <c r="A5" s="6">
        <v>2</v>
      </c>
      <c r="B5" s="6">
        <v>14223</v>
      </c>
      <c r="C5" s="6" t="s">
        <v>12</v>
      </c>
      <c r="D5" s="2" t="s">
        <v>13</v>
      </c>
      <c r="E5" s="6" t="s">
        <v>1001</v>
      </c>
      <c r="F5" s="5" t="s">
        <v>1014</v>
      </c>
    </row>
    <row r="6" spans="1:6" x14ac:dyDescent="0.25">
      <c r="A6" s="6">
        <v>3</v>
      </c>
      <c r="B6" s="6">
        <v>14224</v>
      </c>
      <c r="C6" s="1" t="s">
        <v>17</v>
      </c>
      <c r="D6" s="1" t="s">
        <v>18</v>
      </c>
      <c r="E6" s="6" t="s">
        <v>1001</v>
      </c>
      <c r="F6" s="5" t="s">
        <v>1012</v>
      </c>
    </row>
    <row r="7" spans="1:6" x14ac:dyDescent="0.25">
      <c r="A7" s="6">
        <v>4</v>
      </c>
      <c r="B7" s="6">
        <v>14225</v>
      </c>
      <c r="C7" s="1" t="s">
        <v>20</v>
      </c>
      <c r="D7" s="1" t="s">
        <v>21</v>
      </c>
      <c r="E7" s="6" t="s">
        <v>1001</v>
      </c>
      <c r="F7" s="5" t="s">
        <v>1008</v>
      </c>
    </row>
    <row r="8" spans="1:6" x14ac:dyDescent="0.25">
      <c r="A8" s="6">
        <v>5</v>
      </c>
      <c r="B8" s="6">
        <v>14226</v>
      </c>
      <c r="C8" s="1" t="s">
        <v>23</v>
      </c>
      <c r="D8" s="1" t="s">
        <v>1033</v>
      </c>
      <c r="E8" s="6" t="s">
        <v>1001</v>
      </c>
      <c r="F8" s="5" t="s">
        <v>1008</v>
      </c>
    </row>
    <row r="9" spans="1:6" x14ac:dyDescent="0.25">
      <c r="A9" s="6">
        <v>6</v>
      </c>
      <c r="B9" s="6">
        <v>14227</v>
      </c>
      <c r="C9" s="10" t="s">
        <v>0</v>
      </c>
      <c r="D9" s="2" t="s">
        <v>1</v>
      </c>
      <c r="E9" s="6" t="s">
        <v>1001</v>
      </c>
      <c r="F9" s="5" t="s">
        <v>1015</v>
      </c>
    </row>
    <row r="10" spans="1:6" x14ac:dyDescent="0.25">
      <c r="A10" s="6">
        <v>7</v>
      </c>
      <c r="B10" s="6">
        <v>14228</v>
      </c>
      <c r="C10" s="1" t="s">
        <v>26</v>
      </c>
      <c r="D10" s="1" t="s">
        <v>27</v>
      </c>
      <c r="E10" s="6" t="s">
        <v>1001</v>
      </c>
      <c r="F10" s="5" t="s">
        <v>1012</v>
      </c>
    </row>
    <row r="11" spans="1:6" x14ac:dyDescent="0.25">
      <c r="A11" s="6">
        <v>8</v>
      </c>
      <c r="B11" s="6">
        <v>14229</v>
      </c>
      <c r="C11" s="1" t="s">
        <v>31</v>
      </c>
      <c r="D11" s="1" t="s">
        <v>32</v>
      </c>
      <c r="E11" s="6" t="s">
        <v>1001</v>
      </c>
      <c r="F11" s="5" t="s">
        <v>1010</v>
      </c>
    </row>
    <row r="12" spans="1:6" x14ac:dyDescent="0.25">
      <c r="A12" s="6">
        <v>9</v>
      </c>
      <c r="B12" s="6">
        <v>14230</v>
      </c>
      <c r="C12" s="10" t="s">
        <v>35</v>
      </c>
      <c r="D12" s="2" t="s">
        <v>36</v>
      </c>
      <c r="E12" s="6" t="s">
        <v>1002</v>
      </c>
      <c r="F12" s="5" t="s">
        <v>1007</v>
      </c>
    </row>
    <row r="13" spans="1:6" x14ac:dyDescent="0.25">
      <c r="A13" s="6">
        <v>10</v>
      </c>
      <c r="B13" s="6">
        <v>14231</v>
      </c>
      <c r="C13" s="1" t="s">
        <v>39</v>
      </c>
      <c r="D13" s="1" t="s">
        <v>40</v>
      </c>
      <c r="E13" s="6" t="s">
        <v>1001</v>
      </c>
      <c r="F13" s="5" t="s">
        <v>1010</v>
      </c>
    </row>
    <row r="14" spans="1:6" x14ac:dyDescent="0.25">
      <c r="A14" s="6">
        <v>11</v>
      </c>
      <c r="B14" s="6">
        <v>14232</v>
      </c>
      <c r="C14" s="1" t="s">
        <v>42</v>
      </c>
      <c r="D14" s="1" t="s">
        <v>43</v>
      </c>
      <c r="E14" s="6" t="s">
        <v>1002</v>
      </c>
      <c r="F14" s="5" t="s">
        <v>1009</v>
      </c>
    </row>
    <row r="15" spans="1:6" x14ac:dyDescent="0.25">
      <c r="A15" s="6">
        <v>12</v>
      </c>
      <c r="B15" s="6">
        <v>14233</v>
      </c>
      <c r="C15" s="1" t="s">
        <v>45</v>
      </c>
      <c r="D15" s="1" t="s">
        <v>46</v>
      </c>
      <c r="E15" s="6" t="s">
        <v>1001</v>
      </c>
      <c r="F15" s="5" t="s">
        <v>1006</v>
      </c>
    </row>
    <row r="16" spans="1:6" x14ac:dyDescent="0.25">
      <c r="A16" s="6">
        <v>13</v>
      </c>
      <c r="B16" s="6">
        <v>14234</v>
      </c>
      <c r="C16" s="1" t="s">
        <v>48</v>
      </c>
      <c r="D16" s="1" t="s">
        <v>49</v>
      </c>
      <c r="E16" s="6" t="s">
        <v>1001</v>
      </c>
      <c r="F16" s="5" t="s">
        <v>1009</v>
      </c>
    </row>
    <row r="17" spans="1:6" x14ac:dyDescent="0.25">
      <c r="A17" s="6">
        <v>14</v>
      </c>
      <c r="B17" s="6">
        <v>14235</v>
      </c>
      <c r="C17" s="1" t="s">
        <v>50</v>
      </c>
      <c r="D17" s="1" t="s">
        <v>51</v>
      </c>
      <c r="E17" s="6" t="s">
        <v>1001</v>
      </c>
      <c r="F17" s="5" t="s">
        <v>1012</v>
      </c>
    </row>
    <row r="18" spans="1:6" x14ac:dyDescent="0.25">
      <c r="A18" s="6">
        <v>15</v>
      </c>
      <c r="B18" s="6">
        <v>14236</v>
      </c>
      <c r="C18" s="1" t="s">
        <v>53</v>
      </c>
      <c r="D18" s="1" t="s">
        <v>54</v>
      </c>
      <c r="E18" s="6" t="s">
        <v>1002</v>
      </c>
      <c r="F18" s="5" t="s">
        <v>1006</v>
      </c>
    </row>
    <row r="19" spans="1:6" x14ac:dyDescent="0.25">
      <c r="A19" s="6">
        <v>16</v>
      </c>
      <c r="B19" s="6">
        <v>14237</v>
      </c>
      <c r="C19" s="22" t="s">
        <v>55</v>
      </c>
      <c r="D19" s="1" t="s">
        <v>56</v>
      </c>
      <c r="E19" s="6" t="s">
        <v>1002</v>
      </c>
      <c r="F19" s="5" t="s">
        <v>1009</v>
      </c>
    </row>
    <row r="20" spans="1:6" x14ac:dyDescent="0.25">
      <c r="A20" s="6">
        <v>17</v>
      </c>
      <c r="B20" s="6">
        <v>14238</v>
      </c>
      <c r="C20" s="1" t="s">
        <v>58</v>
      </c>
      <c r="D20" s="1" t="s">
        <v>59</v>
      </c>
      <c r="E20" s="6" t="s">
        <v>1002</v>
      </c>
      <c r="F20" s="5" t="s">
        <v>1011</v>
      </c>
    </row>
    <row r="21" spans="1:6" x14ac:dyDescent="0.25">
      <c r="A21" s="6">
        <v>18</v>
      </c>
      <c r="B21" s="6">
        <v>14239</v>
      </c>
      <c r="C21" s="1" t="s">
        <v>61</v>
      </c>
      <c r="D21" s="1" t="s">
        <v>62</v>
      </c>
      <c r="E21" s="6" t="s">
        <v>1002</v>
      </c>
      <c r="F21" s="5" t="s">
        <v>1013</v>
      </c>
    </row>
    <row r="22" spans="1:6" x14ac:dyDescent="0.25">
      <c r="A22" s="6">
        <v>19</v>
      </c>
      <c r="B22" s="6">
        <v>14240</v>
      </c>
      <c r="C22" s="1" t="s">
        <v>65</v>
      </c>
      <c r="D22" s="1" t="s">
        <v>66</v>
      </c>
      <c r="E22" s="6" t="s">
        <v>1002</v>
      </c>
      <c r="F22" s="5" t="s">
        <v>1009</v>
      </c>
    </row>
    <row r="23" spans="1:6" x14ac:dyDescent="0.25">
      <c r="A23" s="6">
        <v>20</v>
      </c>
      <c r="B23" s="6">
        <v>14241</v>
      </c>
      <c r="C23" s="1" t="s">
        <v>68</v>
      </c>
      <c r="D23" s="1" t="s">
        <v>69</v>
      </c>
      <c r="E23" s="6" t="s">
        <v>1001</v>
      </c>
      <c r="F23" s="5" t="s">
        <v>1012</v>
      </c>
    </row>
    <row r="24" spans="1:6" x14ac:dyDescent="0.25">
      <c r="A24" s="6">
        <v>21</v>
      </c>
      <c r="B24" s="6">
        <v>14242</v>
      </c>
      <c r="C24" s="1" t="s">
        <v>71</v>
      </c>
      <c r="D24" s="1" t="s">
        <v>1034</v>
      </c>
      <c r="E24" s="6" t="s">
        <v>1001</v>
      </c>
      <c r="F24" s="5" t="s">
        <v>1013</v>
      </c>
    </row>
    <row r="25" spans="1:6" x14ac:dyDescent="0.25">
      <c r="A25" s="6">
        <v>22</v>
      </c>
      <c r="B25" s="6">
        <v>14243</v>
      </c>
      <c r="C25" s="9" t="s">
        <v>73</v>
      </c>
      <c r="D25" s="2" t="s">
        <v>74</v>
      </c>
      <c r="E25" s="6" t="s">
        <v>1001</v>
      </c>
      <c r="F25" s="5" t="s">
        <v>1007</v>
      </c>
    </row>
    <row r="26" spans="1:6" x14ac:dyDescent="0.25">
      <c r="A26" s="6">
        <v>23</v>
      </c>
      <c r="B26" s="6">
        <v>14244</v>
      </c>
      <c r="C26" s="1" t="s">
        <v>76</v>
      </c>
      <c r="D26" s="1" t="s">
        <v>77</v>
      </c>
      <c r="E26" s="6" t="s">
        <v>1002</v>
      </c>
      <c r="F26" s="5" t="s">
        <v>1012</v>
      </c>
    </row>
    <row r="27" spans="1:6" x14ac:dyDescent="0.25">
      <c r="A27" s="6">
        <v>24</v>
      </c>
      <c r="B27" s="6">
        <v>14245</v>
      </c>
      <c r="C27" s="1" t="s">
        <v>79</v>
      </c>
      <c r="D27" s="1" t="s">
        <v>80</v>
      </c>
      <c r="E27" s="6" t="s">
        <v>1001</v>
      </c>
      <c r="F27" s="5" t="s">
        <v>1006</v>
      </c>
    </row>
    <row r="28" spans="1:6" x14ac:dyDescent="0.25">
      <c r="A28" s="6">
        <v>25</v>
      </c>
      <c r="B28" s="6">
        <v>14246</v>
      </c>
      <c r="C28" s="1" t="s">
        <v>82</v>
      </c>
      <c r="D28" s="1" t="s">
        <v>83</v>
      </c>
      <c r="E28" s="6" t="s">
        <v>1001</v>
      </c>
      <c r="F28" s="5" t="s">
        <v>1010</v>
      </c>
    </row>
    <row r="29" spans="1:6" x14ac:dyDescent="0.25">
      <c r="A29" s="6">
        <v>26</v>
      </c>
      <c r="B29" s="6">
        <v>14247</v>
      </c>
      <c r="C29" s="1" t="s">
        <v>84</v>
      </c>
      <c r="D29" s="1" t="s">
        <v>85</v>
      </c>
      <c r="E29" s="6" t="s">
        <v>1002</v>
      </c>
      <c r="F29" s="5" t="s">
        <v>1013</v>
      </c>
    </row>
    <row r="30" spans="1:6" x14ac:dyDescent="0.25">
      <c r="A30" s="6">
        <v>27</v>
      </c>
      <c r="B30" s="6">
        <v>14248</v>
      </c>
      <c r="C30" s="1" t="s">
        <v>87</v>
      </c>
      <c r="D30" s="1" t="s">
        <v>88</v>
      </c>
      <c r="E30" s="6" t="s">
        <v>1002</v>
      </c>
      <c r="F30" s="5" t="s">
        <v>1013</v>
      </c>
    </row>
    <row r="31" spans="1:6" x14ac:dyDescent="0.25">
      <c r="A31" s="6">
        <v>28</v>
      </c>
      <c r="B31" s="6">
        <v>14249</v>
      </c>
      <c r="C31" s="1" t="s">
        <v>90</v>
      </c>
      <c r="D31" s="1" t="s">
        <v>91</v>
      </c>
      <c r="E31" s="6" t="s">
        <v>1001</v>
      </c>
      <c r="F31" s="5" t="s">
        <v>1013</v>
      </c>
    </row>
    <row r="32" spans="1:6" x14ac:dyDescent="0.25">
      <c r="A32" s="6">
        <v>29</v>
      </c>
      <c r="B32" s="6">
        <v>14250</v>
      </c>
      <c r="C32" s="9" t="s">
        <v>93</v>
      </c>
      <c r="D32" s="2" t="s">
        <v>94</v>
      </c>
      <c r="E32" s="6" t="s">
        <v>1002</v>
      </c>
      <c r="F32" s="5" t="s">
        <v>1007</v>
      </c>
    </row>
    <row r="33" spans="1:6" x14ac:dyDescent="0.25">
      <c r="A33" s="6">
        <v>30</v>
      </c>
      <c r="B33" s="6">
        <v>14251</v>
      </c>
      <c r="C33" s="1" t="s">
        <v>96</v>
      </c>
      <c r="D33" s="1" t="s">
        <v>97</v>
      </c>
      <c r="E33" s="6" t="s">
        <v>1002</v>
      </c>
      <c r="F33" s="5" t="s">
        <v>1013</v>
      </c>
    </row>
    <row r="34" spans="1:6" x14ac:dyDescent="0.25">
      <c r="A34" s="6">
        <v>31</v>
      </c>
      <c r="B34" s="6">
        <v>14252</v>
      </c>
      <c r="C34" s="1" t="s">
        <v>100</v>
      </c>
      <c r="D34" s="1" t="s">
        <v>101</v>
      </c>
      <c r="E34" s="6" t="s">
        <v>1001</v>
      </c>
      <c r="F34" s="5" t="s">
        <v>1010</v>
      </c>
    </row>
    <row r="35" spans="1:6" x14ac:dyDescent="0.25">
      <c r="A35" s="6">
        <v>32</v>
      </c>
      <c r="B35" s="6">
        <v>14253</v>
      </c>
      <c r="C35" s="1" t="s">
        <v>103</v>
      </c>
      <c r="D35" s="1" t="s">
        <v>104</v>
      </c>
      <c r="E35" s="6" t="s">
        <v>1002</v>
      </c>
      <c r="F35" s="5" t="s">
        <v>1006</v>
      </c>
    </row>
    <row r="36" spans="1:6" x14ac:dyDescent="0.25">
      <c r="A36" s="6">
        <v>33</v>
      </c>
      <c r="B36" s="6">
        <v>14254</v>
      </c>
      <c r="C36" s="1" t="s">
        <v>106</v>
      </c>
      <c r="D36" s="1" t="s">
        <v>1035</v>
      </c>
      <c r="E36" s="6" t="s">
        <v>1001</v>
      </c>
      <c r="F36" s="5" t="s">
        <v>1010</v>
      </c>
    </row>
    <row r="37" spans="1:6" x14ac:dyDescent="0.25">
      <c r="A37" s="6">
        <v>34</v>
      </c>
      <c r="B37" s="6">
        <v>14255</v>
      </c>
      <c r="C37" s="9" t="s">
        <v>108</v>
      </c>
      <c r="D37" s="2" t="s">
        <v>109</v>
      </c>
      <c r="E37" s="6" t="s">
        <v>1002</v>
      </c>
      <c r="F37" s="5" t="s">
        <v>1007</v>
      </c>
    </row>
    <row r="38" spans="1:6" x14ac:dyDescent="0.25">
      <c r="A38" s="6">
        <v>35</v>
      </c>
      <c r="B38" s="6">
        <v>14256</v>
      </c>
      <c r="C38" s="9" t="s">
        <v>111</v>
      </c>
      <c r="D38" s="2" t="s">
        <v>112</v>
      </c>
      <c r="E38" s="6" t="s">
        <v>1002</v>
      </c>
      <c r="F38" s="5" t="s">
        <v>1015</v>
      </c>
    </row>
    <row r="39" spans="1:6" x14ac:dyDescent="0.25">
      <c r="A39" s="6">
        <v>36</v>
      </c>
      <c r="B39" s="6">
        <v>14257</v>
      </c>
      <c r="C39" s="1" t="s">
        <v>114</v>
      </c>
      <c r="D39" s="1" t="s">
        <v>115</v>
      </c>
      <c r="E39" s="6" t="s">
        <v>1002</v>
      </c>
      <c r="F39" s="5" t="s">
        <v>1010</v>
      </c>
    </row>
    <row r="40" spans="1:6" x14ac:dyDescent="0.25">
      <c r="A40" s="6">
        <v>1</v>
      </c>
      <c r="B40" s="6">
        <v>14258</v>
      </c>
      <c r="C40" s="9" t="s">
        <v>117</v>
      </c>
      <c r="D40" s="2" t="s">
        <v>118</v>
      </c>
      <c r="E40" s="6" t="s">
        <v>1002</v>
      </c>
      <c r="F40" s="5" t="s">
        <v>1015</v>
      </c>
    </row>
    <row r="41" spans="1:6" x14ac:dyDescent="0.25">
      <c r="A41" s="6">
        <v>2</v>
      </c>
      <c r="B41" s="6">
        <v>14259</v>
      </c>
      <c r="C41" s="1" t="s">
        <v>121</v>
      </c>
      <c r="D41" s="1" t="s">
        <v>122</v>
      </c>
      <c r="E41" s="6" t="s">
        <v>1002</v>
      </c>
      <c r="F41" s="5" t="s">
        <v>1010</v>
      </c>
    </row>
    <row r="42" spans="1:6" x14ac:dyDescent="0.25">
      <c r="A42" s="6">
        <v>3</v>
      </c>
      <c r="B42" s="6">
        <v>14260</v>
      </c>
      <c r="C42" s="1" t="s">
        <v>124</v>
      </c>
      <c r="D42" s="1" t="s">
        <v>125</v>
      </c>
      <c r="E42" s="6" t="s">
        <v>1002</v>
      </c>
      <c r="F42" s="5" t="s">
        <v>1012</v>
      </c>
    </row>
    <row r="43" spans="1:6" x14ac:dyDescent="0.25">
      <c r="A43" s="6">
        <v>4</v>
      </c>
      <c r="B43" s="6">
        <v>14261</v>
      </c>
      <c r="C43" s="9" t="s">
        <v>127</v>
      </c>
      <c r="D43" s="2" t="s">
        <v>128</v>
      </c>
      <c r="E43" s="6" t="s">
        <v>1002</v>
      </c>
      <c r="F43" s="5" t="s">
        <v>1015</v>
      </c>
    </row>
    <row r="44" spans="1:6" x14ac:dyDescent="0.25">
      <c r="A44" s="6">
        <v>5</v>
      </c>
      <c r="B44" s="6">
        <v>14262</v>
      </c>
      <c r="C44" s="1" t="s">
        <v>131</v>
      </c>
      <c r="D44" s="1" t="s">
        <v>132</v>
      </c>
      <c r="E44" s="6" t="s">
        <v>1002</v>
      </c>
      <c r="F44" s="5" t="s">
        <v>1012</v>
      </c>
    </row>
    <row r="45" spans="1:6" x14ac:dyDescent="0.25">
      <c r="A45" s="6">
        <v>6</v>
      </c>
      <c r="B45" s="6">
        <v>14263</v>
      </c>
      <c r="C45" s="1" t="s">
        <v>133</v>
      </c>
      <c r="D45" s="1" t="s">
        <v>134</v>
      </c>
      <c r="E45" s="6" t="s">
        <v>1002</v>
      </c>
      <c r="F45" s="5" t="s">
        <v>1009</v>
      </c>
    </row>
    <row r="46" spans="1:6" x14ac:dyDescent="0.25">
      <c r="A46" s="6">
        <v>7</v>
      </c>
      <c r="B46" s="6">
        <v>14264</v>
      </c>
      <c r="C46" s="1" t="s">
        <v>136</v>
      </c>
      <c r="D46" s="1" t="s">
        <v>137</v>
      </c>
      <c r="E46" s="6" t="s">
        <v>1001</v>
      </c>
      <c r="F46" s="5" t="s">
        <v>1009</v>
      </c>
    </row>
    <row r="47" spans="1:6" x14ac:dyDescent="0.25">
      <c r="A47" s="6">
        <v>8</v>
      </c>
      <c r="B47" s="6">
        <v>14265</v>
      </c>
      <c r="C47" s="1" t="s">
        <v>139</v>
      </c>
      <c r="D47" s="1" t="s">
        <v>140</v>
      </c>
      <c r="E47" s="6" t="s">
        <v>1001</v>
      </c>
      <c r="F47" s="5" t="s">
        <v>1011</v>
      </c>
    </row>
    <row r="48" spans="1:6" x14ac:dyDescent="0.25">
      <c r="A48" s="6">
        <v>9</v>
      </c>
      <c r="B48" s="6">
        <v>14266</v>
      </c>
      <c r="C48" s="1" t="s">
        <v>142</v>
      </c>
      <c r="D48" s="1" t="s">
        <v>1036</v>
      </c>
      <c r="E48" s="6" t="s">
        <v>1001</v>
      </c>
      <c r="F48" s="5" t="s">
        <v>1011</v>
      </c>
    </row>
    <row r="49" spans="1:6" x14ac:dyDescent="0.25">
      <c r="A49" s="6">
        <v>10</v>
      </c>
      <c r="B49" s="6">
        <v>14267</v>
      </c>
      <c r="C49" s="1" t="s">
        <v>143</v>
      </c>
      <c r="D49" s="1" t="s">
        <v>144</v>
      </c>
      <c r="E49" s="6" t="s">
        <v>1001</v>
      </c>
      <c r="F49" s="5" t="s">
        <v>1010</v>
      </c>
    </row>
    <row r="50" spans="1:6" x14ac:dyDescent="0.25">
      <c r="A50" s="6">
        <v>11</v>
      </c>
      <c r="B50" s="6">
        <v>14268</v>
      </c>
      <c r="C50" s="1" t="s">
        <v>146</v>
      </c>
      <c r="D50" s="1" t="s">
        <v>147</v>
      </c>
      <c r="E50" s="6" t="s">
        <v>1002</v>
      </c>
      <c r="F50" s="5" t="s">
        <v>1006</v>
      </c>
    </row>
    <row r="51" spans="1:6" x14ac:dyDescent="0.25">
      <c r="A51" s="6">
        <v>12</v>
      </c>
      <c r="B51" s="6">
        <v>14269</v>
      </c>
      <c r="C51" s="1" t="s">
        <v>148</v>
      </c>
      <c r="D51" s="1" t="s">
        <v>149</v>
      </c>
      <c r="E51" s="6" t="s">
        <v>1002</v>
      </c>
      <c r="F51" s="5" t="s">
        <v>1010</v>
      </c>
    </row>
    <row r="52" spans="1:6" x14ac:dyDescent="0.25">
      <c r="A52" s="6">
        <v>13</v>
      </c>
      <c r="B52" s="6">
        <v>14270</v>
      </c>
      <c r="C52" s="1" t="s">
        <v>151</v>
      </c>
      <c r="D52" s="1" t="s">
        <v>152</v>
      </c>
      <c r="E52" s="6" t="s">
        <v>1002</v>
      </c>
      <c r="F52" s="5" t="s">
        <v>1008</v>
      </c>
    </row>
    <row r="53" spans="1:6" x14ac:dyDescent="0.25">
      <c r="A53" s="6">
        <v>14</v>
      </c>
      <c r="B53" s="6">
        <v>14271</v>
      </c>
      <c r="C53" s="1" t="s">
        <v>154</v>
      </c>
      <c r="D53" s="1" t="s">
        <v>1037</v>
      </c>
      <c r="E53" s="6" t="s">
        <v>1002</v>
      </c>
      <c r="F53" s="5" t="s">
        <v>1011</v>
      </c>
    </row>
    <row r="54" spans="1:6" x14ac:dyDescent="0.25">
      <c r="A54" s="6">
        <v>15</v>
      </c>
      <c r="B54" s="6">
        <v>14272</v>
      </c>
      <c r="C54" s="9" t="s">
        <v>156</v>
      </c>
      <c r="D54" s="2" t="s">
        <v>157</v>
      </c>
      <c r="E54" s="6" t="s">
        <v>1002</v>
      </c>
      <c r="F54" s="5" t="s">
        <v>1015</v>
      </c>
    </row>
    <row r="55" spans="1:6" x14ac:dyDescent="0.25">
      <c r="A55" s="6">
        <v>16</v>
      </c>
      <c r="B55" s="6">
        <v>14273</v>
      </c>
      <c r="C55" s="1" t="s">
        <v>159</v>
      </c>
      <c r="D55" s="1" t="s">
        <v>160</v>
      </c>
      <c r="E55" s="6" t="s">
        <v>1001</v>
      </c>
      <c r="F55" s="5" t="s">
        <v>1011</v>
      </c>
    </row>
    <row r="56" spans="1:6" x14ac:dyDescent="0.25">
      <c r="A56" s="6">
        <v>17</v>
      </c>
      <c r="B56" s="6">
        <v>14274</v>
      </c>
      <c r="C56" s="1" t="s">
        <v>163</v>
      </c>
      <c r="D56" s="1" t="s">
        <v>164</v>
      </c>
      <c r="E56" s="6" t="s">
        <v>1001</v>
      </c>
      <c r="F56" s="5" t="s">
        <v>1013</v>
      </c>
    </row>
    <row r="57" spans="1:6" x14ac:dyDescent="0.25">
      <c r="A57" s="6">
        <v>18</v>
      </c>
      <c r="B57" s="6">
        <v>14275</v>
      </c>
      <c r="C57" s="1" t="s">
        <v>166</v>
      </c>
      <c r="D57" s="1" t="s">
        <v>167</v>
      </c>
      <c r="E57" s="6" t="s">
        <v>1002</v>
      </c>
      <c r="F57" s="5" t="s">
        <v>1006</v>
      </c>
    </row>
    <row r="58" spans="1:6" x14ac:dyDescent="0.25">
      <c r="A58" s="6">
        <v>19</v>
      </c>
      <c r="B58" s="6">
        <v>14276</v>
      </c>
      <c r="C58" s="1" t="s">
        <v>169</v>
      </c>
      <c r="D58" s="1" t="s">
        <v>170</v>
      </c>
      <c r="E58" s="6" t="s">
        <v>1002</v>
      </c>
      <c r="F58" s="5" t="s">
        <v>1010</v>
      </c>
    </row>
    <row r="59" spans="1:6" x14ac:dyDescent="0.25">
      <c r="A59" s="6">
        <v>20</v>
      </c>
      <c r="B59" s="6">
        <v>14277</v>
      </c>
      <c r="C59" s="1" t="s">
        <v>173</v>
      </c>
      <c r="D59" s="1" t="s">
        <v>174</v>
      </c>
      <c r="E59" s="6" t="s">
        <v>1002</v>
      </c>
      <c r="F59" s="5" t="s">
        <v>1008</v>
      </c>
    </row>
    <row r="60" spans="1:6" x14ac:dyDescent="0.25">
      <c r="A60" s="6">
        <v>21</v>
      </c>
      <c r="B60" s="6">
        <v>14278</v>
      </c>
      <c r="C60" s="1" t="s">
        <v>176</v>
      </c>
      <c r="D60" s="1" t="s">
        <v>1038</v>
      </c>
      <c r="E60" s="6" t="s">
        <v>1002</v>
      </c>
      <c r="F60" s="5" t="s">
        <v>1011</v>
      </c>
    </row>
    <row r="61" spans="1:6" x14ac:dyDescent="0.25">
      <c r="A61" s="6">
        <v>22</v>
      </c>
      <c r="B61" s="6">
        <v>14279</v>
      </c>
      <c r="C61" s="9" t="s">
        <v>177</v>
      </c>
      <c r="D61" s="2" t="s">
        <v>178</v>
      </c>
      <c r="E61" s="6" t="s">
        <v>1002</v>
      </c>
      <c r="F61" s="5" t="s">
        <v>1007</v>
      </c>
    </row>
    <row r="62" spans="1:6" x14ac:dyDescent="0.25">
      <c r="A62" s="6">
        <v>23</v>
      </c>
      <c r="B62" s="6">
        <v>14280</v>
      </c>
      <c r="C62" s="1" t="s">
        <v>180</v>
      </c>
      <c r="D62" s="1" t="s">
        <v>181</v>
      </c>
      <c r="E62" s="6" t="s">
        <v>1002</v>
      </c>
      <c r="F62" s="5" t="s">
        <v>1009</v>
      </c>
    </row>
    <row r="63" spans="1:6" x14ac:dyDescent="0.25">
      <c r="A63" s="6">
        <v>24</v>
      </c>
      <c r="B63" s="6">
        <v>14281</v>
      </c>
      <c r="C63" s="9" t="s">
        <v>183</v>
      </c>
      <c r="D63" s="1" t="s">
        <v>184</v>
      </c>
      <c r="E63" s="6" t="s">
        <v>1002</v>
      </c>
      <c r="F63" s="5" t="s">
        <v>1007</v>
      </c>
    </row>
    <row r="64" spans="1:6" x14ac:dyDescent="0.25">
      <c r="A64" s="6">
        <v>25</v>
      </c>
      <c r="B64" s="6">
        <v>14282</v>
      </c>
      <c r="C64" s="1" t="s">
        <v>186</v>
      </c>
      <c r="D64" s="1" t="s">
        <v>187</v>
      </c>
      <c r="E64" s="6" t="s">
        <v>1002</v>
      </c>
      <c r="F64" s="5" t="s">
        <v>1010</v>
      </c>
    </row>
    <row r="65" spans="1:6" x14ac:dyDescent="0.25">
      <c r="A65" s="6">
        <v>26</v>
      </c>
      <c r="B65" s="6">
        <v>14283</v>
      </c>
      <c r="C65" s="9" t="s">
        <v>189</v>
      </c>
      <c r="D65" s="2" t="s">
        <v>190</v>
      </c>
      <c r="E65" s="6" t="s">
        <v>1002</v>
      </c>
      <c r="F65" s="5" t="s">
        <v>1014</v>
      </c>
    </row>
    <row r="66" spans="1:6" x14ac:dyDescent="0.25">
      <c r="A66" s="6">
        <v>27</v>
      </c>
      <c r="B66" s="6">
        <v>14284</v>
      </c>
      <c r="C66" s="1" t="s">
        <v>192</v>
      </c>
      <c r="D66" s="1" t="s">
        <v>193</v>
      </c>
      <c r="E66" s="6" t="s">
        <v>1002</v>
      </c>
      <c r="F66" s="5" t="s">
        <v>1009</v>
      </c>
    </row>
    <row r="67" spans="1:6" x14ac:dyDescent="0.25">
      <c r="A67" s="6">
        <v>28</v>
      </c>
      <c r="B67" s="6">
        <v>14285</v>
      </c>
      <c r="C67" s="1" t="s">
        <v>195</v>
      </c>
      <c r="D67" s="1" t="s">
        <v>1039</v>
      </c>
      <c r="E67" s="6" t="s">
        <v>1002</v>
      </c>
      <c r="F67" s="5" t="s">
        <v>1008</v>
      </c>
    </row>
    <row r="68" spans="1:6" x14ac:dyDescent="0.25">
      <c r="A68" s="6">
        <v>29</v>
      </c>
      <c r="B68" s="6">
        <v>14286</v>
      </c>
      <c r="C68" s="1" t="s">
        <v>197</v>
      </c>
      <c r="D68" s="1" t="s">
        <v>198</v>
      </c>
      <c r="E68" s="6" t="s">
        <v>1002</v>
      </c>
      <c r="F68" s="5" t="s">
        <v>1012</v>
      </c>
    </row>
    <row r="69" spans="1:6" x14ac:dyDescent="0.25">
      <c r="A69" s="6">
        <v>30</v>
      </c>
      <c r="B69" s="6">
        <v>14287</v>
      </c>
      <c r="C69" s="1" t="s">
        <v>200</v>
      </c>
      <c r="D69" s="1" t="s">
        <v>201</v>
      </c>
      <c r="E69" s="6" t="s">
        <v>1002</v>
      </c>
      <c r="F69" s="5" t="s">
        <v>1010</v>
      </c>
    </row>
    <row r="70" spans="1:6" x14ac:dyDescent="0.25">
      <c r="A70" s="6">
        <v>31</v>
      </c>
      <c r="B70" s="6">
        <v>14288</v>
      </c>
      <c r="C70" s="1" t="s">
        <v>202</v>
      </c>
      <c r="D70" s="1" t="s">
        <v>203</v>
      </c>
      <c r="E70" s="6" t="s">
        <v>1002</v>
      </c>
      <c r="F70" s="5" t="s">
        <v>1013</v>
      </c>
    </row>
    <row r="71" spans="1:6" x14ac:dyDescent="0.25">
      <c r="A71" s="6">
        <v>32</v>
      </c>
      <c r="B71" s="6">
        <v>14289</v>
      </c>
      <c r="C71" s="1" t="s">
        <v>205</v>
      </c>
      <c r="D71" s="1" t="s">
        <v>206</v>
      </c>
      <c r="E71" s="6" t="s">
        <v>1002</v>
      </c>
      <c r="F71" s="5" t="s">
        <v>1009</v>
      </c>
    </row>
    <row r="72" spans="1:6" x14ac:dyDescent="0.25">
      <c r="A72" s="6">
        <v>33</v>
      </c>
      <c r="B72" s="6">
        <v>14290</v>
      </c>
      <c r="C72" s="9" t="s">
        <v>209</v>
      </c>
      <c r="D72" s="2" t="s">
        <v>210</v>
      </c>
      <c r="E72" s="6" t="s">
        <v>1001</v>
      </c>
      <c r="F72" s="5" t="s">
        <v>1007</v>
      </c>
    </row>
    <row r="73" spans="1:6" x14ac:dyDescent="0.25">
      <c r="A73" s="6">
        <v>34</v>
      </c>
      <c r="B73" s="6">
        <v>14291</v>
      </c>
      <c r="C73" s="9" t="s">
        <v>211</v>
      </c>
      <c r="D73" s="2" t="s">
        <v>212</v>
      </c>
      <c r="E73" s="6" t="s">
        <v>1002</v>
      </c>
      <c r="F73" s="5" t="s">
        <v>1014</v>
      </c>
    </row>
    <row r="74" spans="1:6" x14ac:dyDescent="0.25">
      <c r="A74" s="6">
        <v>35</v>
      </c>
      <c r="B74" s="6">
        <v>14292</v>
      </c>
      <c r="C74" s="1" t="s">
        <v>213</v>
      </c>
      <c r="D74" s="1" t="s">
        <v>1040</v>
      </c>
      <c r="E74" s="6" t="s">
        <v>1002</v>
      </c>
      <c r="F74" s="5" t="s">
        <v>1013</v>
      </c>
    </row>
    <row r="75" spans="1:6" x14ac:dyDescent="0.25">
      <c r="A75" s="6">
        <v>36</v>
      </c>
      <c r="B75" s="6">
        <v>14293</v>
      </c>
      <c r="C75" s="1" t="s">
        <v>214</v>
      </c>
      <c r="D75" s="1" t="s">
        <v>1041</v>
      </c>
      <c r="E75" s="6" t="s">
        <v>1002</v>
      </c>
      <c r="F75" s="5" t="s">
        <v>1009</v>
      </c>
    </row>
    <row r="76" spans="1:6" x14ac:dyDescent="0.25">
      <c r="A76" s="6">
        <v>1</v>
      </c>
      <c r="B76" s="6">
        <v>14294</v>
      </c>
      <c r="C76" s="9" t="s">
        <v>217</v>
      </c>
      <c r="D76" s="2" t="s">
        <v>218</v>
      </c>
      <c r="E76" s="6" t="s">
        <v>1002</v>
      </c>
      <c r="F76" s="5" t="s">
        <v>1007</v>
      </c>
    </row>
    <row r="77" spans="1:6" x14ac:dyDescent="0.25">
      <c r="A77" s="6">
        <v>2</v>
      </c>
      <c r="B77" s="6">
        <v>14295</v>
      </c>
      <c r="C77" s="9" t="s">
        <v>221</v>
      </c>
      <c r="D77" s="2" t="s">
        <v>222</v>
      </c>
      <c r="E77" s="6" t="s">
        <v>1002</v>
      </c>
      <c r="F77" s="5" t="s">
        <v>1014</v>
      </c>
    </row>
    <row r="78" spans="1:6" x14ac:dyDescent="0.25">
      <c r="A78" s="6">
        <v>3</v>
      </c>
      <c r="B78" s="6">
        <v>14296</v>
      </c>
      <c r="C78" s="9" t="s">
        <v>224</v>
      </c>
      <c r="D78" s="2" t="s">
        <v>225</v>
      </c>
      <c r="E78" s="6" t="s">
        <v>1002</v>
      </c>
      <c r="F78" s="5" t="s">
        <v>1007</v>
      </c>
    </row>
    <row r="79" spans="1:6" x14ac:dyDescent="0.25">
      <c r="A79" s="6">
        <v>4</v>
      </c>
      <c r="B79" s="6">
        <v>14297</v>
      </c>
      <c r="C79" s="1" t="s">
        <v>226</v>
      </c>
      <c r="D79" s="1" t="s">
        <v>1042</v>
      </c>
      <c r="E79" s="6" t="s">
        <v>1001</v>
      </c>
      <c r="F79" s="5" t="s">
        <v>1008</v>
      </c>
    </row>
    <row r="80" spans="1:6" x14ac:dyDescent="0.25">
      <c r="A80" s="6">
        <v>5</v>
      </c>
      <c r="B80" s="6">
        <v>14298</v>
      </c>
      <c r="C80" s="1" t="s">
        <v>228</v>
      </c>
      <c r="D80" s="1" t="s">
        <v>229</v>
      </c>
      <c r="E80" s="6" t="s">
        <v>1001</v>
      </c>
      <c r="F80" s="5" t="s">
        <v>1013</v>
      </c>
    </row>
    <row r="81" spans="1:6" x14ac:dyDescent="0.25">
      <c r="A81" s="6">
        <v>6</v>
      </c>
      <c r="B81" s="6">
        <v>14299</v>
      </c>
      <c r="C81" s="9" t="s">
        <v>231</v>
      </c>
      <c r="D81" s="2" t="s">
        <v>232</v>
      </c>
      <c r="E81" s="6" t="s">
        <v>1001</v>
      </c>
      <c r="F81" s="5" t="s">
        <v>1015</v>
      </c>
    </row>
    <row r="82" spans="1:6" x14ac:dyDescent="0.25">
      <c r="A82" s="6">
        <v>7</v>
      </c>
      <c r="B82" s="6">
        <v>14300</v>
      </c>
      <c r="C82" s="1" t="s">
        <v>233</v>
      </c>
      <c r="D82" s="1" t="s">
        <v>234</v>
      </c>
      <c r="E82" s="6" t="s">
        <v>1001</v>
      </c>
      <c r="F82" s="5" t="s">
        <v>1011</v>
      </c>
    </row>
    <row r="83" spans="1:6" x14ac:dyDescent="0.25">
      <c r="A83" s="6">
        <v>8</v>
      </c>
      <c r="B83" s="6">
        <v>14301</v>
      </c>
      <c r="C83" s="1" t="s">
        <v>236</v>
      </c>
      <c r="D83" s="1" t="s">
        <v>237</v>
      </c>
      <c r="E83" s="6" t="s">
        <v>1002</v>
      </c>
      <c r="F83" s="5" t="s">
        <v>1012</v>
      </c>
    </row>
    <row r="84" spans="1:6" x14ac:dyDescent="0.25">
      <c r="A84" s="6">
        <v>9</v>
      </c>
      <c r="B84" s="6">
        <v>14302</v>
      </c>
      <c r="C84" s="9" t="s">
        <v>239</v>
      </c>
      <c r="D84" s="2" t="s">
        <v>240</v>
      </c>
      <c r="E84" s="6" t="s">
        <v>1002</v>
      </c>
      <c r="F84" s="5" t="s">
        <v>1014</v>
      </c>
    </row>
    <row r="85" spans="1:6" x14ac:dyDescent="0.25">
      <c r="A85" s="6">
        <v>10</v>
      </c>
      <c r="B85" s="6">
        <v>14303</v>
      </c>
      <c r="C85" s="1" t="s">
        <v>242</v>
      </c>
      <c r="D85" s="1" t="s">
        <v>243</v>
      </c>
      <c r="E85" s="6" t="s">
        <v>1002</v>
      </c>
      <c r="F85" s="5" t="s">
        <v>1008</v>
      </c>
    </row>
    <row r="86" spans="1:6" x14ac:dyDescent="0.25">
      <c r="A86" s="6">
        <v>11</v>
      </c>
      <c r="B86" s="6">
        <v>14304</v>
      </c>
      <c r="C86" s="9" t="s">
        <v>244</v>
      </c>
      <c r="D86" s="2" t="s">
        <v>1043</v>
      </c>
      <c r="E86" s="6" t="s">
        <v>1002</v>
      </c>
      <c r="F86" s="5" t="s">
        <v>1014</v>
      </c>
    </row>
    <row r="87" spans="1:6" x14ac:dyDescent="0.25">
      <c r="A87" s="6">
        <v>12</v>
      </c>
      <c r="B87" s="6">
        <v>14305</v>
      </c>
      <c r="C87" s="1" t="s">
        <v>246</v>
      </c>
      <c r="D87" s="1" t="s">
        <v>247</v>
      </c>
      <c r="E87" s="6" t="s">
        <v>1002</v>
      </c>
      <c r="F87" s="5" t="s">
        <v>1010</v>
      </c>
    </row>
    <row r="88" spans="1:6" x14ac:dyDescent="0.25">
      <c r="A88" s="6">
        <v>13</v>
      </c>
      <c r="B88" s="6">
        <v>14306</v>
      </c>
      <c r="C88" s="1" t="s">
        <v>249</v>
      </c>
      <c r="D88" s="1" t="s">
        <v>250</v>
      </c>
      <c r="E88" s="6" t="s">
        <v>1002</v>
      </c>
      <c r="F88" s="5" t="s">
        <v>1012</v>
      </c>
    </row>
    <row r="89" spans="1:6" x14ac:dyDescent="0.25">
      <c r="A89" s="6">
        <v>14</v>
      </c>
      <c r="B89" s="6">
        <v>14307</v>
      </c>
      <c r="C89" s="1" t="s">
        <v>251</v>
      </c>
      <c r="D89" s="1" t="s">
        <v>252</v>
      </c>
      <c r="E89" s="6" t="s">
        <v>1002</v>
      </c>
      <c r="F89" s="5" t="s">
        <v>1012</v>
      </c>
    </row>
    <row r="90" spans="1:6" x14ac:dyDescent="0.25">
      <c r="A90" s="6">
        <v>15</v>
      </c>
      <c r="B90" s="6">
        <v>14308</v>
      </c>
      <c r="C90" s="1" t="s">
        <v>253</v>
      </c>
      <c r="D90" s="1" t="s">
        <v>1044</v>
      </c>
      <c r="E90" s="6" t="s">
        <v>1002</v>
      </c>
      <c r="F90" s="5" t="s">
        <v>1006</v>
      </c>
    </row>
    <row r="91" spans="1:6" x14ac:dyDescent="0.25">
      <c r="A91" s="6">
        <v>16</v>
      </c>
      <c r="B91" s="6">
        <v>14309</v>
      </c>
      <c r="C91" s="9" t="s">
        <v>254</v>
      </c>
      <c r="D91" s="2" t="s">
        <v>1045</v>
      </c>
      <c r="E91" s="6" t="s">
        <v>1002</v>
      </c>
      <c r="F91" s="5" t="s">
        <v>1007</v>
      </c>
    </row>
    <row r="92" spans="1:6" x14ac:dyDescent="0.25">
      <c r="A92" s="6">
        <v>17</v>
      </c>
      <c r="B92" s="6">
        <v>14310</v>
      </c>
      <c r="C92" s="1" t="s">
        <v>257</v>
      </c>
      <c r="D92" s="1" t="s">
        <v>258</v>
      </c>
      <c r="E92" s="6" t="s">
        <v>1002</v>
      </c>
      <c r="F92" s="5" t="s">
        <v>1006</v>
      </c>
    </row>
    <row r="93" spans="1:6" x14ac:dyDescent="0.25">
      <c r="A93" s="6">
        <v>18</v>
      </c>
      <c r="B93" s="6">
        <v>14311</v>
      </c>
      <c r="C93" s="1" t="s">
        <v>261</v>
      </c>
      <c r="D93" s="1" t="s">
        <v>262</v>
      </c>
      <c r="E93" s="6" t="s">
        <v>1002</v>
      </c>
      <c r="F93" s="5" t="s">
        <v>1009</v>
      </c>
    </row>
    <row r="94" spans="1:6" x14ac:dyDescent="0.25">
      <c r="A94" s="6">
        <v>19</v>
      </c>
      <c r="B94" s="6">
        <v>14312</v>
      </c>
      <c r="C94" s="1" t="s">
        <v>263</v>
      </c>
      <c r="D94" s="1" t="s">
        <v>264</v>
      </c>
      <c r="E94" s="6" t="s">
        <v>1001</v>
      </c>
      <c r="F94" s="5" t="s">
        <v>1009</v>
      </c>
    </row>
    <row r="95" spans="1:6" x14ac:dyDescent="0.25">
      <c r="A95" s="6">
        <v>20</v>
      </c>
      <c r="B95" s="6">
        <v>14313</v>
      </c>
      <c r="C95" s="9" t="s">
        <v>266</v>
      </c>
      <c r="D95" s="2" t="s">
        <v>267</v>
      </c>
      <c r="E95" s="6" t="s">
        <v>1002</v>
      </c>
      <c r="F95" s="5" t="s">
        <v>1014</v>
      </c>
    </row>
    <row r="96" spans="1:6" x14ac:dyDescent="0.25">
      <c r="A96" s="6">
        <v>21</v>
      </c>
      <c r="B96" s="6">
        <v>14314</v>
      </c>
      <c r="C96" s="1" t="s">
        <v>268</v>
      </c>
      <c r="D96" s="1" t="s">
        <v>269</v>
      </c>
      <c r="E96" s="6" t="s">
        <v>1001</v>
      </c>
      <c r="F96" s="5" t="s">
        <v>1012</v>
      </c>
    </row>
    <row r="97" spans="1:6" x14ac:dyDescent="0.25">
      <c r="A97" s="6">
        <v>22</v>
      </c>
      <c r="B97" s="6">
        <v>14315</v>
      </c>
      <c r="C97" s="1" t="s">
        <v>271</v>
      </c>
      <c r="D97" s="1" t="s">
        <v>272</v>
      </c>
      <c r="E97" s="6" t="s">
        <v>1001</v>
      </c>
      <c r="F97" s="5" t="s">
        <v>1010</v>
      </c>
    </row>
    <row r="98" spans="1:6" x14ac:dyDescent="0.25">
      <c r="A98" s="6">
        <v>23</v>
      </c>
      <c r="B98" s="6">
        <v>14316</v>
      </c>
      <c r="C98" s="1" t="s">
        <v>274</v>
      </c>
      <c r="D98" s="1" t="s">
        <v>275</v>
      </c>
      <c r="E98" s="6" t="s">
        <v>1002</v>
      </c>
      <c r="F98" s="5" t="s">
        <v>1011</v>
      </c>
    </row>
    <row r="99" spans="1:6" x14ac:dyDescent="0.25">
      <c r="A99" s="6">
        <v>24</v>
      </c>
      <c r="B99" s="6">
        <v>14317</v>
      </c>
      <c r="C99" s="1" t="s">
        <v>276</v>
      </c>
      <c r="D99" s="1" t="s">
        <v>277</v>
      </c>
      <c r="E99" s="6" t="s">
        <v>1002</v>
      </c>
      <c r="F99" s="5" t="s">
        <v>1006</v>
      </c>
    </row>
    <row r="100" spans="1:6" x14ac:dyDescent="0.25">
      <c r="A100" s="6">
        <v>25</v>
      </c>
      <c r="B100" s="6">
        <v>14318</v>
      </c>
      <c r="C100" s="1" t="s">
        <v>278</v>
      </c>
      <c r="D100" s="1" t="s">
        <v>279</v>
      </c>
      <c r="E100" s="6" t="s">
        <v>1001</v>
      </c>
      <c r="F100" s="5" t="s">
        <v>1012</v>
      </c>
    </row>
    <row r="101" spans="1:6" x14ac:dyDescent="0.25">
      <c r="A101" s="6">
        <v>26</v>
      </c>
      <c r="B101" s="6">
        <v>14319</v>
      </c>
      <c r="C101" s="1" t="s">
        <v>281</v>
      </c>
      <c r="D101" s="1" t="s">
        <v>282</v>
      </c>
      <c r="E101" s="6" t="s">
        <v>1002</v>
      </c>
      <c r="F101" s="5" t="s">
        <v>1011</v>
      </c>
    </row>
    <row r="102" spans="1:6" x14ac:dyDescent="0.25">
      <c r="A102" s="6">
        <v>27</v>
      </c>
      <c r="B102" s="6">
        <v>14320</v>
      </c>
      <c r="C102" s="1" t="s">
        <v>284</v>
      </c>
      <c r="D102" s="1" t="s">
        <v>285</v>
      </c>
      <c r="E102" s="6" t="s">
        <v>1002</v>
      </c>
      <c r="F102" s="5" t="s">
        <v>1011</v>
      </c>
    </row>
    <row r="103" spans="1:6" x14ac:dyDescent="0.25">
      <c r="A103" s="6">
        <v>28</v>
      </c>
      <c r="B103" s="6">
        <v>14321</v>
      </c>
      <c r="C103" s="1" t="s">
        <v>287</v>
      </c>
      <c r="D103" s="1" t="s">
        <v>288</v>
      </c>
      <c r="E103" s="6" t="s">
        <v>1001</v>
      </c>
      <c r="F103" s="5" t="s">
        <v>1012</v>
      </c>
    </row>
    <row r="104" spans="1:6" x14ac:dyDescent="0.25">
      <c r="A104" s="6">
        <v>29</v>
      </c>
      <c r="B104" s="6">
        <v>14322</v>
      </c>
      <c r="C104" s="1" t="s">
        <v>290</v>
      </c>
      <c r="D104" s="1" t="s">
        <v>1046</v>
      </c>
      <c r="E104" s="6" t="s">
        <v>1002</v>
      </c>
      <c r="F104" s="5" t="s">
        <v>1013</v>
      </c>
    </row>
    <row r="105" spans="1:6" x14ac:dyDescent="0.25">
      <c r="A105" s="6">
        <v>30</v>
      </c>
      <c r="B105" s="6">
        <v>14323</v>
      </c>
      <c r="C105" s="1" t="s">
        <v>292</v>
      </c>
      <c r="D105" s="1" t="s">
        <v>293</v>
      </c>
      <c r="E105" s="6" t="s">
        <v>1002</v>
      </c>
      <c r="F105" s="5" t="s">
        <v>1006</v>
      </c>
    </row>
    <row r="106" spans="1:6" x14ac:dyDescent="0.25">
      <c r="A106" s="6">
        <v>31</v>
      </c>
      <c r="B106" s="6">
        <v>14324</v>
      </c>
      <c r="C106" s="1" t="s">
        <v>295</v>
      </c>
      <c r="D106" s="1" t="s">
        <v>296</v>
      </c>
      <c r="E106" s="6" t="s">
        <v>1001</v>
      </c>
      <c r="F106" s="5" t="s">
        <v>1013</v>
      </c>
    </row>
    <row r="107" spans="1:6" x14ac:dyDescent="0.25">
      <c r="A107" s="6">
        <v>32</v>
      </c>
      <c r="B107" s="6">
        <v>14325</v>
      </c>
      <c r="C107" s="1" t="s">
        <v>298</v>
      </c>
      <c r="D107" s="1" t="s">
        <v>299</v>
      </c>
      <c r="E107" s="6" t="s">
        <v>1001</v>
      </c>
      <c r="F107" s="5" t="s">
        <v>1012</v>
      </c>
    </row>
    <row r="108" spans="1:6" x14ac:dyDescent="0.25">
      <c r="A108" s="6">
        <v>33</v>
      </c>
      <c r="B108" s="6">
        <v>14326</v>
      </c>
      <c r="C108" s="1" t="s">
        <v>301</v>
      </c>
      <c r="D108" s="1" t="s">
        <v>302</v>
      </c>
      <c r="E108" s="6" t="s">
        <v>1002</v>
      </c>
      <c r="F108" s="5" t="s">
        <v>1011</v>
      </c>
    </row>
    <row r="109" spans="1:6" x14ac:dyDescent="0.25">
      <c r="A109" s="6">
        <v>34</v>
      </c>
      <c r="B109" s="6">
        <v>14327</v>
      </c>
      <c r="C109" s="1" t="s">
        <v>304</v>
      </c>
      <c r="D109" s="1" t="s">
        <v>305</v>
      </c>
      <c r="E109" s="6" t="s">
        <v>1001</v>
      </c>
      <c r="F109" s="5" t="s">
        <v>1013</v>
      </c>
    </row>
    <row r="110" spans="1:6" x14ac:dyDescent="0.25">
      <c r="A110" s="6">
        <v>35</v>
      </c>
      <c r="B110" s="6">
        <v>14328</v>
      </c>
      <c r="C110" s="1" t="s">
        <v>307</v>
      </c>
      <c r="D110" s="1" t="s">
        <v>308</v>
      </c>
      <c r="E110" s="6" t="s">
        <v>1002</v>
      </c>
      <c r="F110" s="5" t="s">
        <v>1008</v>
      </c>
    </row>
    <row r="111" spans="1:6" x14ac:dyDescent="0.25">
      <c r="A111" s="6">
        <v>36</v>
      </c>
      <c r="B111" s="6">
        <v>14329</v>
      </c>
      <c r="C111" s="1" t="s">
        <v>310</v>
      </c>
      <c r="D111" s="1" t="s">
        <v>311</v>
      </c>
      <c r="E111" s="6" t="s">
        <v>1001</v>
      </c>
      <c r="F111" s="5" t="s">
        <v>1009</v>
      </c>
    </row>
    <row r="112" spans="1:6" x14ac:dyDescent="0.25">
      <c r="A112" s="6">
        <v>1</v>
      </c>
      <c r="B112" s="6">
        <v>14330</v>
      </c>
      <c r="C112" s="1" t="s">
        <v>313</v>
      </c>
      <c r="D112" s="1" t="s">
        <v>314</v>
      </c>
      <c r="E112" s="6" t="s">
        <v>1002</v>
      </c>
      <c r="F112" s="5" t="s">
        <v>1008</v>
      </c>
    </row>
    <row r="113" spans="1:6" x14ac:dyDescent="0.25">
      <c r="A113" s="6">
        <v>2</v>
      </c>
      <c r="B113" s="6">
        <v>14331</v>
      </c>
      <c r="C113" s="1" t="s">
        <v>315</v>
      </c>
      <c r="D113" s="1" t="s">
        <v>316</v>
      </c>
      <c r="E113" s="6" t="s">
        <v>1002</v>
      </c>
      <c r="F113" s="5" t="s">
        <v>1012</v>
      </c>
    </row>
    <row r="114" spans="1:6" x14ac:dyDescent="0.25">
      <c r="A114" s="6">
        <v>3</v>
      </c>
      <c r="B114" s="6">
        <v>14332</v>
      </c>
      <c r="C114" s="9" t="s">
        <v>318</v>
      </c>
      <c r="D114" s="2" t="s">
        <v>319</v>
      </c>
      <c r="E114" s="6" t="s">
        <v>1002</v>
      </c>
      <c r="F114" s="5" t="s">
        <v>1015</v>
      </c>
    </row>
    <row r="115" spans="1:6" x14ac:dyDescent="0.25">
      <c r="A115" s="6">
        <v>4</v>
      </c>
      <c r="B115" s="6">
        <v>14333</v>
      </c>
      <c r="C115" s="1" t="s">
        <v>321</v>
      </c>
      <c r="D115" s="1" t="s">
        <v>322</v>
      </c>
      <c r="E115" s="6" t="s">
        <v>1001</v>
      </c>
      <c r="F115" s="5" t="s">
        <v>1012</v>
      </c>
    </row>
    <row r="116" spans="1:6" x14ac:dyDescent="0.25">
      <c r="A116" s="6">
        <v>5</v>
      </c>
      <c r="B116" s="6">
        <v>14334</v>
      </c>
      <c r="C116" s="9" t="s">
        <v>324</v>
      </c>
      <c r="D116" s="2" t="s">
        <v>325</v>
      </c>
      <c r="E116" s="6" t="s">
        <v>1002</v>
      </c>
      <c r="F116" s="5" t="s">
        <v>1015</v>
      </c>
    </row>
    <row r="117" spans="1:6" x14ac:dyDescent="0.25">
      <c r="A117" s="6">
        <v>6</v>
      </c>
      <c r="B117" s="6">
        <v>14335</v>
      </c>
      <c r="C117" s="1" t="s">
        <v>326</v>
      </c>
      <c r="D117" s="1" t="s">
        <v>1047</v>
      </c>
      <c r="E117" s="6" t="s">
        <v>1002</v>
      </c>
      <c r="F117" s="5" t="s">
        <v>1008</v>
      </c>
    </row>
    <row r="118" spans="1:6" x14ac:dyDescent="0.25">
      <c r="A118" s="6">
        <v>7</v>
      </c>
      <c r="B118" s="6">
        <v>14336</v>
      </c>
      <c r="C118" s="9" t="s">
        <v>327</v>
      </c>
      <c r="D118" s="2" t="s">
        <v>328</v>
      </c>
      <c r="E118" s="6" t="s">
        <v>1002</v>
      </c>
      <c r="F118" s="5" t="s">
        <v>1007</v>
      </c>
    </row>
    <row r="119" spans="1:6" x14ac:dyDescent="0.25">
      <c r="A119" s="6">
        <v>8</v>
      </c>
      <c r="B119" s="6">
        <v>14337</v>
      </c>
      <c r="C119" s="1" t="s">
        <v>331</v>
      </c>
      <c r="D119" s="1" t="s">
        <v>332</v>
      </c>
      <c r="E119" s="6" t="s">
        <v>1001</v>
      </c>
      <c r="F119" s="5" t="s">
        <v>1010</v>
      </c>
    </row>
    <row r="120" spans="1:6" x14ac:dyDescent="0.25">
      <c r="A120" s="6">
        <v>9</v>
      </c>
      <c r="B120" s="6">
        <v>14338</v>
      </c>
      <c r="C120" s="1" t="s">
        <v>333</v>
      </c>
      <c r="D120" s="1" t="s">
        <v>334</v>
      </c>
      <c r="E120" s="6" t="s">
        <v>1001</v>
      </c>
      <c r="F120" s="5" t="s">
        <v>1013</v>
      </c>
    </row>
    <row r="121" spans="1:6" x14ac:dyDescent="0.25">
      <c r="A121" s="6">
        <v>10</v>
      </c>
      <c r="B121" s="6">
        <v>14339</v>
      </c>
      <c r="C121" s="1" t="s">
        <v>336</v>
      </c>
      <c r="D121" s="1" t="s">
        <v>1048</v>
      </c>
      <c r="E121" s="6" t="s">
        <v>1002</v>
      </c>
      <c r="F121" s="5" t="s">
        <v>1006</v>
      </c>
    </row>
    <row r="122" spans="1:6" x14ac:dyDescent="0.25">
      <c r="A122" s="6">
        <v>11</v>
      </c>
      <c r="B122" s="6">
        <v>14340</v>
      </c>
      <c r="C122" s="1" t="s">
        <v>338</v>
      </c>
      <c r="D122" s="1" t="s">
        <v>339</v>
      </c>
      <c r="E122" s="6" t="s">
        <v>1002</v>
      </c>
      <c r="F122" s="5" t="s">
        <v>1009</v>
      </c>
    </row>
    <row r="123" spans="1:6" x14ac:dyDescent="0.25">
      <c r="A123" s="6">
        <v>12</v>
      </c>
      <c r="B123" s="6">
        <v>14341</v>
      </c>
      <c r="C123" s="1" t="s">
        <v>341</v>
      </c>
      <c r="D123" s="1" t="s">
        <v>342</v>
      </c>
      <c r="E123" s="6" t="s">
        <v>1002</v>
      </c>
      <c r="F123" s="5" t="s">
        <v>1006</v>
      </c>
    </row>
    <row r="124" spans="1:6" x14ac:dyDescent="0.25">
      <c r="A124" s="6">
        <v>13</v>
      </c>
      <c r="B124" s="6">
        <v>14342</v>
      </c>
      <c r="C124" s="1" t="s">
        <v>343</v>
      </c>
      <c r="D124" s="1" t="s">
        <v>344</v>
      </c>
      <c r="E124" s="6" t="s">
        <v>1002</v>
      </c>
      <c r="F124" s="5" t="s">
        <v>1013</v>
      </c>
    </row>
    <row r="125" spans="1:6" x14ac:dyDescent="0.25">
      <c r="A125" s="6">
        <v>14</v>
      </c>
      <c r="B125" s="6">
        <v>14343</v>
      </c>
      <c r="C125" s="9" t="s">
        <v>346</v>
      </c>
      <c r="D125" s="2" t="s">
        <v>347</v>
      </c>
      <c r="E125" s="6" t="s">
        <v>1002</v>
      </c>
      <c r="F125" s="5" t="s">
        <v>1014</v>
      </c>
    </row>
    <row r="126" spans="1:6" x14ac:dyDescent="0.25">
      <c r="A126" s="6">
        <v>15</v>
      </c>
      <c r="B126" s="6">
        <v>14344</v>
      </c>
      <c r="C126" s="9" t="s">
        <v>349</v>
      </c>
      <c r="D126" s="2" t="s">
        <v>350</v>
      </c>
      <c r="E126" s="6" t="s">
        <v>1002</v>
      </c>
      <c r="F126" s="5" t="s">
        <v>1015</v>
      </c>
    </row>
    <row r="127" spans="1:6" x14ac:dyDescent="0.25">
      <c r="A127" s="6">
        <v>16</v>
      </c>
      <c r="B127" s="6">
        <v>14345</v>
      </c>
      <c r="C127" s="1" t="s">
        <v>352</v>
      </c>
      <c r="D127" s="1" t="s">
        <v>353</v>
      </c>
      <c r="E127" s="6" t="s">
        <v>1002</v>
      </c>
      <c r="F127" s="5" t="s">
        <v>1011</v>
      </c>
    </row>
    <row r="128" spans="1:6" x14ac:dyDescent="0.25">
      <c r="A128" s="6">
        <v>17</v>
      </c>
      <c r="B128" s="6">
        <v>14346</v>
      </c>
      <c r="C128" s="1" t="s">
        <v>354</v>
      </c>
      <c r="D128" s="1" t="s">
        <v>355</v>
      </c>
      <c r="E128" s="6" t="s">
        <v>1001</v>
      </c>
      <c r="F128" s="5" t="s">
        <v>1009</v>
      </c>
    </row>
    <row r="129" spans="1:6" x14ac:dyDescent="0.25">
      <c r="A129" s="6">
        <v>18</v>
      </c>
      <c r="B129" s="6">
        <v>14347</v>
      </c>
      <c r="C129" s="1" t="s">
        <v>357</v>
      </c>
      <c r="D129" s="1" t="s">
        <v>358</v>
      </c>
      <c r="E129" s="6" t="s">
        <v>1001</v>
      </c>
      <c r="F129" s="5" t="s">
        <v>1009</v>
      </c>
    </row>
    <row r="130" spans="1:6" x14ac:dyDescent="0.25">
      <c r="A130" s="6">
        <v>19</v>
      </c>
      <c r="B130" s="6">
        <v>14348</v>
      </c>
      <c r="C130" s="9" t="s">
        <v>360</v>
      </c>
      <c r="D130" s="2" t="s">
        <v>361</v>
      </c>
      <c r="E130" s="6" t="s">
        <v>1001</v>
      </c>
      <c r="F130" s="5" t="s">
        <v>1014</v>
      </c>
    </row>
    <row r="131" spans="1:6" x14ac:dyDescent="0.25">
      <c r="A131" s="6">
        <v>20</v>
      </c>
      <c r="B131" s="6">
        <v>14349</v>
      </c>
      <c r="C131" s="1" t="s">
        <v>363</v>
      </c>
      <c r="D131" s="1" t="s">
        <v>1049</v>
      </c>
      <c r="E131" s="6" t="s">
        <v>1002</v>
      </c>
      <c r="F131" s="5" t="s">
        <v>1010</v>
      </c>
    </row>
    <row r="132" spans="1:6" x14ac:dyDescent="0.25">
      <c r="A132" s="6">
        <v>21</v>
      </c>
      <c r="B132" s="6">
        <v>14350</v>
      </c>
      <c r="C132" s="9" t="s">
        <v>366</v>
      </c>
      <c r="D132" s="2" t="s">
        <v>367</v>
      </c>
      <c r="E132" s="6" t="s">
        <v>1002</v>
      </c>
      <c r="F132" s="5" t="s">
        <v>1015</v>
      </c>
    </row>
    <row r="133" spans="1:6" x14ac:dyDescent="0.25">
      <c r="A133" s="6">
        <v>22</v>
      </c>
      <c r="B133" s="6">
        <v>14351</v>
      </c>
      <c r="C133" s="1" t="s">
        <v>369</v>
      </c>
      <c r="D133" s="1" t="s">
        <v>370</v>
      </c>
      <c r="E133" s="6" t="s">
        <v>1002</v>
      </c>
      <c r="F133" s="5" t="s">
        <v>1010</v>
      </c>
    </row>
    <row r="134" spans="1:6" x14ac:dyDescent="0.25">
      <c r="A134" s="6">
        <v>23</v>
      </c>
      <c r="B134" s="6">
        <v>14352</v>
      </c>
      <c r="C134" s="1" t="s">
        <v>372</v>
      </c>
      <c r="D134" s="1" t="s">
        <v>373</v>
      </c>
      <c r="E134" s="6" t="s">
        <v>1002</v>
      </c>
      <c r="F134" s="5" t="s">
        <v>1009</v>
      </c>
    </row>
    <row r="135" spans="1:6" x14ac:dyDescent="0.25">
      <c r="A135" s="6">
        <v>24</v>
      </c>
      <c r="B135" s="6">
        <v>14353</v>
      </c>
      <c r="C135" s="1" t="s">
        <v>375</v>
      </c>
      <c r="D135" s="1" t="s">
        <v>1050</v>
      </c>
      <c r="E135" s="6" t="s">
        <v>1002</v>
      </c>
      <c r="F135" s="5" t="s">
        <v>1008</v>
      </c>
    </row>
    <row r="136" spans="1:6" x14ac:dyDescent="0.25">
      <c r="A136" s="6">
        <v>25</v>
      </c>
      <c r="B136" s="6">
        <v>14354</v>
      </c>
      <c r="C136" s="9" t="s">
        <v>376</v>
      </c>
      <c r="D136" s="2" t="s">
        <v>377</v>
      </c>
      <c r="E136" s="6" t="s">
        <v>1002</v>
      </c>
      <c r="F136" s="5" t="s">
        <v>1014</v>
      </c>
    </row>
    <row r="137" spans="1:6" x14ac:dyDescent="0.25">
      <c r="A137" s="6">
        <v>26</v>
      </c>
      <c r="B137" s="6">
        <v>14355</v>
      </c>
      <c r="C137" s="1" t="s">
        <v>379</v>
      </c>
      <c r="D137" s="1" t="s">
        <v>380</v>
      </c>
      <c r="E137" s="6" t="s">
        <v>1001</v>
      </c>
      <c r="F137" s="5" t="s">
        <v>1013</v>
      </c>
    </row>
    <row r="138" spans="1:6" x14ac:dyDescent="0.25">
      <c r="A138" s="6">
        <v>27</v>
      </c>
      <c r="B138" s="6">
        <v>14356</v>
      </c>
      <c r="C138" s="9" t="s">
        <v>382</v>
      </c>
      <c r="D138" s="2" t="s">
        <v>383</v>
      </c>
      <c r="E138" s="6" t="s">
        <v>1002</v>
      </c>
      <c r="F138" s="5" t="s">
        <v>1014</v>
      </c>
    </row>
    <row r="139" spans="1:6" x14ac:dyDescent="0.25">
      <c r="A139" s="6">
        <v>28</v>
      </c>
      <c r="B139" s="6">
        <v>14357</v>
      </c>
      <c r="C139" s="9" t="s">
        <v>385</v>
      </c>
      <c r="D139" s="2" t="s">
        <v>1051</v>
      </c>
      <c r="E139" s="6" t="s">
        <v>1002</v>
      </c>
      <c r="F139" s="5" t="s">
        <v>1007</v>
      </c>
    </row>
    <row r="140" spans="1:6" x14ac:dyDescent="0.25">
      <c r="A140" s="6">
        <v>29</v>
      </c>
      <c r="B140" s="6">
        <v>14358</v>
      </c>
      <c r="C140" s="9" t="s">
        <v>386</v>
      </c>
      <c r="D140" s="2" t="s">
        <v>387</v>
      </c>
      <c r="E140" s="6" t="s">
        <v>1001</v>
      </c>
      <c r="F140" s="5" t="s">
        <v>1007</v>
      </c>
    </row>
    <row r="141" spans="1:6" x14ac:dyDescent="0.25">
      <c r="A141" s="6">
        <v>30</v>
      </c>
      <c r="B141" s="6">
        <v>14359</v>
      </c>
      <c r="C141" s="9" t="s">
        <v>389</v>
      </c>
      <c r="D141" s="2" t="s">
        <v>390</v>
      </c>
      <c r="E141" s="6" t="s">
        <v>1001</v>
      </c>
      <c r="F141" s="5" t="s">
        <v>1014</v>
      </c>
    </row>
    <row r="142" spans="1:6" x14ac:dyDescent="0.25">
      <c r="A142" s="6">
        <v>31</v>
      </c>
      <c r="B142" s="6">
        <v>14360</v>
      </c>
      <c r="C142" s="1" t="s">
        <v>392</v>
      </c>
      <c r="D142" s="1" t="s">
        <v>393</v>
      </c>
      <c r="E142" s="6" t="s">
        <v>1002</v>
      </c>
      <c r="F142" s="5" t="s">
        <v>1006</v>
      </c>
    </row>
    <row r="143" spans="1:6" x14ac:dyDescent="0.25">
      <c r="A143" s="6">
        <v>32</v>
      </c>
      <c r="B143" s="6">
        <v>14361</v>
      </c>
      <c r="C143" s="1" t="s">
        <v>395</v>
      </c>
      <c r="D143" s="1" t="s">
        <v>396</v>
      </c>
      <c r="E143" s="6" t="s">
        <v>1002</v>
      </c>
      <c r="F143" s="5" t="s">
        <v>1008</v>
      </c>
    </row>
    <row r="144" spans="1:6" x14ac:dyDescent="0.25">
      <c r="A144" s="6">
        <v>33</v>
      </c>
      <c r="B144" s="6">
        <v>14362</v>
      </c>
      <c r="C144" s="1" t="s">
        <v>398</v>
      </c>
      <c r="D144" s="1" t="s">
        <v>399</v>
      </c>
      <c r="E144" s="6" t="s">
        <v>1002</v>
      </c>
      <c r="F144" s="5" t="s">
        <v>1013</v>
      </c>
    </row>
    <row r="145" spans="1:6" x14ac:dyDescent="0.25">
      <c r="A145" s="6">
        <v>34</v>
      </c>
      <c r="B145" s="6">
        <v>14363</v>
      </c>
      <c r="C145" s="1" t="s">
        <v>401</v>
      </c>
      <c r="D145" s="1" t="s">
        <v>402</v>
      </c>
      <c r="E145" s="6" t="s">
        <v>1001</v>
      </c>
      <c r="F145" s="5" t="s">
        <v>1007</v>
      </c>
    </row>
    <row r="146" spans="1:6" x14ac:dyDescent="0.25">
      <c r="A146" s="6">
        <v>35</v>
      </c>
      <c r="B146" s="6">
        <v>14364</v>
      </c>
      <c r="C146" s="1" t="s">
        <v>403</v>
      </c>
      <c r="D146" s="1" t="s">
        <v>404</v>
      </c>
      <c r="E146" s="6" t="s">
        <v>1002</v>
      </c>
      <c r="F146" s="5" t="s">
        <v>1006</v>
      </c>
    </row>
    <row r="147" spans="1:6" x14ac:dyDescent="0.25">
      <c r="A147" s="6">
        <v>36</v>
      </c>
      <c r="B147" s="6">
        <v>14365</v>
      </c>
      <c r="C147" s="1" t="s">
        <v>406</v>
      </c>
      <c r="D147" s="1" t="s">
        <v>407</v>
      </c>
      <c r="E147" s="6" t="s">
        <v>1002</v>
      </c>
      <c r="F147" s="5" t="s">
        <v>1012</v>
      </c>
    </row>
    <row r="148" spans="1:6" x14ac:dyDescent="0.25">
      <c r="A148" s="6">
        <v>1</v>
      </c>
      <c r="B148" s="6">
        <v>14366</v>
      </c>
      <c r="C148" s="1" t="s">
        <v>408</v>
      </c>
      <c r="D148" s="1" t="s">
        <v>1052</v>
      </c>
      <c r="E148" s="6" t="s">
        <v>1002</v>
      </c>
      <c r="F148" s="5" t="s">
        <v>1006</v>
      </c>
    </row>
    <row r="149" spans="1:6" x14ac:dyDescent="0.25">
      <c r="A149" s="6">
        <v>2</v>
      </c>
      <c r="B149" s="6">
        <v>14367</v>
      </c>
      <c r="C149" s="1" t="s">
        <v>410</v>
      </c>
      <c r="D149" s="1" t="s">
        <v>411</v>
      </c>
      <c r="E149" s="6" t="s">
        <v>1001</v>
      </c>
      <c r="F149" s="5" t="s">
        <v>1013</v>
      </c>
    </row>
    <row r="150" spans="1:6" x14ac:dyDescent="0.25">
      <c r="A150" s="6">
        <v>3</v>
      </c>
      <c r="B150" s="6">
        <v>14368</v>
      </c>
      <c r="C150" s="1" t="s">
        <v>413</v>
      </c>
      <c r="D150" s="1" t="s">
        <v>414</v>
      </c>
      <c r="E150" s="6" t="s">
        <v>1001</v>
      </c>
      <c r="F150" s="5" t="s">
        <v>1011</v>
      </c>
    </row>
    <row r="151" spans="1:6" x14ac:dyDescent="0.25">
      <c r="A151" s="6">
        <v>4</v>
      </c>
      <c r="B151" s="6">
        <v>14369</v>
      </c>
      <c r="C151" s="1" t="s">
        <v>416</v>
      </c>
      <c r="D151" s="1" t="s">
        <v>417</v>
      </c>
      <c r="E151" s="6" t="s">
        <v>1002</v>
      </c>
      <c r="F151" s="5" t="s">
        <v>1009</v>
      </c>
    </row>
    <row r="152" spans="1:6" x14ac:dyDescent="0.25">
      <c r="A152" s="6">
        <v>5</v>
      </c>
      <c r="B152" s="6">
        <v>14370</v>
      </c>
      <c r="C152" s="1" t="s">
        <v>418</v>
      </c>
      <c r="D152" s="1" t="s">
        <v>419</v>
      </c>
      <c r="E152" s="6" t="s">
        <v>1001</v>
      </c>
      <c r="F152" s="5" t="s">
        <v>1011</v>
      </c>
    </row>
    <row r="153" spans="1:6" x14ac:dyDescent="0.25">
      <c r="A153" s="6">
        <v>6</v>
      </c>
      <c r="B153" s="6">
        <v>14371</v>
      </c>
      <c r="C153" s="1" t="s">
        <v>421</v>
      </c>
      <c r="D153" s="1" t="s">
        <v>422</v>
      </c>
      <c r="E153" s="6" t="s">
        <v>1002</v>
      </c>
      <c r="F153" s="5" t="s">
        <v>1013</v>
      </c>
    </row>
    <row r="154" spans="1:6" x14ac:dyDescent="0.25">
      <c r="A154" s="6">
        <v>7</v>
      </c>
      <c r="B154" s="6">
        <v>14372</v>
      </c>
      <c r="C154" s="1" t="s">
        <v>424</v>
      </c>
      <c r="D154" s="1" t="s">
        <v>425</v>
      </c>
      <c r="E154" s="6" t="s">
        <v>1001</v>
      </c>
      <c r="F154" s="5" t="s">
        <v>1009</v>
      </c>
    </row>
    <row r="155" spans="1:6" x14ac:dyDescent="0.25">
      <c r="A155" s="6">
        <v>8</v>
      </c>
      <c r="B155" s="6">
        <v>14373</v>
      </c>
      <c r="C155" s="9" t="s">
        <v>427</v>
      </c>
      <c r="D155" s="2" t="s">
        <v>428</v>
      </c>
      <c r="E155" s="6" t="s">
        <v>1002</v>
      </c>
      <c r="F155" s="5" t="s">
        <v>1014</v>
      </c>
    </row>
    <row r="156" spans="1:6" x14ac:dyDescent="0.25">
      <c r="A156" s="6">
        <v>9</v>
      </c>
      <c r="B156" s="6">
        <v>14374</v>
      </c>
      <c r="C156" s="9" t="s">
        <v>430</v>
      </c>
      <c r="D156" s="2" t="s">
        <v>431</v>
      </c>
      <c r="E156" s="6" t="s">
        <v>1002</v>
      </c>
      <c r="F156" s="5" t="s">
        <v>1007</v>
      </c>
    </row>
    <row r="157" spans="1:6" x14ac:dyDescent="0.25">
      <c r="A157" s="6">
        <v>10</v>
      </c>
      <c r="B157" s="6">
        <v>14375</v>
      </c>
      <c r="C157" s="9" t="s">
        <v>433</v>
      </c>
      <c r="D157" s="2" t="s">
        <v>434</v>
      </c>
      <c r="E157" s="6" t="s">
        <v>1001</v>
      </c>
      <c r="F157" s="5" t="s">
        <v>1015</v>
      </c>
    </row>
    <row r="158" spans="1:6" x14ac:dyDescent="0.25">
      <c r="A158" s="6">
        <v>11</v>
      </c>
      <c r="B158" s="6">
        <v>14376</v>
      </c>
      <c r="C158" s="1" t="s">
        <v>437</v>
      </c>
      <c r="D158" s="1" t="s">
        <v>438</v>
      </c>
      <c r="E158" s="6" t="s">
        <v>1001</v>
      </c>
      <c r="F158" s="5" t="s">
        <v>1011</v>
      </c>
    </row>
    <row r="159" spans="1:6" x14ac:dyDescent="0.25">
      <c r="A159" s="6">
        <v>12</v>
      </c>
      <c r="B159" s="6">
        <v>14377</v>
      </c>
      <c r="C159" s="9" t="s">
        <v>440</v>
      </c>
      <c r="D159" s="2" t="s">
        <v>441</v>
      </c>
      <c r="E159" s="6" t="s">
        <v>1002</v>
      </c>
      <c r="F159" s="5" t="s">
        <v>1015</v>
      </c>
    </row>
    <row r="160" spans="1:6" x14ac:dyDescent="0.25">
      <c r="A160" s="6">
        <v>13</v>
      </c>
      <c r="B160" s="6">
        <v>14378</v>
      </c>
      <c r="C160" s="1" t="s">
        <v>442</v>
      </c>
      <c r="D160" s="1" t="s">
        <v>443</v>
      </c>
      <c r="E160" s="6" t="s">
        <v>1001</v>
      </c>
      <c r="F160" s="5" t="s">
        <v>1008</v>
      </c>
    </row>
    <row r="161" spans="1:6" x14ac:dyDescent="0.25">
      <c r="A161" s="6">
        <v>14</v>
      </c>
      <c r="B161" s="6">
        <v>14379</v>
      </c>
      <c r="C161" s="1" t="s">
        <v>445</v>
      </c>
      <c r="D161" s="1" t="s">
        <v>446</v>
      </c>
      <c r="E161" s="6" t="s">
        <v>1001</v>
      </c>
      <c r="F161" s="5" t="s">
        <v>1008</v>
      </c>
    </row>
    <row r="162" spans="1:6" x14ac:dyDescent="0.25">
      <c r="A162" s="6">
        <v>15</v>
      </c>
      <c r="B162" s="6">
        <v>14380</v>
      </c>
      <c r="C162" s="9" t="s">
        <v>448</v>
      </c>
      <c r="D162" s="2" t="s">
        <v>449</v>
      </c>
      <c r="E162" s="6" t="s">
        <v>1002</v>
      </c>
      <c r="F162" s="5" t="s">
        <v>1015</v>
      </c>
    </row>
    <row r="163" spans="1:6" x14ac:dyDescent="0.25">
      <c r="A163" s="6">
        <v>16</v>
      </c>
      <c r="B163" s="6">
        <v>14381</v>
      </c>
      <c r="C163" s="1" t="s">
        <v>451</v>
      </c>
      <c r="D163" s="1" t="s">
        <v>452</v>
      </c>
      <c r="E163" s="6" t="s">
        <v>1002</v>
      </c>
      <c r="F163" s="5" t="s">
        <v>1010</v>
      </c>
    </row>
    <row r="164" spans="1:6" x14ac:dyDescent="0.25">
      <c r="A164" s="6">
        <v>17</v>
      </c>
      <c r="B164" s="6">
        <v>14382</v>
      </c>
      <c r="C164" s="9" t="s">
        <v>453</v>
      </c>
      <c r="D164" s="2" t="s">
        <v>454</v>
      </c>
      <c r="E164" s="6" t="s">
        <v>1001</v>
      </c>
      <c r="F164" s="5" t="s">
        <v>1014</v>
      </c>
    </row>
    <row r="165" spans="1:6" x14ac:dyDescent="0.25">
      <c r="A165" s="6">
        <v>18</v>
      </c>
      <c r="B165" s="6">
        <v>14383</v>
      </c>
      <c r="C165" s="1" t="s">
        <v>456</v>
      </c>
      <c r="D165" s="1" t="s">
        <v>457</v>
      </c>
      <c r="E165" s="6" t="s">
        <v>1002</v>
      </c>
      <c r="F165" s="5" t="s">
        <v>1006</v>
      </c>
    </row>
    <row r="166" spans="1:6" x14ac:dyDescent="0.25">
      <c r="A166" s="6">
        <v>19</v>
      </c>
      <c r="B166" s="6">
        <v>14384</v>
      </c>
      <c r="C166" s="1" t="s">
        <v>459</v>
      </c>
      <c r="D166" s="1" t="s">
        <v>460</v>
      </c>
      <c r="E166" s="6" t="s">
        <v>1002</v>
      </c>
      <c r="F166" s="5" t="s">
        <v>1006</v>
      </c>
    </row>
    <row r="167" spans="1:6" x14ac:dyDescent="0.25">
      <c r="A167" s="6">
        <v>20</v>
      </c>
      <c r="B167" s="6">
        <v>14385</v>
      </c>
      <c r="C167" s="1" t="s">
        <v>461</v>
      </c>
      <c r="D167" s="1" t="s">
        <v>462</v>
      </c>
      <c r="E167" s="6" t="s">
        <v>1002</v>
      </c>
      <c r="F167" s="5" t="s">
        <v>1013</v>
      </c>
    </row>
    <row r="168" spans="1:6" x14ac:dyDescent="0.25">
      <c r="A168" s="6">
        <v>21</v>
      </c>
      <c r="B168" s="6">
        <v>14386</v>
      </c>
      <c r="C168" s="1" t="s">
        <v>464</v>
      </c>
      <c r="D168" s="1" t="s">
        <v>1053</v>
      </c>
      <c r="E168" s="6" t="s">
        <v>1002</v>
      </c>
      <c r="F168" s="5" t="s">
        <v>1010</v>
      </c>
    </row>
    <row r="169" spans="1:6" x14ac:dyDescent="0.25">
      <c r="A169" s="6">
        <v>22</v>
      </c>
      <c r="B169" s="6">
        <v>14387</v>
      </c>
      <c r="C169" s="1" t="s">
        <v>466</v>
      </c>
      <c r="D169" s="1" t="s">
        <v>467</v>
      </c>
      <c r="E169" s="6" t="s">
        <v>1002</v>
      </c>
      <c r="F169" s="5" t="s">
        <v>1009</v>
      </c>
    </row>
    <row r="170" spans="1:6" x14ac:dyDescent="0.25">
      <c r="A170" s="6">
        <v>23</v>
      </c>
      <c r="B170" s="6">
        <v>14388</v>
      </c>
      <c r="C170" s="9" t="s">
        <v>469</v>
      </c>
      <c r="D170" s="2" t="s">
        <v>1054</v>
      </c>
      <c r="E170" s="6" t="s">
        <v>1002</v>
      </c>
      <c r="F170" s="5" t="s">
        <v>1007</v>
      </c>
    </row>
    <row r="171" spans="1:6" x14ac:dyDescent="0.25">
      <c r="A171" s="6">
        <v>24</v>
      </c>
      <c r="B171" s="6">
        <v>14389</v>
      </c>
      <c r="C171" s="9" t="s">
        <v>472</v>
      </c>
      <c r="D171" s="2" t="s">
        <v>473</v>
      </c>
      <c r="E171" s="6" t="s">
        <v>1002</v>
      </c>
      <c r="F171" s="5" t="s">
        <v>1007</v>
      </c>
    </row>
    <row r="172" spans="1:6" x14ac:dyDescent="0.25">
      <c r="A172" s="6">
        <v>25</v>
      </c>
      <c r="B172" s="6">
        <v>14390</v>
      </c>
      <c r="C172" s="1" t="s">
        <v>475</v>
      </c>
      <c r="D172" s="1" t="s">
        <v>476</v>
      </c>
      <c r="E172" s="6" t="s">
        <v>1002</v>
      </c>
      <c r="F172" s="5" t="s">
        <v>1012</v>
      </c>
    </row>
    <row r="173" spans="1:6" x14ac:dyDescent="0.25">
      <c r="A173" s="6">
        <v>26</v>
      </c>
      <c r="B173" s="6">
        <v>14391</v>
      </c>
      <c r="C173" s="1" t="s">
        <v>478</v>
      </c>
      <c r="D173" s="1" t="s">
        <v>479</v>
      </c>
      <c r="E173" s="6" t="s">
        <v>1002</v>
      </c>
      <c r="F173" s="5" t="s">
        <v>1012</v>
      </c>
    </row>
    <row r="174" spans="1:6" x14ac:dyDescent="0.25">
      <c r="A174" s="6">
        <v>27</v>
      </c>
      <c r="B174" s="6">
        <v>14392</v>
      </c>
      <c r="C174" s="9" t="s">
        <v>480</v>
      </c>
      <c r="D174" s="2" t="s">
        <v>481</v>
      </c>
      <c r="E174" s="6" t="s">
        <v>1002</v>
      </c>
      <c r="F174" s="5" t="s">
        <v>1014</v>
      </c>
    </row>
    <row r="175" spans="1:6" x14ac:dyDescent="0.25">
      <c r="A175" s="6">
        <v>28</v>
      </c>
      <c r="B175" s="6">
        <v>14393</v>
      </c>
      <c r="C175" s="1" t="s">
        <v>483</v>
      </c>
      <c r="D175" s="1" t="s">
        <v>484</v>
      </c>
      <c r="E175" s="6" t="s">
        <v>1002</v>
      </c>
      <c r="F175" s="5" t="s">
        <v>1010</v>
      </c>
    </row>
    <row r="176" spans="1:6" x14ac:dyDescent="0.25">
      <c r="A176" s="6">
        <v>29</v>
      </c>
      <c r="B176" s="6">
        <v>14394</v>
      </c>
      <c r="C176" s="9" t="s">
        <v>486</v>
      </c>
      <c r="D176" s="2" t="s">
        <v>487</v>
      </c>
      <c r="E176" s="6" t="s">
        <v>1002</v>
      </c>
      <c r="F176" s="5" t="s">
        <v>1014</v>
      </c>
    </row>
    <row r="177" spans="1:6" x14ac:dyDescent="0.25">
      <c r="A177" s="6">
        <v>30</v>
      </c>
      <c r="B177" s="6">
        <v>14395</v>
      </c>
      <c r="C177" s="9" t="s">
        <v>489</v>
      </c>
      <c r="D177" s="2" t="s">
        <v>490</v>
      </c>
      <c r="E177" s="6" t="s">
        <v>1002</v>
      </c>
      <c r="F177" s="5" t="s">
        <v>1014</v>
      </c>
    </row>
    <row r="178" spans="1:6" x14ac:dyDescent="0.25">
      <c r="A178" s="6">
        <v>31</v>
      </c>
      <c r="B178" s="6">
        <v>14396</v>
      </c>
      <c r="C178" s="1" t="s">
        <v>492</v>
      </c>
      <c r="D178" s="1" t="s">
        <v>493</v>
      </c>
      <c r="E178" s="6" t="s">
        <v>1002</v>
      </c>
      <c r="F178" s="5" t="s">
        <v>1007</v>
      </c>
    </row>
    <row r="179" spans="1:6" x14ac:dyDescent="0.25">
      <c r="A179" s="6">
        <v>32</v>
      </c>
      <c r="B179" s="6">
        <v>14397</v>
      </c>
      <c r="C179" s="9" t="s">
        <v>496</v>
      </c>
      <c r="D179" s="2" t="s">
        <v>497</v>
      </c>
      <c r="E179" s="6" t="s">
        <v>1001</v>
      </c>
      <c r="F179" s="5" t="s">
        <v>1015</v>
      </c>
    </row>
    <row r="180" spans="1:6" x14ac:dyDescent="0.25">
      <c r="A180" s="6">
        <v>33</v>
      </c>
      <c r="B180" s="6">
        <v>14398</v>
      </c>
      <c r="C180" s="1" t="s">
        <v>499</v>
      </c>
      <c r="D180" s="1" t="s">
        <v>500</v>
      </c>
      <c r="E180" s="6" t="s">
        <v>1001</v>
      </c>
      <c r="F180" s="5" t="s">
        <v>1008</v>
      </c>
    </row>
    <row r="181" spans="1:6" x14ac:dyDescent="0.25">
      <c r="A181" s="6">
        <v>34</v>
      </c>
      <c r="B181" s="6">
        <v>14399</v>
      </c>
      <c r="C181" s="9" t="s">
        <v>502</v>
      </c>
      <c r="D181" s="2" t="s">
        <v>503</v>
      </c>
      <c r="E181" s="6" t="s">
        <v>1001</v>
      </c>
      <c r="F181" s="5" t="s">
        <v>1007</v>
      </c>
    </row>
    <row r="182" spans="1:6" x14ac:dyDescent="0.25">
      <c r="A182" s="6">
        <v>35</v>
      </c>
      <c r="B182" s="6">
        <v>14400</v>
      </c>
      <c r="C182" s="1" t="s">
        <v>505</v>
      </c>
      <c r="D182" s="1" t="s">
        <v>506</v>
      </c>
      <c r="E182" s="6" t="s">
        <v>1001</v>
      </c>
      <c r="F182" s="5" t="s">
        <v>1006</v>
      </c>
    </row>
    <row r="183" spans="1:6" x14ac:dyDescent="0.25">
      <c r="A183" s="6">
        <v>36</v>
      </c>
      <c r="B183" s="6">
        <v>14401</v>
      </c>
      <c r="C183" s="9" t="s">
        <v>508</v>
      </c>
      <c r="D183" s="2" t="s">
        <v>509</v>
      </c>
      <c r="E183" s="6" t="s">
        <v>1001</v>
      </c>
      <c r="F183" s="5" t="s">
        <v>1014</v>
      </c>
    </row>
    <row r="184" spans="1:6" x14ac:dyDescent="0.25">
      <c r="A184" s="6">
        <v>1</v>
      </c>
      <c r="B184" s="6">
        <v>14402</v>
      </c>
      <c r="C184" s="9" t="s">
        <v>511</v>
      </c>
      <c r="D184" s="2" t="s">
        <v>512</v>
      </c>
      <c r="E184" s="6" t="s">
        <v>1001</v>
      </c>
      <c r="F184" s="5" t="s">
        <v>1015</v>
      </c>
    </row>
    <row r="185" spans="1:6" x14ac:dyDescent="0.25">
      <c r="A185" s="6">
        <v>2</v>
      </c>
      <c r="B185" s="6">
        <v>14403</v>
      </c>
      <c r="C185" s="1" t="s">
        <v>514</v>
      </c>
      <c r="D185" s="1" t="s">
        <v>1055</v>
      </c>
      <c r="E185" s="6" t="s">
        <v>1001</v>
      </c>
      <c r="F185" s="5" t="s">
        <v>1011</v>
      </c>
    </row>
    <row r="186" spans="1:6" x14ac:dyDescent="0.25">
      <c r="A186" s="6">
        <v>3</v>
      </c>
      <c r="B186" s="6">
        <v>14404</v>
      </c>
      <c r="C186" s="1" t="s">
        <v>516</v>
      </c>
      <c r="D186" s="1" t="s">
        <v>517</v>
      </c>
      <c r="E186" s="6" t="s">
        <v>1002</v>
      </c>
      <c r="F186" s="5" t="s">
        <v>1008</v>
      </c>
    </row>
    <row r="187" spans="1:6" x14ac:dyDescent="0.25">
      <c r="A187" s="6">
        <v>4</v>
      </c>
      <c r="B187" s="6">
        <v>14405</v>
      </c>
      <c r="C187" s="1" t="s">
        <v>519</v>
      </c>
      <c r="D187" s="1" t="s">
        <v>520</v>
      </c>
      <c r="E187" s="6" t="s">
        <v>1002</v>
      </c>
      <c r="F187" s="5" t="s">
        <v>1008</v>
      </c>
    </row>
    <row r="188" spans="1:6" x14ac:dyDescent="0.25">
      <c r="A188" s="6">
        <v>5</v>
      </c>
      <c r="B188" s="6">
        <v>14406</v>
      </c>
      <c r="C188" s="1" t="s">
        <v>522</v>
      </c>
      <c r="D188" s="1" t="s">
        <v>523</v>
      </c>
      <c r="E188" s="6" t="s">
        <v>1001</v>
      </c>
      <c r="F188" s="5" t="s">
        <v>1014</v>
      </c>
    </row>
    <row r="189" spans="1:6" x14ac:dyDescent="0.25">
      <c r="A189" s="6">
        <v>6</v>
      </c>
      <c r="B189" s="6">
        <v>14407</v>
      </c>
      <c r="C189" s="9" t="s">
        <v>525</v>
      </c>
      <c r="D189" s="2" t="s">
        <v>526</v>
      </c>
      <c r="E189" s="6" t="s">
        <v>1002</v>
      </c>
      <c r="F189" s="5" t="s">
        <v>1007</v>
      </c>
    </row>
    <row r="190" spans="1:6" x14ac:dyDescent="0.25">
      <c r="A190" s="6">
        <v>7</v>
      </c>
      <c r="B190" s="6">
        <v>14408</v>
      </c>
      <c r="C190" s="1" t="s">
        <v>528</v>
      </c>
      <c r="D190" s="1" t="s">
        <v>1056</v>
      </c>
      <c r="E190" s="6" t="s">
        <v>1002</v>
      </c>
      <c r="F190" s="5" t="s">
        <v>1013</v>
      </c>
    </row>
    <row r="191" spans="1:6" x14ac:dyDescent="0.25">
      <c r="A191" s="6">
        <v>8</v>
      </c>
      <c r="B191" s="6">
        <v>14409</v>
      </c>
      <c r="C191" s="1" t="s">
        <v>530</v>
      </c>
      <c r="D191" s="1" t="s">
        <v>531</v>
      </c>
      <c r="E191" s="6" t="s">
        <v>1002</v>
      </c>
      <c r="F191" s="5" t="s">
        <v>1009</v>
      </c>
    </row>
    <row r="192" spans="1:6" x14ac:dyDescent="0.25">
      <c r="A192" s="6">
        <v>9</v>
      </c>
      <c r="B192" s="6">
        <v>14410</v>
      </c>
      <c r="C192" s="9" t="s">
        <v>533</v>
      </c>
      <c r="D192" s="2" t="s">
        <v>534</v>
      </c>
      <c r="E192" s="6" t="s">
        <v>1002</v>
      </c>
      <c r="F192" s="5" t="s">
        <v>1014</v>
      </c>
    </row>
    <row r="193" spans="1:6" x14ac:dyDescent="0.25">
      <c r="A193" s="6">
        <v>10</v>
      </c>
      <c r="B193" s="6">
        <v>14411</v>
      </c>
      <c r="C193" s="1" t="s">
        <v>536</v>
      </c>
      <c r="D193" s="1" t="s">
        <v>537</v>
      </c>
      <c r="E193" s="6" t="s">
        <v>1001</v>
      </c>
      <c r="F193" s="5" t="s">
        <v>1006</v>
      </c>
    </row>
    <row r="194" spans="1:6" x14ac:dyDescent="0.25">
      <c r="A194" s="6">
        <v>11</v>
      </c>
      <c r="B194" s="6">
        <v>14412</v>
      </c>
      <c r="C194" s="1" t="s">
        <v>539</v>
      </c>
      <c r="D194" s="1" t="s">
        <v>540</v>
      </c>
      <c r="E194" s="6" t="s">
        <v>1001</v>
      </c>
      <c r="F194" s="5" t="s">
        <v>1006</v>
      </c>
    </row>
    <row r="195" spans="1:6" x14ac:dyDescent="0.25">
      <c r="A195" s="6">
        <v>12</v>
      </c>
      <c r="B195" s="6">
        <v>14413</v>
      </c>
      <c r="C195" s="9" t="s">
        <v>542</v>
      </c>
      <c r="D195" s="2" t="s">
        <v>543</v>
      </c>
      <c r="E195" s="6" t="s">
        <v>1001</v>
      </c>
      <c r="F195" s="5" t="s">
        <v>1014</v>
      </c>
    </row>
    <row r="196" spans="1:6" x14ac:dyDescent="0.25">
      <c r="A196" s="6">
        <v>13</v>
      </c>
      <c r="B196" s="6">
        <v>14414</v>
      </c>
      <c r="C196" s="9" t="s">
        <v>545</v>
      </c>
      <c r="D196" s="2" t="s">
        <v>546</v>
      </c>
      <c r="E196" s="6" t="s">
        <v>1001</v>
      </c>
      <c r="F196" s="5" t="s">
        <v>1014</v>
      </c>
    </row>
    <row r="197" spans="1:6" x14ac:dyDescent="0.25">
      <c r="A197" s="6">
        <v>14</v>
      </c>
      <c r="B197" s="6">
        <v>14415</v>
      </c>
      <c r="C197" s="1" t="s">
        <v>549</v>
      </c>
      <c r="D197" s="1" t="s">
        <v>550</v>
      </c>
      <c r="E197" s="6" t="s">
        <v>1001</v>
      </c>
      <c r="F197" s="5" t="s">
        <v>1006</v>
      </c>
    </row>
    <row r="198" spans="1:6" x14ac:dyDescent="0.25">
      <c r="A198" s="6">
        <v>15</v>
      </c>
      <c r="B198" s="6">
        <v>14416</v>
      </c>
      <c r="C198" s="1" t="s">
        <v>553</v>
      </c>
      <c r="D198" s="1" t="s">
        <v>554</v>
      </c>
      <c r="E198" s="6" t="s">
        <v>1001</v>
      </c>
      <c r="F198" s="5" t="s">
        <v>1013</v>
      </c>
    </row>
    <row r="199" spans="1:6" x14ac:dyDescent="0.25">
      <c r="A199" s="6">
        <v>16</v>
      </c>
      <c r="B199" s="6">
        <v>14417</v>
      </c>
      <c r="C199" s="9" t="s">
        <v>556</v>
      </c>
      <c r="D199" s="2" t="s">
        <v>557</v>
      </c>
      <c r="E199" s="6" t="s">
        <v>1001</v>
      </c>
      <c r="F199" s="5" t="s">
        <v>1015</v>
      </c>
    </row>
    <row r="200" spans="1:6" x14ac:dyDescent="0.25">
      <c r="A200" s="6">
        <v>17</v>
      </c>
      <c r="B200" s="6">
        <v>14418</v>
      </c>
      <c r="C200" s="9" t="s">
        <v>559</v>
      </c>
      <c r="D200" s="2" t="s">
        <v>560</v>
      </c>
      <c r="E200" s="6" t="s">
        <v>1001</v>
      </c>
      <c r="F200" s="5" t="s">
        <v>1007</v>
      </c>
    </row>
    <row r="201" spans="1:6" x14ac:dyDescent="0.25">
      <c r="A201" s="6">
        <v>18</v>
      </c>
      <c r="B201" s="6">
        <v>14419</v>
      </c>
      <c r="C201" s="1" t="s">
        <v>561</v>
      </c>
      <c r="D201" s="1" t="s">
        <v>562</v>
      </c>
      <c r="E201" s="6" t="s">
        <v>1001</v>
      </c>
      <c r="F201" s="5" t="s">
        <v>1011</v>
      </c>
    </row>
    <row r="202" spans="1:6" x14ac:dyDescent="0.25">
      <c r="A202" s="6">
        <v>19</v>
      </c>
      <c r="B202" s="6">
        <v>14420</v>
      </c>
      <c r="C202" s="1" t="s">
        <v>564</v>
      </c>
      <c r="D202" s="1" t="s">
        <v>565</v>
      </c>
      <c r="E202" s="6" t="s">
        <v>1001</v>
      </c>
      <c r="F202" s="5" t="s">
        <v>1010</v>
      </c>
    </row>
    <row r="203" spans="1:6" x14ac:dyDescent="0.25">
      <c r="A203" s="6">
        <v>20</v>
      </c>
      <c r="B203" s="6">
        <v>14421</v>
      </c>
      <c r="C203" s="1" t="s">
        <v>567</v>
      </c>
      <c r="D203" s="1" t="s">
        <v>568</v>
      </c>
      <c r="E203" s="6" t="s">
        <v>1001</v>
      </c>
      <c r="F203" s="5" t="s">
        <v>1012</v>
      </c>
    </row>
    <row r="204" spans="1:6" x14ac:dyDescent="0.25">
      <c r="A204" s="6">
        <v>21</v>
      </c>
      <c r="B204" s="6">
        <v>14422</v>
      </c>
      <c r="C204" s="9" t="s">
        <v>570</v>
      </c>
      <c r="D204" s="2" t="s">
        <v>571</v>
      </c>
      <c r="E204" s="6" t="s">
        <v>1001</v>
      </c>
      <c r="F204" s="5" t="s">
        <v>1015</v>
      </c>
    </row>
    <row r="205" spans="1:6" x14ac:dyDescent="0.25">
      <c r="A205" s="6">
        <v>22</v>
      </c>
      <c r="B205" s="6">
        <v>14423</v>
      </c>
      <c r="C205" s="1" t="s">
        <v>573</v>
      </c>
      <c r="D205" s="1" t="s">
        <v>574</v>
      </c>
      <c r="E205" s="6" t="s">
        <v>1001</v>
      </c>
      <c r="F205" s="5" t="s">
        <v>1010</v>
      </c>
    </row>
    <row r="206" spans="1:6" x14ac:dyDescent="0.25">
      <c r="A206" s="6">
        <v>23</v>
      </c>
      <c r="B206" s="6">
        <v>14424</v>
      </c>
      <c r="C206" s="1" t="s">
        <v>577</v>
      </c>
      <c r="D206" s="1" t="s">
        <v>578</v>
      </c>
      <c r="E206" s="6" t="s">
        <v>1001</v>
      </c>
      <c r="F206" s="5" t="s">
        <v>1012</v>
      </c>
    </row>
    <row r="207" spans="1:6" x14ac:dyDescent="0.25">
      <c r="A207" s="6">
        <v>24</v>
      </c>
      <c r="B207" s="6">
        <v>14425</v>
      </c>
      <c r="C207" s="1" t="s">
        <v>579</v>
      </c>
      <c r="D207" s="1" t="s">
        <v>580</v>
      </c>
      <c r="E207" s="6" t="s">
        <v>1001</v>
      </c>
      <c r="F207" s="5" t="s">
        <v>1010</v>
      </c>
    </row>
    <row r="208" spans="1:6" x14ac:dyDescent="0.25">
      <c r="A208" s="6">
        <v>25</v>
      </c>
      <c r="B208" s="6">
        <v>14426</v>
      </c>
      <c r="C208" s="9" t="s">
        <v>582</v>
      </c>
      <c r="D208" s="2" t="s">
        <v>583</v>
      </c>
      <c r="E208" s="6" t="s">
        <v>1001</v>
      </c>
      <c r="F208" s="5" t="s">
        <v>1015</v>
      </c>
    </row>
    <row r="209" spans="1:6" x14ac:dyDescent="0.25">
      <c r="A209" s="6">
        <v>26</v>
      </c>
      <c r="B209" s="6">
        <v>14427</v>
      </c>
      <c r="C209" s="1" t="s">
        <v>585</v>
      </c>
      <c r="D209" s="1" t="s">
        <v>586</v>
      </c>
      <c r="E209" s="6" t="s">
        <v>1001</v>
      </c>
      <c r="F209" s="5" t="s">
        <v>1010</v>
      </c>
    </row>
    <row r="210" spans="1:6" x14ac:dyDescent="0.25">
      <c r="A210" s="6">
        <v>27</v>
      </c>
      <c r="B210" s="6">
        <v>14428</v>
      </c>
      <c r="C210" s="1" t="s">
        <v>588</v>
      </c>
      <c r="D210" s="1" t="s">
        <v>589</v>
      </c>
      <c r="E210" s="6" t="s">
        <v>1001</v>
      </c>
      <c r="F210" s="5" t="s">
        <v>1009</v>
      </c>
    </row>
    <row r="211" spans="1:6" x14ac:dyDescent="0.25">
      <c r="A211" s="6">
        <v>28</v>
      </c>
      <c r="B211" s="6">
        <v>14429</v>
      </c>
      <c r="C211" s="1" t="s">
        <v>591</v>
      </c>
      <c r="D211" s="1" t="s">
        <v>592</v>
      </c>
      <c r="E211" s="6" t="s">
        <v>1002</v>
      </c>
      <c r="F211" s="5" t="s">
        <v>1008</v>
      </c>
    </row>
    <row r="212" spans="1:6" x14ac:dyDescent="0.25">
      <c r="A212" s="6">
        <v>29</v>
      </c>
      <c r="B212" s="6">
        <v>14430</v>
      </c>
      <c r="C212" s="1" t="s">
        <v>594</v>
      </c>
      <c r="D212" s="1" t="s">
        <v>595</v>
      </c>
      <c r="E212" s="6" t="s">
        <v>1001</v>
      </c>
      <c r="F212" s="5" t="s">
        <v>1010</v>
      </c>
    </row>
    <row r="213" spans="1:6" x14ac:dyDescent="0.25">
      <c r="A213" s="6">
        <v>30</v>
      </c>
      <c r="B213" s="6">
        <v>14431</v>
      </c>
      <c r="C213" s="1" t="s">
        <v>596</v>
      </c>
      <c r="D213" s="1" t="s">
        <v>597</v>
      </c>
      <c r="E213" s="6" t="s">
        <v>1001</v>
      </c>
      <c r="F213" s="5" t="s">
        <v>1008</v>
      </c>
    </row>
    <row r="214" spans="1:6" x14ac:dyDescent="0.25">
      <c r="A214" s="6">
        <v>31</v>
      </c>
      <c r="B214" s="6">
        <v>14432</v>
      </c>
      <c r="C214" s="9" t="s">
        <v>599</v>
      </c>
      <c r="D214" s="2" t="s">
        <v>600</v>
      </c>
      <c r="E214" s="6" t="s">
        <v>1001</v>
      </c>
      <c r="F214" s="5" t="s">
        <v>1007</v>
      </c>
    </row>
    <row r="215" spans="1:6" x14ac:dyDescent="0.25">
      <c r="A215" s="6">
        <v>32</v>
      </c>
      <c r="B215" s="6">
        <v>14433</v>
      </c>
      <c r="C215" s="1" t="s">
        <v>601</v>
      </c>
      <c r="D215" s="1" t="s">
        <v>602</v>
      </c>
      <c r="E215" s="6" t="s">
        <v>1001</v>
      </c>
      <c r="F215" s="5" t="s">
        <v>1006</v>
      </c>
    </row>
    <row r="216" spans="1:6" x14ac:dyDescent="0.25">
      <c r="A216" s="6">
        <v>33</v>
      </c>
      <c r="B216" s="6">
        <v>14434</v>
      </c>
      <c r="C216" s="1" t="s">
        <v>604</v>
      </c>
      <c r="D216" s="1" t="s">
        <v>605</v>
      </c>
      <c r="E216" s="6" t="s">
        <v>1001</v>
      </c>
      <c r="F216" s="5" t="s">
        <v>1010</v>
      </c>
    </row>
    <row r="217" spans="1:6" x14ac:dyDescent="0.25">
      <c r="A217" s="6">
        <v>34</v>
      </c>
      <c r="B217" s="6">
        <v>14435</v>
      </c>
      <c r="C217" s="9" t="s">
        <v>607</v>
      </c>
      <c r="D217" s="2" t="s">
        <v>608</v>
      </c>
      <c r="E217" s="6" t="s">
        <v>1001</v>
      </c>
      <c r="F217" s="5" t="s">
        <v>1015</v>
      </c>
    </row>
    <row r="218" spans="1:6" x14ac:dyDescent="0.25">
      <c r="A218" s="6">
        <v>35</v>
      </c>
      <c r="B218" s="6">
        <v>14436</v>
      </c>
      <c r="C218" s="9" t="s">
        <v>610</v>
      </c>
      <c r="D218" s="2" t="s">
        <v>611</v>
      </c>
      <c r="E218" s="6" t="s">
        <v>1002</v>
      </c>
      <c r="F218" s="5" t="s">
        <v>1014</v>
      </c>
    </row>
    <row r="219" spans="1:6" x14ac:dyDescent="0.25">
      <c r="A219" s="6">
        <v>36</v>
      </c>
      <c r="B219" s="6">
        <v>14437</v>
      </c>
      <c r="C219" s="9" t="s">
        <v>613</v>
      </c>
      <c r="D219" s="2" t="s">
        <v>1057</v>
      </c>
      <c r="E219" s="6" t="s">
        <v>1001</v>
      </c>
      <c r="F219" s="5" t="s">
        <v>1007</v>
      </c>
    </row>
    <row r="220" spans="1:6" x14ac:dyDescent="0.25">
      <c r="A220" s="6">
        <v>1</v>
      </c>
      <c r="B220" s="6">
        <v>14438</v>
      </c>
      <c r="C220" s="1" t="s">
        <v>615</v>
      </c>
      <c r="D220" s="1" t="s">
        <v>616</v>
      </c>
      <c r="E220" s="6" t="s">
        <v>1001</v>
      </c>
      <c r="F220" s="5" t="s">
        <v>1009</v>
      </c>
    </row>
    <row r="221" spans="1:6" x14ac:dyDescent="0.25">
      <c r="A221" s="6">
        <v>2</v>
      </c>
      <c r="B221" s="6">
        <v>14439</v>
      </c>
      <c r="C221" s="1" t="s">
        <v>618</v>
      </c>
      <c r="D221" s="1" t="s">
        <v>619</v>
      </c>
      <c r="E221" s="6" t="s">
        <v>1002</v>
      </c>
      <c r="F221" s="5" t="s">
        <v>1008</v>
      </c>
    </row>
    <row r="222" spans="1:6" x14ac:dyDescent="0.25">
      <c r="A222" s="6">
        <v>3</v>
      </c>
      <c r="B222" s="6">
        <v>14440</v>
      </c>
      <c r="C222" s="9" t="s">
        <v>621</v>
      </c>
      <c r="D222" s="2" t="s">
        <v>622</v>
      </c>
      <c r="E222" s="6" t="s">
        <v>1002</v>
      </c>
      <c r="F222" s="5" t="s">
        <v>1013</v>
      </c>
    </row>
    <row r="223" spans="1:6" x14ac:dyDescent="0.25">
      <c r="A223" s="6">
        <v>4</v>
      </c>
      <c r="B223" s="6">
        <v>14441</v>
      </c>
      <c r="C223" s="1" t="s">
        <v>624</v>
      </c>
      <c r="D223" s="1" t="s">
        <v>1058</v>
      </c>
      <c r="E223" s="6" t="s">
        <v>1002</v>
      </c>
      <c r="F223" s="5" t="s">
        <v>1011</v>
      </c>
    </row>
    <row r="224" spans="1:6" x14ac:dyDescent="0.25">
      <c r="A224" s="6">
        <v>5</v>
      </c>
      <c r="B224" s="6">
        <v>14442</v>
      </c>
      <c r="C224" s="9" t="s">
        <v>626</v>
      </c>
      <c r="D224" s="2" t="s">
        <v>627</v>
      </c>
      <c r="E224" s="6" t="s">
        <v>1002</v>
      </c>
      <c r="F224" s="5" t="s">
        <v>1014</v>
      </c>
    </row>
    <row r="225" spans="1:6" x14ac:dyDescent="0.25">
      <c r="A225" s="6">
        <v>6</v>
      </c>
      <c r="B225" s="6">
        <v>14443</v>
      </c>
      <c r="C225" s="1" t="s">
        <v>629</v>
      </c>
      <c r="D225" s="1" t="s">
        <v>630</v>
      </c>
      <c r="E225" s="6" t="s">
        <v>1002</v>
      </c>
      <c r="F225" s="5" t="s">
        <v>1012</v>
      </c>
    </row>
    <row r="226" spans="1:6" x14ac:dyDescent="0.25">
      <c r="A226" s="6">
        <v>7</v>
      </c>
      <c r="B226" s="6">
        <v>14444</v>
      </c>
      <c r="C226" s="9" t="s">
        <v>631</v>
      </c>
      <c r="D226" s="2" t="s">
        <v>632</v>
      </c>
      <c r="E226" s="6" t="s">
        <v>1002</v>
      </c>
      <c r="F226" s="5" t="s">
        <v>1014</v>
      </c>
    </row>
    <row r="227" spans="1:6" x14ac:dyDescent="0.25">
      <c r="A227" s="6">
        <v>8</v>
      </c>
      <c r="B227" s="6">
        <v>14445</v>
      </c>
      <c r="C227" s="1" t="s">
        <v>634</v>
      </c>
      <c r="D227" s="1" t="s">
        <v>635</v>
      </c>
      <c r="E227" s="6" t="s">
        <v>1002</v>
      </c>
      <c r="F227" s="5" t="s">
        <v>1011</v>
      </c>
    </row>
    <row r="228" spans="1:6" x14ac:dyDescent="0.25">
      <c r="A228" s="6">
        <v>9</v>
      </c>
      <c r="B228" s="6">
        <v>14446</v>
      </c>
      <c r="C228" s="1" t="s">
        <v>637</v>
      </c>
      <c r="D228" s="1" t="s">
        <v>638</v>
      </c>
      <c r="E228" s="6" t="s">
        <v>1002</v>
      </c>
      <c r="F228" s="5" t="s">
        <v>1006</v>
      </c>
    </row>
    <row r="229" spans="1:6" x14ac:dyDescent="0.25">
      <c r="A229" s="6">
        <v>10</v>
      </c>
      <c r="B229" s="6">
        <v>14447</v>
      </c>
      <c r="C229" s="1" t="s">
        <v>639</v>
      </c>
      <c r="D229" s="1" t="s">
        <v>640</v>
      </c>
      <c r="E229" s="6" t="s">
        <v>1002</v>
      </c>
      <c r="F229" s="5" t="s">
        <v>1012</v>
      </c>
    </row>
    <row r="230" spans="1:6" x14ac:dyDescent="0.25">
      <c r="A230" s="6">
        <v>11</v>
      </c>
      <c r="B230" s="6">
        <v>14448</v>
      </c>
      <c r="C230" s="9" t="s">
        <v>642</v>
      </c>
      <c r="D230" s="2" t="s">
        <v>643</v>
      </c>
      <c r="E230" s="6" t="s">
        <v>1002</v>
      </c>
      <c r="F230" s="5" t="s">
        <v>1007</v>
      </c>
    </row>
    <row r="231" spans="1:6" x14ac:dyDescent="0.25">
      <c r="A231" s="6">
        <v>12</v>
      </c>
      <c r="B231" s="6">
        <v>14449</v>
      </c>
      <c r="C231" s="9" t="s">
        <v>644</v>
      </c>
      <c r="D231" s="2" t="s">
        <v>645</v>
      </c>
      <c r="E231" s="6" t="s">
        <v>1002</v>
      </c>
      <c r="F231" s="5" t="s">
        <v>1015</v>
      </c>
    </row>
    <row r="232" spans="1:6" x14ac:dyDescent="0.25">
      <c r="A232" s="6">
        <v>13</v>
      </c>
      <c r="B232" s="6">
        <v>14450</v>
      </c>
      <c r="C232" s="1" t="s">
        <v>647</v>
      </c>
      <c r="D232" s="1" t="s">
        <v>648</v>
      </c>
      <c r="E232" s="6" t="s">
        <v>1002</v>
      </c>
      <c r="F232" s="5" t="s">
        <v>1011</v>
      </c>
    </row>
    <row r="233" spans="1:6" x14ac:dyDescent="0.25">
      <c r="A233" s="6">
        <v>14</v>
      </c>
      <c r="B233" s="6">
        <v>14451</v>
      </c>
      <c r="C233" s="1" t="s">
        <v>650</v>
      </c>
      <c r="D233" s="1" t="s">
        <v>651</v>
      </c>
      <c r="E233" s="6" t="s">
        <v>1002</v>
      </c>
      <c r="F233" s="5" t="s">
        <v>1011</v>
      </c>
    </row>
    <row r="234" spans="1:6" x14ac:dyDescent="0.25">
      <c r="A234" s="6">
        <v>15</v>
      </c>
      <c r="B234" s="6">
        <v>14452</v>
      </c>
      <c r="C234" s="1" t="s">
        <v>653</v>
      </c>
      <c r="D234" s="1" t="s">
        <v>654</v>
      </c>
      <c r="E234" s="6" t="s">
        <v>1002</v>
      </c>
      <c r="F234" s="5" t="s">
        <v>1013</v>
      </c>
    </row>
    <row r="235" spans="1:6" x14ac:dyDescent="0.25">
      <c r="A235" s="6">
        <v>16</v>
      </c>
      <c r="B235" s="6">
        <v>14453</v>
      </c>
      <c r="C235" s="1" t="s">
        <v>655</v>
      </c>
      <c r="D235" s="1" t="s">
        <v>656</v>
      </c>
      <c r="E235" s="6" t="s">
        <v>1002</v>
      </c>
      <c r="F235" s="5" t="s">
        <v>1012</v>
      </c>
    </row>
    <row r="236" spans="1:6" x14ac:dyDescent="0.25">
      <c r="A236" s="6">
        <v>17</v>
      </c>
      <c r="B236" s="6">
        <v>14454</v>
      </c>
      <c r="C236" s="1" t="s">
        <v>658</v>
      </c>
      <c r="D236" s="1" t="s">
        <v>659</v>
      </c>
      <c r="E236" s="6" t="s">
        <v>1002</v>
      </c>
      <c r="F236" s="5" t="s">
        <v>1011</v>
      </c>
    </row>
    <row r="237" spans="1:6" x14ac:dyDescent="0.25">
      <c r="A237" s="6">
        <v>18</v>
      </c>
      <c r="B237" s="6">
        <v>14455</v>
      </c>
      <c r="C237" s="1" t="s">
        <v>662</v>
      </c>
      <c r="D237" s="1" t="s">
        <v>663</v>
      </c>
      <c r="E237" s="6" t="s">
        <v>1001</v>
      </c>
      <c r="F237" s="5" t="s">
        <v>1013</v>
      </c>
    </row>
    <row r="238" spans="1:6" x14ac:dyDescent="0.25">
      <c r="A238" s="6">
        <v>19</v>
      </c>
      <c r="B238" s="6">
        <v>14456</v>
      </c>
      <c r="C238" s="1" t="s">
        <v>664</v>
      </c>
      <c r="D238" s="1" t="s">
        <v>665</v>
      </c>
      <c r="E238" s="6" t="s">
        <v>1002</v>
      </c>
      <c r="F238" s="5" t="s">
        <v>1006</v>
      </c>
    </row>
    <row r="239" spans="1:6" x14ac:dyDescent="0.25">
      <c r="A239" s="6">
        <v>20</v>
      </c>
      <c r="B239" s="6">
        <v>14457</v>
      </c>
      <c r="C239" s="1" t="s">
        <v>667</v>
      </c>
      <c r="D239" s="1" t="s">
        <v>668</v>
      </c>
      <c r="E239" s="6" t="s">
        <v>1002</v>
      </c>
      <c r="F239" s="5" t="s">
        <v>1010</v>
      </c>
    </row>
    <row r="240" spans="1:6" x14ac:dyDescent="0.25">
      <c r="A240" s="6">
        <v>21</v>
      </c>
      <c r="B240" s="6">
        <v>14458</v>
      </c>
      <c r="C240" s="1" t="s">
        <v>670</v>
      </c>
      <c r="D240" s="1" t="s">
        <v>671</v>
      </c>
      <c r="E240" s="6" t="s">
        <v>1002</v>
      </c>
      <c r="F240" s="5" t="s">
        <v>1011</v>
      </c>
    </row>
    <row r="241" spans="1:6" x14ac:dyDescent="0.25">
      <c r="A241" s="6">
        <v>22</v>
      </c>
      <c r="B241" s="6">
        <v>14459</v>
      </c>
      <c r="C241" s="1" t="s">
        <v>673</v>
      </c>
      <c r="D241" s="1" t="s">
        <v>674</v>
      </c>
      <c r="E241" s="6" t="s">
        <v>1001</v>
      </c>
      <c r="F241" s="5" t="s">
        <v>1013</v>
      </c>
    </row>
    <row r="242" spans="1:6" x14ac:dyDescent="0.25">
      <c r="A242" s="6">
        <v>23</v>
      </c>
      <c r="B242" s="6">
        <v>14460</v>
      </c>
      <c r="C242" s="9" t="s">
        <v>675</v>
      </c>
      <c r="D242" s="2" t="s">
        <v>676</v>
      </c>
      <c r="E242" s="6" t="s">
        <v>1001</v>
      </c>
      <c r="F242" s="5" t="s">
        <v>1015</v>
      </c>
    </row>
    <row r="243" spans="1:6" x14ac:dyDescent="0.25">
      <c r="A243" s="6">
        <v>24</v>
      </c>
      <c r="B243" s="6">
        <v>14461</v>
      </c>
      <c r="C243" s="9" t="s">
        <v>678</v>
      </c>
      <c r="D243" s="2" t="s">
        <v>679</v>
      </c>
      <c r="E243" s="6" t="s">
        <v>1002</v>
      </c>
      <c r="F243" s="5" t="s">
        <v>1015</v>
      </c>
    </row>
    <row r="244" spans="1:6" x14ac:dyDescent="0.25">
      <c r="A244" s="6">
        <v>25</v>
      </c>
      <c r="B244" s="6">
        <v>14462</v>
      </c>
      <c r="C244" s="9" t="s">
        <v>681</v>
      </c>
      <c r="D244" s="2" t="s">
        <v>682</v>
      </c>
      <c r="E244" s="6" t="s">
        <v>1002</v>
      </c>
      <c r="F244" s="5" t="s">
        <v>1014</v>
      </c>
    </row>
    <row r="245" spans="1:6" x14ac:dyDescent="0.25">
      <c r="A245" s="6">
        <v>26</v>
      </c>
      <c r="B245" s="6">
        <v>14463</v>
      </c>
      <c r="C245" s="9" t="s">
        <v>685</v>
      </c>
      <c r="D245" s="2" t="s">
        <v>686</v>
      </c>
      <c r="E245" s="6" t="s">
        <v>1002</v>
      </c>
      <c r="F245" s="5" t="s">
        <v>1007</v>
      </c>
    </row>
    <row r="246" spans="1:6" x14ac:dyDescent="0.25">
      <c r="A246" s="6">
        <v>27</v>
      </c>
      <c r="B246" s="6">
        <v>14464</v>
      </c>
      <c r="C246" s="1" t="s">
        <v>687</v>
      </c>
      <c r="D246" s="1" t="s">
        <v>688</v>
      </c>
      <c r="E246" s="6" t="s">
        <v>1002</v>
      </c>
      <c r="F246" s="5" t="s">
        <v>1009</v>
      </c>
    </row>
    <row r="247" spans="1:6" x14ac:dyDescent="0.25">
      <c r="A247" s="6">
        <v>28</v>
      </c>
      <c r="B247" s="6">
        <v>14465</v>
      </c>
      <c r="C247" s="1" t="s">
        <v>690</v>
      </c>
      <c r="D247" s="1" t="s">
        <v>691</v>
      </c>
      <c r="E247" s="6" t="s">
        <v>1002</v>
      </c>
      <c r="F247" s="5" t="s">
        <v>1008</v>
      </c>
    </row>
    <row r="248" spans="1:6" x14ac:dyDescent="0.25">
      <c r="A248" s="6">
        <v>29</v>
      </c>
      <c r="B248" s="6">
        <v>14466</v>
      </c>
      <c r="C248" s="9" t="s">
        <v>693</v>
      </c>
      <c r="D248" s="2" t="s">
        <v>694</v>
      </c>
      <c r="E248" s="6" t="s">
        <v>1002</v>
      </c>
      <c r="F248" s="5" t="s">
        <v>1007</v>
      </c>
    </row>
    <row r="249" spans="1:6" x14ac:dyDescent="0.25">
      <c r="A249" s="6">
        <v>30</v>
      </c>
      <c r="B249" s="6">
        <v>14467</v>
      </c>
      <c r="C249" s="9" t="s">
        <v>696</v>
      </c>
      <c r="D249" s="2" t="s">
        <v>697</v>
      </c>
      <c r="E249" s="6" t="s">
        <v>1001</v>
      </c>
      <c r="F249" s="5" t="s">
        <v>1007</v>
      </c>
    </row>
    <row r="250" spans="1:6" x14ac:dyDescent="0.25">
      <c r="A250" s="6">
        <v>31</v>
      </c>
      <c r="B250" s="6">
        <v>14468</v>
      </c>
      <c r="C250" s="1" t="s">
        <v>699</v>
      </c>
      <c r="D250" s="1" t="s">
        <v>700</v>
      </c>
      <c r="E250" s="6" t="s">
        <v>1001</v>
      </c>
      <c r="F250" s="5" t="s">
        <v>1006</v>
      </c>
    </row>
    <row r="251" spans="1:6" x14ac:dyDescent="0.25">
      <c r="A251" s="6">
        <v>32</v>
      </c>
      <c r="B251" s="6">
        <v>14469</v>
      </c>
      <c r="C251" s="1" t="s">
        <v>701</v>
      </c>
      <c r="D251" s="1" t="s">
        <v>702</v>
      </c>
      <c r="E251" s="6" t="s">
        <v>1002</v>
      </c>
      <c r="F251" s="5" t="s">
        <v>1006</v>
      </c>
    </row>
    <row r="252" spans="1:6" x14ac:dyDescent="0.25">
      <c r="A252" s="6">
        <v>33</v>
      </c>
      <c r="B252" s="6">
        <v>14470</v>
      </c>
      <c r="C252" s="1" t="s">
        <v>704</v>
      </c>
      <c r="D252" s="1" t="s">
        <v>705</v>
      </c>
      <c r="E252" s="6" t="s">
        <v>1002</v>
      </c>
      <c r="F252" s="5" t="s">
        <v>1009</v>
      </c>
    </row>
    <row r="253" spans="1:6" x14ac:dyDescent="0.25">
      <c r="A253" s="6">
        <v>34</v>
      </c>
      <c r="B253" s="6">
        <v>14471</v>
      </c>
      <c r="C253" s="1" t="s">
        <v>707</v>
      </c>
      <c r="D253" s="1" t="s">
        <v>708</v>
      </c>
      <c r="E253" s="6" t="s">
        <v>1002</v>
      </c>
      <c r="F253" s="5" t="s">
        <v>1010</v>
      </c>
    </row>
    <row r="254" spans="1:6" x14ac:dyDescent="0.25">
      <c r="A254" s="6">
        <v>1</v>
      </c>
      <c r="B254" s="6">
        <v>14472</v>
      </c>
      <c r="C254" s="1" t="s">
        <v>710</v>
      </c>
      <c r="D254" s="1" t="s">
        <v>711</v>
      </c>
      <c r="E254" s="6" t="s">
        <v>1002</v>
      </c>
      <c r="F254" s="5" t="s">
        <v>1008</v>
      </c>
    </row>
    <row r="255" spans="1:6" x14ac:dyDescent="0.25">
      <c r="A255" s="6">
        <v>2</v>
      </c>
      <c r="B255" s="6">
        <v>14473</v>
      </c>
      <c r="C255" s="1" t="s">
        <v>713</v>
      </c>
      <c r="D255" s="1" t="s">
        <v>714</v>
      </c>
      <c r="E255" s="6" t="s">
        <v>1002</v>
      </c>
      <c r="F255" s="5" t="s">
        <v>1011</v>
      </c>
    </row>
    <row r="256" spans="1:6" x14ac:dyDescent="0.25">
      <c r="A256" s="6">
        <v>3</v>
      </c>
      <c r="B256" s="6">
        <v>14474</v>
      </c>
      <c r="C256" s="9" t="s">
        <v>716</v>
      </c>
      <c r="D256" s="2" t="s">
        <v>717</v>
      </c>
      <c r="E256" s="6" t="s">
        <v>1002</v>
      </c>
      <c r="F256" s="5" t="s">
        <v>1015</v>
      </c>
    </row>
    <row r="257" spans="1:6" x14ac:dyDescent="0.25">
      <c r="A257" s="6">
        <v>4</v>
      </c>
      <c r="B257" s="6">
        <v>14475</v>
      </c>
      <c r="C257" s="1" t="s">
        <v>718</v>
      </c>
      <c r="D257" s="1" t="s">
        <v>719</v>
      </c>
      <c r="E257" s="6" t="s">
        <v>1001</v>
      </c>
      <c r="F257" s="5" t="s">
        <v>1006</v>
      </c>
    </row>
    <row r="258" spans="1:6" x14ac:dyDescent="0.25">
      <c r="A258" s="6">
        <v>5</v>
      </c>
      <c r="B258" s="6">
        <v>14476</v>
      </c>
      <c r="C258" s="1" t="s">
        <v>721</v>
      </c>
      <c r="D258" s="1" t="s">
        <v>1059</v>
      </c>
      <c r="E258" s="6" t="s">
        <v>1002</v>
      </c>
      <c r="F258" s="5" t="s">
        <v>1009</v>
      </c>
    </row>
    <row r="259" spans="1:6" x14ac:dyDescent="0.25">
      <c r="A259" s="6">
        <v>6</v>
      </c>
      <c r="B259" s="6">
        <v>14477</v>
      </c>
      <c r="C259" s="1" t="s">
        <v>722</v>
      </c>
      <c r="D259" s="1" t="s">
        <v>723</v>
      </c>
      <c r="E259" s="6" t="s">
        <v>1001</v>
      </c>
      <c r="F259" s="5" t="s">
        <v>1012</v>
      </c>
    </row>
    <row r="260" spans="1:6" x14ac:dyDescent="0.25">
      <c r="A260" s="6">
        <v>7</v>
      </c>
      <c r="B260" s="6">
        <v>14478</v>
      </c>
      <c r="C260" s="9" t="s">
        <v>725</v>
      </c>
      <c r="D260" s="2" t="s">
        <v>726</v>
      </c>
      <c r="E260" s="6" t="s">
        <v>1002</v>
      </c>
      <c r="F260" s="5" t="s">
        <v>1015</v>
      </c>
    </row>
    <row r="261" spans="1:6" x14ac:dyDescent="0.25">
      <c r="A261" s="6">
        <v>8</v>
      </c>
      <c r="B261" s="6">
        <v>14479</v>
      </c>
      <c r="C261" s="9" t="s">
        <v>727</v>
      </c>
      <c r="D261" s="2" t="s">
        <v>1060</v>
      </c>
      <c r="E261" s="6" t="s">
        <v>1002</v>
      </c>
      <c r="F261" s="5" t="s">
        <v>1015</v>
      </c>
    </row>
    <row r="262" spans="1:6" x14ac:dyDescent="0.25">
      <c r="A262" s="6">
        <v>9</v>
      </c>
      <c r="B262" s="6">
        <v>14480</v>
      </c>
      <c r="C262" s="1" t="s">
        <v>728</v>
      </c>
      <c r="D262" s="1" t="s">
        <v>729</v>
      </c>
      <c r="E262" s="6" t="s">
        <v>1001</v>
      </c>
      <c r="F262" s="5" t="s">
        <v>1013</v>
      </c>
    </row>
    <row r="263" spans="1:6" x14ac:dyDescent="0.25">
      <c r="A263" s="6">
        <v>10</v>
      </c>
      <c r="B263" s="6">
        <v>14481</v>
      </c>
      <c r="C263" s="1" t="s">
        <v>731</v>
      </c>
      <c r="D263" s="1" t="s">
        <v>732</v>
      </c>
      <c r="E263" s="6" t="s">
        <v>1002</v>
      </c>
      <c r="F263" s="5" t="s">
        <v>1011</v>
      </c>
    </row>
    <row r="264" spans="1:6" x14ac:dyDescent="0.25">
      <c r="A264" s="6">
        <v>11</v>
      </c>
      <c r="B264" s="6">
        <v>14482</v>
      </c>
      <c r="C264" s="9" t="s">
        <v>734</v>
      </c>
      <c r="D264" s="2" t="s">
        <v>735</v>
      </c>
      <c r="E264" s="6" t="s">
        <v>1002</v>
      </c>
      <c r="F264" s="5" t="s">
        <v>1014</v>
      </c>
    </row>
    <row r="265" spans="1:6" x14ac:dyDescent="0.25">
      <c r="A265" s="6">
        <v>12</v>
      </c>
      <c r="B265" s="6">
        <v>14483</v>
      </c>
      <c r="C265" s="1" t="s">
        <v>737</v>
      </c>
      <c r="D265" s="1" t="s">
        <v>738</v>
      </c>
      <c r="E265" s="6" t="s">
        <v>1002</v>
      </c>
      <c r="F265" s="5" t="s">
        <v>1011</v>
      </c>
    </row>
    <row r="266" spans="1:6" x14ac:dyDescent="0.25">
      <c r="A266" s="6">
        <v>13</v>
      </c>
      <c r="B266" s="6">
        <v>14484</v>
      </c>
      <c r="C266" s="1" t="s">
        <v>740</v>
      </c>
      <c r="D266" s="1" t="s">
        <v>741</v>
      </c>
      <c r="E266" s="6" t="s">
        <v>1002</v>
      </c>
      <c r="F266" s="5" t="s">
        <v>1012</v>
      </c>
    </row>
    <row r="267" spans="1:6" x14ac:dyDescent="0.25">
      <c r="A267" s="6">
        <v>14</v>
      </c>
      <c r="B267" s="6">
        <v>14485</v>
      </c>
      <c r="C267" s="1" t="s">
        <v>743</v>
      </c>
      <c r="D267" s="1" t="s">
        <v>744</v>
      </c>
      <c r="E267" s="6" t="s">
        <v>1002</v>
      </c>
      <c r="F267" s="5" t="s">
        <v>1013</v>
      </c>
    </row>
    <row r="268" spans="1:6" x14ac:dyDescent="0.25">
      <c r="A268" s="6">
        <v>15</v>
      </c>
      <c r="B268" s="6">
        <v>14486</v>
      </c>
      <c r="C268" s="1" t="s">
        <v>747</v>
      </c>
      <c r="D268" s="1" t="s">
        <v>748</v>
      </c>
      <c r="E268" s="6" t="s">
        <v>1001</v>
      </c>
      <c r="F268" s="5" t="s">
        <v>1012</v>
      </c>
    </row>
    <row r="269" spans="1:6" x14ac:dyDescent="0.25">
      <c r="A269" s="6">
        <v>16</v>
      </c>
      <c r="B269" s="6">
        <v>14487</v>
      </c>
      <c r="C269" s="9" t="s">
        <v>750</v>
      </c>
      <c r="D269" s="2" t="s">
        <v>1061</v>
      </c>
      <c r="E269" s="6" t="s">
        <v>1002</v>
      </c>
      <c r="F269" s="5" t="s">
        <v>1014</v>
      </c>
    </row>
    <row r="270" spans="1:6" x14ac:dyDescent="0.25">
      <c r="A270" s="6">
        <v>17</v>
      </c>
      <c r="B270" s="6">
        <v>14488</v>
      </c>
      <c r="C270" s="1" t="s">
        <v>752</v>
      </c>
      <c r="D270" s="1" t="s">
        <v>753</v>
      </c>
      <c r="E270" s="6" t="s">
        <v>1002</v>
      </c>
      <c r="F270" s="5" t="s">
        <v>1010</v>
      </c>
    </row>
    <row r="271" spans="1:6" x14ac:dyDescent="0.25">
      <c r="A271" s="6">
        <v>18</v>
      </c>
      <c r="B271" s="6">
        <v>14489</v>
      </c>
      <c r="C271" s="1" t="s">
        <v>755</v>
      </c>
      <c r="D271" s="1" t="s">
        <v>756</v>
      </c>
      <c r="E271" s="6" t="s">
        <v>1001</v>
      </c>
      <c r="F271" s="5" t="s">
        <v>1008</v>
      </c>
    </row>
    <row r="272" spans="1:6" x14ac:dyDescent="0.25">
      <c r="A272" s="6">
        <v>19</v>
      </c>
      <c r="B272" s="6">
        <v>14490</v>
      </c>
      <c r="C272" s="1" t="s">
        <v>758</v>
      </c>
      <c r="D272" s="1" t="s">
        <v>1062</v>
      </c>
      <c r="E272" s="6" t="s">
        <v>1001</v>
      </c>
      <c r="F272" s="5" t="s">
        <v>1013</v>
      </c>
    </row>
    <row r="273" spans="1:6" x14ac:dyDescent="0.25">
      <c r="A273" s="6">
        <v>20</v>
      </c>
      <c r="B273" s="6">
        <v>14491</v>
      </c>
      <c r="C273" s="1" t="s">
        <v>760</v>
      </c>
      <c r="D273" s="1" t="s">
        <v>761</v>
      </c>
      <c r="E273" s="6" t="s">
        <v>1001</v>
      </c>
      <c r="F273" s="5" t="s">
        <v>1008</v>
      </c>
    </row>
    <row r="274" spans="1:6" x14ac:dyDescent="0.25">
      <c r="A274" s="6">
        <v>21</v>
      </c>
      <c r="B274" s="6">
        <v>14492</v>
      </c>
      <c r="C274" s="1" t="s">
        <v>763</v>
      </c>
      <c r="D274" s="1" t="s">
        <v>764</v>
      </c>
      <c r="E274" s="6" t="s">
        <v>1001</v>
      </c>
      <c r="F274" s="5" t="s">
        <v>1008</v>
      </c>
    </row>
    <row r="275" spans="1:6" x14ac:dyDescent="0.25">
      <c r="A275" s="6">
        <v>22</v>
      </c>
      <c r="B275" s="6">
        <v>14493</v>
      </c>
      <c r="C275" s="9" t="s">
        <v>766</v>
      </c>
      <c r="D275" s="2" t="s">
        <v>767</v>
      </c>
      <c r="E275" s="6" t="s">
        <v>1001</v>
      </c>
      <c r="F275" s="5" t="s">
        <v>1014</v>
      </c>
    </row>
    <row r="276" spans="1:6" x14ac:dyDescent="0.25">
      <c r="A276" s="6">
        <v>23</v>
      </c>
      <c r="B276" s="6">
        <v>14494</v>
      </c>
      <c r="C276" s="1" t="s">
        <v>769</v>
      </c>
      <c r="D276" s="1" t="s">
        <v>770</v>
      </c>
      <c r="E276" s="6" t="s">
        <v>1001</v>
      </c>
      <c r="F276" s="5" t="s">
        <v>1009</v>
      </c>
    </row>
    <row r="277" spans="1:6" x14ac:dyDescent="0.25">
      <c r="A277" s="6">
        <v>24</v>
      </c>
      <c r="B277" s="6">
        <v>14495</v>
      </c>
      <c r="C277" s="1" t="s">
        <v>772</v>
      </c>
      <c r="D277" s="1" t="s">
        <v>773</v>
      </c>
      <c r="E277" s="6" t="s">
        <v>1002</v>
      </c>
      <c r="F277" s="5" t="s">
        <v>1006</v>
      </c>
    </row>
    <row r="278" spans="1:6" x14ac:dyDescent="0.25">
      <c r="A278" s="6">
        <v>25</v>
      </c>
      <c r="B278" s="6">
        <v>14496</v>
      </c>
      <c r="C278" s="1" t="s">
        <v>775</v>
      </c>
      <c r="D278" s="1" t="s">
        <v>776</v>
      </c>
      <c r="E278" s="6" t="s">
        <v>1002</v>
      </c>
      <c r="F278" s="5" t="s">
        <v>1010</v>
      </c>
    </row>
    <row r="279" spans="1:6" x14ac:dyDescent="0.25">
      <c r="A279" s="6">
        <v>26</v>
      </c>
      <c r="B279" s="6">
        <v>14497</v>
      </c>
      <c r="C279" s="1" t="s">
        <v>778</v>
      </c>
      <c r="D279" s="1" t="s">
        <v>779</v>
      </c>
      <c r="E279" s="6" t="s">
        <v>1002</v>
      </c>
      <c r="F279" s="5" t="s">
        <v>1006</v>
      </c>
    </row>
    <row r="280" spans="1:6" x14ac:dyDescent="0.25">
      <c r="A280" s="6">
        <v>27</v>
      </c>
      <c r="B280" s="6">
        <v>14498</v>
      </c>
      <c r="C280" s="1" t="s">
        <v>780</v>
      </c>
      <c r="D280" s="1" t="s">
        <v>781</v>
      </c>
      <c r="E280" s="6" t="s">
        <v>1002</v>
      </c>
      <c r="F280" s="5" t="s">
        <v>1009</v>
      </c>
    </row>
    <row r="281" spans="1:6" x14ac:dyDescent="0.25">
      <c r="A281" s="6">
        <v>28</v>
      </c>
      <c r="B281" s="6">
        <v>14499</v>
      </c>
      <c r="C281" s="1" t="s">
        <v>782</v>
      </c>
      <c r="D281" s="1" t="s">
        <v>783</v>
      </c>
      <c r="E281" s="6" t="s">
        <v>1002</v>
      </c>
      <c r="F281" s="5" t="s">
        <v>1008</v>
      </c>
    </row>
    <row r="282" spans="1:6" x14ac:dyDescent="0.25">
      <c r="A282" s="6">
        <v>29</v>
      </c>
      <c r="B282" s="6">
        <v>14500</v>
      </c>
      <c r="C282" s="9" t="s">
        <v>784</v>
      </c>
      <c r="D282" s="2" t="s">
        <v>785</v>
      </c>
      <c r="E282" s="6" t="s">
        <v>1001</v>
      </c>
      <c r="F282" s="5" t="s">
        <v>1015</v>
      </c>
    </row>
    <row r="283" spans="1:6" x14ac:dyDescent="0.25">
      <c r="A283" s="6">
        <v>30</v>
      </c>
      <c r="B283" s="6">
        <v>14501</v>
      </c>
      <c r="C283" s="9" t="s">
        <v>786</v>
      </c>
      <c r="D283" s="2" t="s">
        <v>787</v>
      </c>
      <c r="E283" s="6" t="s">
        <v>1001</v>
      </c>
      <c r="F283" s="5" t="s">
        <v>1015</v>
      </c>
    </row>
    <row r="284" spans="1:6" x14ac:dyDescent="0.25">
      <c r="A284" s="6">
        <v>31</v>
      </c>
      <c r="B284" s="6">
        <v>14502</v>
      </c>
      <c r="C284" s="1" t="s">
        <v>789</v>
      </c>
      <c r="D284" s="1" t="s">
        <v>790</v>
      </c>
      <c r="E284" s="6" t="s">
        <v>1002</v>
      </c>
      <c r="F284" s="5" t="s">
        <v>1011</v>
      </c>
    </row>
    <row r="285" spans="1:6" x14ac:dyDescent="0.25">
      <c r="A285" s="6">
        <v>32</v>
      </c>
      <c r="B285" s="6">
        <v>14503</v>
      </c>
      <c r="C285" s="1" t="s">
        <v>792</v>
      </c>
      <c r="D285" s="1" t="s">
        <v>793</v>
      </c>
      <c r="E285" s="6" t="s">
        <v>1001</v>
      </c>
      <c r="F285" s="5" t="s">
        <v>1010</v>
      </c>
    </row>
    <row r="286" spans="1:6" x14ac:dyDescent="0.25">
      <c r="A286" s="6">
        <v>33</v>
      </c>
      <c r="B286" s="6">
        <v>14504</v>
      </c>
      <c r="C286" s="9" t="s">
        <v>795</v>
      </c>
      <c r="D286" s="2" t="s">
        <v>796</v>
      </c>
      <c r="E286" s="6" t="s">
        <v>1001</v>
      </c>
      <c r="F286" s="5" t="s">
        <v>1015</v>
      </c>
    </row>
    <row r="287" spans="1:6" x14ac:dyDescent="0.25">
      <c r="A287" s="6">
        <v>34</v>
      </c>
      <c r="B287" s="6">
        <v>14505</v>
      </c>
      <c r="C287" s="1" t="s">
        <v>798</v>
      </c>
      <c r="D287" s="1" t="s">
        <v>799</v>
      </c>
      <c r="E287" s="26" t="s">
        <v>1002</v>
      </c>
      <c r="F287" s="5" t="s">
        <v>1010</v>
      </c>
    </row>
    <row r="288" spans="1:6" x14ac:dyDescent="0.25">
      <c r="A288" s="6">
        <v>1</v>
      </c>
      <c r="B288" s="6">
        <v>14506</v>
      </c>
      <c r="C288" s="1" t="s">
        <v>801</v>
      </c>
      <c r="D288" s="1" t="s">
        <v>802</v>
      </c>
      <c r="E288" s="6" t="s">
        <v>1002</v>
      </c>
      <c r="F288" s="5" t="s">
        <v>1012</v>
      </c>
    </row>
    <row r="289" spans="1:6" x14ac:dyDescent="0.25">
      <c r="A289" s="6">
        <v>2</v>
      </c>
      <c r="B289" s="6">
        <v>14507</v>
      </c>
      <c r="C289" s="1" t="s">
        <v>804</v>
      </c>
      <c r="D289" s="1" t="s">
        <v>805</v>
      </c>
      <c r="E289" s="6" t="s">
        <v>1002</v>
      </c>
      <c r="F289" s="5" t="s">
        <v>1008</v>
      </c>
    </row>
    <row r="290" spans="1:6" x14ac:dyDescent="0.25">
      <c r="A290" s="6">
        <v>3</v>
      </c>
      <c r="B290" s="6">
        <v>14508</v>
      </c>
      <c r="C290" s="1" t="s">
        <v>807</v>
      </c>
      <c r="D290" s="1" t="s">
        <v>808</v>
      </c>
      <c r="E290" s="6" t="s">
        <v>1001</v>
      </c>
      <c r="F290" s="5" t="s">
        <v>1009</v>
      </c>
    </row>
    <row r="291" spans="1:6" x14ac:dyDescent="0.25">
      <c r="A291" s="6">
        <v>4</v>
      </c>
      <c r="B291" s="6">
        <v>14509</v>
      </c>
      <c r="C291" s="1" t="s">
        <v>810</v>
      </c>
      <c r="D291" s="1" t="s">
        <v>811</v>
      </c>
      <c r="E291" s="6" t="s">
        <v>1001</v>
      </c>
      <c r="F291" s="5" t="s">
        <v>1011</v>
      </c>
    </row>
    <row r="292" spans="1:6" x14ac:dyDescent="0.25">
      <c r="A292" s="6">
        <v>5</v>
      </c>
      <c r="B292" s="6">
        <v>14510</v>
      </c>
      <c r="C292" s="9" t="s">
        <v>813</v>
      </c>
      <c r="D292" s="2" t="s">
        <v>814</v>
      </c>
      <c r="E292" s="6" t="s">
        <v>1001</v>
      </c>
      <c r="F292" s="5" t="s">
        <v>1014</v>
      </c>
    </row>
    <row r="293" spans="1:6" x14ac:dyDescent="0.25">
      <c r="A293" s="6">
        <v>6</v>
      </c>
      <c r="B293" s="6">
        <v>14511</v>
      </c>
      <c r="C293" s="1" t="s">
        <v>815</v>
      </c>
      <c r="D293" s="1" t="s">
        <v>816</v>
      </c>
      <c r="E293" s="6" t="s">
        <v>1001</v>
      </c>
      <c r="F293" s="5" t="s">
        <v>1010</v>
      </c>
    </row>
    <row r="294" spans="1:6" x14ac:dyDescent="0.25">
      <c r="A294" s="6">
        <v>7</v>
      </c>
      <c r="B294" s="6">
        <v>14512</v>
      </c>
      <c r="C294" s="1" t="s">
        <v>818</v>
      </c>
      <c r="D294" s="1" t="s">
        <v>819</v>
      </c>
      <c r="E294" s="6" t="s">
        <v>1002</v>
      </c>
      <c r="F294" s="5" t="s">
        <v>1013</v>
      </c>
    </row>
    <row r="295" spans="1:6" x14ac:dyDescent="0.25">
      <c r="A295" s="6">
        <v>8</v>
      </c>
      <c r="B295" s="6">
        <v>14513</v>
      </c>
      <c r="C295" s="9" t="s">
        <v>821</v>
      </c>
      <c r="D295" s="2" t="s">
        <v>822</v>
      </c>
      <c r="E295" s="6" t="s">
        <v>1002</v>
      </c>
      <c r="F295" s="5" t="s">
        <v>1014</v>
      </c>
    </row>
    <row r="296" spans="1:6" x14ac:dyDescent="0.25">
      <c r="A296" s="6">
        <v>9</v>
      </c>
      <c r="B296" s="6">
        <v>14514</v>
      </c>
      <c r="C296" s="9" t="s">
        <v>824</v>
      </c>
      <c r="D296" s="2" t="s">
        <v>825</v>
      </c>
      <c r="E296" s="6" t="s">
        <v>1002</v>
      </c>
      <c r="F296" s="5" t="s">
        <v>1007</v>
      </c>
    </row>
    <row r="297" spans="1:6" x14ac:dyDescent="0.25">
      <c r="A297" s="6">
        <v>10</v>
      </c>
      <c r="B297" s="6">
        <v>14515</v>
      </c>
      <c r="C297" s="9" t="s">
        <v>826</v>
      </c>
      <c r="D297" s="2" t="s">
        <v>827</v>
      </c>
      <c r="E297" s="6" t="s">
        <v>1002</v>
      </c>
      <c r="F297" s="5" t="s">
        <v>1012</v>
      </c>
    </row>
    <row r="298" spans="1:6" x14ac:dyDescent="0.25">
      <c r="A298" s="6">
        <v>11</v>
      </c>
      <c r="B298" s="6">
        <v>14516</v>
      </c>
      <c r="C298" s="1" t="s">
        <v>828</v>
      </c>
      <c r="D298" s="1" t="s">
        <v>829</v>
      </c>
      <c r="E298" s="6" t="s">
        <v>1001</v>
      </c>
      <c r="F298" s="5" t="s">
        <v>1011</v>
      </c>
    </row>
    <row r="299" spans="1:6" x14ac:dyDescent="0.25">
      <c r="A299" s="6">
        <v>12</v>
      </c>
      <c r="B299" s="6">
        <v>14517</v>
      </c>
      <c r="C299" s="9" t="s">
        <v>831</v>
      </c>
      <c r="D299" s="2" t="s">
        <v>832</v>
      </c>
      <c r="E299" s="6" t="s">
        <v>1002</v>
      </c>
      <c r="F299" s="5" t="s">
        <v>1015</v>
      </c>
    </row>
    <row r="300" spans="1:6" x14ac:dyDescent="0.25">
      <c r="A300" s="6">
        <v>13</v>
      </c>
      <c r="B300" s="6">
        <v>14518</v>
      </c>
      <c r="C300" s="1" t="s">
        <v>834</v>
      </c>
      <c r="D300" s="1" t="s">
        <v>835</v>
      </c>
      <c r="E300" s="6" t="s">
        <v>1001</v>
      </c>
      <c r="F300" s="5" t="s">
        <v>1012</v>
      </c>
    </row>
    <row r="301" spans="1:6" x14ac:dyDescent="0.25">
      <c r="A301" s="6">
        <v>14</v>
      </c>
      <c r="B301" s="6">
        <v>14519</v>
      </c>
      <c r="C301" s="1" t="s">
        <v>837</v>
      </c>
      <c r="D301" s="1" t="s">
        <v>838</v>
      </c>
      <c r="E301" s="6" t="s">
        <v>1001</v>
      </c>
      <c r="F301" s="5" t="s">
        <v>1008</v>
      </c>
    </row>
    <row r="302" spans="1:6" x14ac:dyDescent="0.25">
      <c r="A302" s="6">
        <v>15</v>
      </c>
      <c r="B302" s="6">
        <v>14520</v>
      </c>
      <c r="C302" s="9" t="s">
        <v>840</v>
      </c>
      <c r="D302" s="2" t="s">
        <v>841</v>
      </c>
      <c r="E302" s="6" t="s">
        <v>1001</v>
      </c>
      <c r="F302" s="5" t="s">
        <v>1015</v>
      </c>
    </row>
    <row r="303" spans="1:6" x14ac:dyDescent="0.25">
      <c r="A303" s="6">
        <v>16</v>
      </c>
      <c r="B303" s="6">
        <v>14521</v>
      </c>
      <c r="C303" s="1" t="s">
        <v>843</v>
      </c>
      <c r="D303" s="1" t="s">
        <v>1063</v>
      </c>
      <c r="E303" s="6" t="s">
        <v>1002</v>
      </c>
      <c r="F303" s="5" t="s">
        <v>1012</v>
      </c>
    </row>
    <row r="304" spans="1:6" x14ac:dyDescent="0.25">
      <c r="A304" s="6">
        <v>17</v>
      </c>
      <c r="B304" s="6">
        <v>14522</v>
      </c>
      <c r="C304" s="1" t="s">
        <v>845</v>
      </c>
      <c r="D304" s="1" t="s">
        <v>846</v>
      </c>
      <c r="E304" s="6" t="s">
        <v>1002</v>
      </c>
      <c r="F304" s="5" t="s">
        <v>1006</v>
      </c>
    </row>
    <row r="305" spans="1:6" x14ac:dyDescent="0.25">
      <c r="A305" s="6">
        <v>18</v>
      </c>
      <c r="B305" s="6">
        <v>14523</v>
      </c>
      <c r="C305" s="9" t="s">
        <v>848</v>
      </c>
      <c r="D305" s="2" t="s">
        <v>849</v>
      </c>
      <c r="E305" s="6" t="s">
        <v>1002</v>
      </c>
      <c r="F305" s="5" t="s">
        <v>1014</v>
      </c>
    </row>
    <row r="306" spans="1:6" x14ac:dyDescent="0.25">
      <c r="A306" s="6">
        <v>19</v>
      </c>
      <c r="B306" s="6">
        <v>14524</v>
      </c>
      <c r="C306" s="1" t="s">
        <v>851</v>
      </c>
      <c r="D306" s="1" t="s">
        <v>852</v>
      </c>
      <c r="E306" s="6" t="s">
        <v>1002</v>
      </c>
      <c r="F306" s="5" t="s">
        <v>1008</v>
      </c>
    </row>
    <row r="307" spans="1:6" x14ac:dyDescent="0.25">
      <c r="A307" s="6">
        <v>20</v>
      </c>
      <c r="B307" s="6">
        <v>14525</v>
      </c>
      <c r="C307" s="9" t="s">
        <v>853</v>
      </c>
      <c r="D307" s="2" t="s">
        <v>854</v>
      </c>
      <c r="E307" s="6" t="s">
        <v>1002</v>
      </c>
      <c r="F307" s="5" t="s">
        <v>1015</v>
      </c>
    </row>
    <row r="308" spans="1:6" x14ac:dyDescent="0.25">
      <c r="A308" s="6">
        <v>21</v>
      </c>
      <c r="B308" s="6">
        <v>14526</v>
      </c>
      <c r="C308" s="1" t="s">
        <v>855</v>
      </c>
      <c r="D308" s="1" t="s">
        <v>856</v>
      </c>
      <c r="E308" s="6" t="s">
        <v>1002</v>
      </c>
      <c r="F308" s="5" t="s">
        <v>1013</v>
      </c>
    </row>
    <row r="309" spans="1:6" x14ac:dyDescent="0.25">
      <c r="A309" s="6">
        <v>22</v>
      </c>
      <c r="B309" s="6">
        <v>14527</v>
      </c>
      <c r="C309" s="1" t="s">
        <v>858</v>
      </c>
      <c r="D309" s="1" t="s">
        <v>859</v>
      </c>
      <c r="E309" s="6" t="s">
        <v>1001</v>
      </c>
      <c r="F309" s="5" t="s">
        <v>1009</v>
      </c>
    </row>
    <row r="310" spans="1:6" x14ac:dyDescent="0.25">
      <c r="A310" s="6">
        <v>23</v>
      </c>
      <c r="B310" s="6">
        <v>14528</v>
      </c>
      <c r="C310" s="1" t="s">
        <v>861</v>
      </c>
      <c r="D310" s="1" t="s">
        <v>862</v>
      </c>
      <c r="E310" s="6" t="s">
        <v>1002</v>
      </c>
      <c r="F310" s="5" t="s">
        <v>1009</v>
      </c>
    </row>
    <row r="311" spans="1:6" x14ac:dyDescent="0.25">
      <c r="A311" s="6">
        <v>24</v>
      </c>
      <c r="B311" s="6">
        <v>14529</v>
      </c>
      <c r="C311" s="1" t="s">
        <v>864</v>
      </c>
      <c r="D311" s="1" t="s">
        <v>1064</v>
      </c>
      <c r="E311" s="6" t="s">
        <v>1001</v>
      </c>
      <c r="F311" s="5" t="s">
        <v>1009</v>
      </c>
    </row>
    <row r="312" spans="1:6" x14ac:dyDescent="0.25">
      <c r="A312" s="6">
        <v>25</v>
      </c>
      <c r="B312" s="6">
        <v>14530</v>
      </c>
      <c r="C312" s="1" t="s">
        <v>866</v>
      </c>
      <c r="D312" s="1" t="s">
        <v>867</v>
      </c>
      <c r="E312" s="6" t="s">
        <v>1002</v>
      </c>
      <c r="F312" s="5" t="s">
        <v>1008</v>
      </c>
    </row>
    <row r="313" spans="1:6" x14ac:dyDescent="0.25">
      <c r="A313" s="6">
        <v>26</v>
      </c>
      <c r="B313" s="6">
        <v>14531</v>
      </c>
      <c r="C313" s="1" t="s">
        <v>869</v>
      </c>
      <c r="D313" s="21" t="s">
        <v>870</v>
      </c>
      <c r="E313" s="6" t="s">
        <v>1001</v>
      </c>
      <c r="F313" s="5" t="s">
        <v>1011</v>
      </c>
    </row>
    <row r="314" spans="1:6" x14ac:dyDescent="0.25">
      <c r="A314" s="6">
        <v>27</v>
      </c>
      <c r="B314" s="6">
        <v>14532</v>
      </c>
      <c r="C314" s="9" t="s">
        <v>872</v>
      </c>
      <c r="D314" s="2" t="s">
        <v>873</v>
      </c>
      <c r="E314" s="6" t="s">
        <v>1002</v>
      </c>
      <c r="F314" s="5" t="s">
        <v>1014</v>
      </c>
    </row>
    <row r="315" spans="1:6" x14ac:dyDescent="0.25">
      <c r="A315" s="6">
        <v>28</v>
      </c>
      <c r="B315" s="6">
        <v>14533</v>
      </c>
      <c r="C315" s="1" t="s">
        <v>875</v>
      </c>
      <c r="D315" s="1" t="s">
        <v>876</v>
      </c>
      <c r="E315" s="6" t="s">
        <v>1002</v>
      </c>
      <c r="F315" s="5" t="s">
        <v>1011</v>
      </c>
    </row>
    <row r="316" spans="1:6" x14ac:dyDescent="0.25">
      <c r="A316" s="6">
        <v>29</v>
      </c>
      <c r="B316" s="6">
        <v>14534</v>
      </c>
      <c r="C316" s="1" t="s">
        <v>878</v>
      </c>
      <c r="D316" s="1" t="s">
        <v>879</v>
      </c>
      <c r="E316" s="6" t="s">
        <v>1001</v>
      </c>
      <c r="F316" s="5" t="s">
        <v>1008</v>
      </c>
    </row>
    <row r="317" spans="1:6" x14ac:dyDescent="0.25">
      <c r="A317" s="6">
        <v>30</v>
      </c>
      <c r="B317" s="6">
        <v>14535</v>
      </c>
      <c r="C317" s="1" t="s">
        <v>881</v>
      </c>
      <c r="D317" s="1" t="s">
        <v>882</v>
      </c>
      <c r="E317" s="6" t="s">
        <v>1002</v>
      </c>
      <c r="F317" s="5" t="s">
        <v>1009</v>
      </c>
    </row>
    <row r="318" spans="1:6" x14ac:dyDescent="0.25">
      <c r="A318" s="6">
        <v>31</v>
      </c>
      <c r="B318" s="6">
        <v>14536</v>
      </c>
      <c r="C318" s="1" t="s">
        <v>884</v>
      </c>
      <c r="D318" s="1" t="s">
        <v>885</v>
      </c>
      <c r="E318" s="6" t="s">
        <v>1002</v>
      </c>
      <c r="F318" s="5" t="s">
        <v>1010</v>
      </c>
    </row>
    <row r="319" spans="1:6" x14ac:dyDescent="0.25">
      <c r="A319" s="6">
        <v>32</v>
      </c>
      <c r="B319" s="6">
        <v>14537</v>
      </c>
      <c r="C319" s="1" t="s">
        <v>886</v>
      </c>
      <c r="D319" s="1" t="s">
        <v>887</v>
      </c>
      <c r="E319" s="6" t="s">
        <v>1002</v>
      </c>
      <c r="F319" s="5" t="s">
        <v>1009</v>
      </c>
    </row>
    <row r="320" spans="1:6" x14ac:dyDescent="0.25">
      <c r="A320" s="6">
        <v>33</v>
      </c>
      <c r="B320" s="6">
        <v>14538</v>
      </c>
      <c r="C320" s="1" t="s">
        <v>888</v>
      </c>
      <c r="D320" s="1" t="s">
        <v>1065</v>
      </c>
      <c r="E320" s="6" t="s">
        <v>1002</v>
      </c>
      <c r="F320" s="5" t="s">
        <v>1006</v>
      </c>
    </row>
    <row r="321" spans="1:6" x14ac:dyDescent="0.25">
      <c r="A321" s="6">
        <v>34</v>
      </c>
      <c r="B321" s="6">
        <v>14539</v>
      </c>
      <c r="C321" s="1" t="s">
        <v>889</v>
      </c>
      <c r="D321" s="1" t="s">
        <v>890</v>
      </c>
      <c r="E321" s="6" t="s">
        <v>1002</v>
      </c>
      <c r="F321" s="5" t="s">
        <v>1013</v>
      </c>
    </row>
    <row r="322" spans="1:6" x14ac:dyDescent="0.25">
      <c r="A322" s="6">
        <v>35</v>
      </c>
      <c r="B322" s="6">
        <v>14540</v>
      </c>
      <c r="C322" s="1" t="s">
        <v>892</v>
      </c>
      <c r="D322" s="1" t="s">
        <v>893</v>
      </c>
      <c r="E322" s="6" t="s">
        <v>1002</v>
      </c>
      <c r="F322" s="5" t="s">
        <v>1009</v>
      </c>
    </row>
    <row r="323" spans="1:6" x14ac:dyDescent="0.25">
      <c r="A323" s="6">
        <v>36</v>
      </c>
      <c r="B323" s="6">
        <v>14541</v>
      </c>
      <c r="C323" s="9" t="s">
        <v>895</v>
      </c>
      <c r="D323" s="2" t="s">
        <v>896</v>
      </c>
      <c r="E323" s="6" t="s">
        <v>1001</v>
      </c>
      <c r="F323" s="5" t="s">
        <v>1007</v>
      </c>
    </row>
    <row r="324" spans="1:6" x14ac:dyDescent="0.25">
      <c r="A324" s="6">
        <v>1</v>
      </c>
      <c r="B324" s="6">
        <v>14542</v>
      </c>
      <c r="C324" s="1" t="s">
        <v>898</v>
      </c>
      <c r="D324" s="1" t="s">
        <v>899</v>
      </c>
      <c r="E324" s="6" t="s">
        <v>1002</v>
      </c>
      <c r="F324" s="5" t="s">
        <v>1010</v>
      </c>
    </row>
    <row r="325" spans="1:6" x14ac:dyDescent="0.25">
      <c r="A325" s="6">
        <v>2</v>
      </c>
      <c r="B325" s="6">
        <v>14543</v>
      </c>
      <c r="C325" s="1" t="s">
        <v>901</v>
      </c>
      <c r="D325" s="1" t="s">
        <v>902</v>
      </c>
      <c r="E325" s="6" t="s">
        <v>1002</v>
      </c>
      <c r="F325" s="5" t="s">
        <v>1010</v>
      </c>
    </row>
    <row r="326" spans="1:6" x14ac:dyDescent="0.25">
      <c r="A326" s="6">
        <v>3</v>
      </c>
      <c r="B326" s="6">
        <v>14544</v>
      </c>
      <c r="C326" s="1" t="s">
        <v>904</v>
      </c>
      <c r="D326" s="1" t="s">
        <v>905</v>
      </c>
      <c r="E326" s="6" t="s">
        <v>1002</v>
      </c>
      <c r="F326" s="5" t="s">
        <v>1006</v>
      </c>
    </row>
    <row r="327" spans="1:6" x14ac:dyDescent="0.25">
      <c r="A327" s="6">
        <v>4</v>
      </c>
      <c r="B327" s="6">
        <v>14545</v>
      </c>
      <c r="C327" s="1" t="s">
        <v>907</v>
      </c>
      <c r="D327" s="1" t="s">
        <v>1066</v>
      </c>
      <c r="E327" s="6" t="s">
        <v>1002</v>
      </c>
      <c r="F327" s="5" t="s">
        <v>1011</v>
      </c>
    </row>
    <row r="328" spans="1:6" x14ac:dyDescent="0.25">
      <c r="A328" s="6">
        <v>5</v>
      </c>
      <c r="B328" s="6">
        <v>14546</v>
      </c>
      <c r="C328" s="1" t="s">
        <v>909</v>
      </c>
      <c r="D328" s="1" t="s">
        <v>910</v>
      </c>
      <c r="E328" s="6" t="s">
        <v>1002</v>
      </c>
      <c r="F328" s="5" t="s">
        <v>1011</v>
      </c>
    </row>
    <row r="329" spans="1:6" x14ac:dyDescent="0.25">
      <c r="A329" s="6">
        <v>6</v>
      </c>
      <c r="B329" s="6">
        <v>14547</v>
      </c>
      <c r="C329" s="1" t="s">
        <v>912</v>
      </c>
      <c r="D329" s="1" t="s">
        <v>1067</v>
      </c>
      <c r="E329" s="6" t="s">
        <v>1002</v>
      </c>
      <c r="F329" s="5" t="s">
        <v>1008</v>
      </c>
    </row>
    <row r="330" spans="1:6" x14ac:dyDescent="0.25">
      <c r="A330" s="6">
        <v>7</v>
      </c>
      <c r="B330" s="6">
        <v>14548</v>
      </c>
      <c r="C330" s="1" t="s">
        <v>914</v>
      </c>
      <c r="D330" s="1" t="s">
        <v>915</v>
      </c>
      <c r="E330" s="6" t="s">
        <v>1002</v>
      </c>
      <c r="F330" s="5" t="s">
        <v>1012</v>
      </c>
    </row>
    <row r="331" spans="1:6" x14ac:dyDescent="0.25">
      <c r="A331" s="6">
        <v>8</v>
      </c>
      <c r="B331" s="6">
        <v>14549</v>
      </c>
      <c r="C331" s="9" t="s">
        <v>917</v>
      </c>
      <c r="D331" s="2" t="s">
        <v>918</v>
      </c>
      <c r="E331" s="6" t="s">
        <v>1002</v>
      </c>
      <c r="F331" s="5" t="s">
        <v>1007</v>
      </c>
    </row>
    <row r="332" spans="1:6" x14ac:dyDescent="0.25">
      <c r="A332" s="6">
        <v>9</v>
      </c>
      <c r="B332" s="6">
        <v>14550</v>
      </c>
      <c r="C332" s="9" t="s">
        <v>920</v>
      </c>
      <c r="D332" s="2" t="s">
        <v>1068</v>
      </c>
      <c r="E332" s="6" t="s">
        <v>1002</v>
      </c>
      <c r="F332" s="5" t="s">
        <v>1015</v>
      </c>
    </row>
    <row r="333" spans="1:6" x14ac:dyDescent="0.25">
      <c r="A333" s="6">
        <v>10</v>
      </c>
      <c r="B333" s="6">
        <v>14551</v>
      </c>
      <c r="C333" s="1" t="s">
        <v>922</v>
      </c>
      <c r="D333" s="1" t="s">
        <v>923</v>
      </c>
      <c r="E333" s="6" t="s">
        <v>1001</v>
      </c>
      <c r="F333" s="5" t="s">
        <v>1008</v>
      </c>
    </row>
    <row r="334" spans="1:6" x14ac:dyDescent="0.25">
      <c r="A334" s="6">
        <v>11</v>
      </c>
      <c r="B334" s="6">
        <v>14552</v>
      </c>
      <c r="C334" s="1" t="s">
        <v>925</v>
      </c>
      <c r="D334" s="1" t="s">
        <v>1069</v>
      </c>
      <c r="E334" s="6" t="s">
        <v>1002</v>
      </c>
      <c r="F334" s="5" t="s">
        <v>1008</v>
      </c>
    </row>
    <row r="335" spans="1:6" x14ac:dyDescent="0.25">
      <c r="A335" s="6">
        <v>12</v>
      </c>
      <c r="B335" s="6">
        <v>14553</v>
      </c>
      <c r="C335" s="1" t="s">
        <v>926</v>
      </c>
      <c r="D335" s="1" t="s">
        <v>927</v>
      </c>
      <c r="E335" s="6" t="s">
        <v>1001</v>
      </c>
      <c r="F335" s="5" t="s">
        <v>1011</v>
      </c>
    </row>
    <row r="336" spans="1:6" x14ac:dyDescent="0.25">
      <c r="A336" s="6">
        <v>13</v>
      </c>
      <c r="B336" s="6">
        <v>14554</v>
      </c>
      <c r="C336" s="1" t="s">
        <v>929</v>
      </c>
      <c r="D336" s="1" t="s">
        <v>930</v>
      </c>
      <c r="E336" s="6" t="s">
        <v>1002</v>
      </c>
      <c r="F336" s="5" t="s">
        <v>1006</v>
      </c>
    </row>
    <row r="337" spans="1:6" x14ac:dyDescent="0.25">
      <c r="A337" s="6">
        <v>14</v>
      </c>
      <c r="B337" s="6">
        <v>14555</v>
      </c>
      <c r="C337" s="9" t="s">
        <v>932</v>
      </c>
      <c r="D337" s="2" t="s">
        <v>933</v>
      </c>
      <c r="E337" s="6" t="s">
        <v>1002</v>
      </c>
      <c r="F337" s="5" t="s">
        <v>1007</v>
      </c>
    </row>
    <row r="338" spans="1:6" x14ac:dyDescent="0.25">
      <c r="A338" s="6">
        <v>15</v>
      </c>
      <c r="B338" s="6">
        <v>14556</v>
      </c>
      <c r="C338" s="1" t="s">
        <v>935</v>
      </c>
      <c r="D338" s="1" t="s">
        <v>936</v>
      </c>
      <c r="E338" s="6" t="s">
        <v>1001</v>
      </c>
      <c r="F338" s="5" t="s">
        <v>1006</v>
      </c>
    </row>
    <row r="339" spans="1:6" x14ac:dyDescent="0.25">
      <c r="A339" s="6">
        <v>16</v>
      </c>
      <c r="B339" s="6">
        <v>14557</v>
      </c>
      <c r="C339" s="9" t="s">
        <v>937</v>
      </c>
      <c r="D339" s="2" t="s">
        <v>938</v>
      </c>
      <c r="E339" s="6" t="s">
        <v>1002</v>
      </c>
      <c r="F339" s="5" t="s">
        <v>1007</v>
      </c>
    </row>
    <row r="340" spans="1:6" x14ac:dyDescent="0.25">
      <c r="A340" s="6">
        <v>17</v>
      </c>
      <c r="B340" s="6">
        <v>14558</v>
      </c>
      <c r="C340" s="1" t="s">
        <v>940</v>
      </c>
      <c r="D340" s="1" t="s">
        <v>941</v>
      </c>
      <c r="E340" s="6" t="s">
        <v>1001</v>
      </c>
      <c r="F340" s="5" t="s">
        <v>1008</v>
      </c>
    </row>
    <row r="341" spans="1:6" x14ac:dyDescent="0.25">
      <c r="A341" s="6">
        <v>18</v>
      </c>
      <c r="B341" s="6">
        <v>14559</v>
      </c>
      <c r="C341" s="9" t="s">
        <v>943</v>
      </c>
      <c r="D341" s="2" t="s">
        <v>1070</v>
      </c>
      <c r="E341" s="6" t="s">
        <v>1002</v>
      </c>
      <c r="F341" s="5" t="s">
        <v>1007</v>
      </c>
    </row>
    <row r="342" spans="1:6" x14ac:dyDescent="0.25">
      <c r="A342" s="6">
        <v>19</v>
      </c>
      <c r="B342" s="6">
        <v>14560</v>
      </c>
      <c r="C342" s="9" t="s">
        <v>944</v>
      </c>
      <c r="D342" s="2" t="s">
        <v>945</v>
      </c>
      <c r="E342" s="6" t="s">
        <v>1002</v>
      </c>
      <c r="F342" s="5" t="s">
        <v>1007</v>
      </c>
    </row>
    <row r="343" spans="1:6" x14ac:dyDescent="0.25">
      <c r="A343" s="6">
        <v>20</v>
      </c>
      <c r="B343" s="6">
        <v>14561</v>
      </c>
      <c r="C343" s="9" t="s">
        <v>947</v>
      </c>
      <c r="D343" s="2" t="s">
        <v>948</v>
      </c>
      <c r="E343" s="6" t="s">
        <v>1002</v>
      </c>
      <c r="F343" s="5" t="s">
        <v>1015</v>
      </c>
    </row>
    <row r="344" spans="1:6" x14ac:dyDescent="0.25">
      <c r="A344" s="6">
        <v>21</v>
      </c>
      <c r="B344" s="6">
        <v>14562</v>
      </c>
      <c r="C344" s="1" t="s">
        <v>949</v>
      </c>
      <c r="D344" s="1" t="s">
        <v>950</v>
      </c>
      <c r="E344" s="6" t="s">
        <v>1001</v>
      </c>
      <c r="F344" s="5" t="s">
        <v>1009</v>
      </c>
    </row>
    <row r="345" spans="1:6" x14ac:dyDescent="0.25">
      <c r="A345" s="6">
        <v>22</v>
      </c>
      <c r="B345" s="6">
        <v>14563</v>
      </c>
      <c r="C345" s="9" t="s">
        <v>951</v>
      </c>
      <c r="D345" s="2" t="s">
        <v>952</v>
      </c>
      <c r="E345" s="6" t="s">
        <v>1002</v>
      </c>
      <c r="F345" s="5" t="s">
        <v>1007</v>
      </c>
    </row>
    <row r="346" spans="1:6" x14ac:dyDescent="0.25">
      <c r="A346" s="6">
        <v>23</v>
      </c>
      <c r="B346" s="6">
        <v>14564</v>
      </c>
      <c r="C346" s="1" t="s">
        <v>954</v>
      </c>
      <c r="D346" s="1" t="s">
        <v>955</v>
      </c>
      <c r="E346" s="6" t="s">
        <v>1001</v>
      </c>
      <c r="F346" s="5" t="s">
        <v>1011</v>
      </c>
    </row>
    <row r="347" spans="1:6" x14ac:dyDescent="0.25">
      <c r="A347" s="6">
        <v>24</v>
      </c>
      <c r="B347" s="6">
        <v>14565</v>
      </c>
      <c r="C347" s="9" t="s">
        <v>957</v>
      </c>
      <c r="D347" s="2" t="s">
        <v>958</v>
      </c>
      <c r="E347" s="6" t="s">
        <v>1002</v>
      </c>
      <c r="F347" s="5" t="s">
        <v>1015</v>
      </c>
    </row>
    <row r="348" spans="1:6" x14ac:dyDescent="0.25">
      <c r="A348" s="6">
        <v>25</v>
      </c>
      <c r="B348" s="6">
        <v>14566</v>
      </c>
      <c r="C348" s="9" t="s">
        <v>959</v>
      </c>
      <c r="D348" s="2" t="s">
        <v>960</v>
      </c>
      <c r="E348" s="6" t="s">
        <v>1002</v>
      </c>
      <c r="F348" s="5" t="s">
        <v>1014</v>
      </c>
    </row>
    <row r="349" spans="1:6" x14ac:dyDescent="0.25">
      <c r="A349" s="6">
        <v>26</v>
      </c>
      <c r="B349" s="6">
        <v>14567</v>
      </c>
      <c r="C349" s="9" t="s">
        <v>962</v>
      </c>
      <c r="D349" s="2" t="s">
        <v>963</v>
      </c>
      <c r="E349" s="6" t="s">
        <v>1002</v>
      </c>
      <c r="F349" s="5" t="s">
        <v>1015</v>
      </c>
    </row>
    <row r="350" spans="1:6" x14ac:dyDescent="0.25">
      <c r="A350" s="6">
        <v>27</v>
      </c>
      <c r="B350" s="6">
        <v>14568</v>
      </c>
      <c r="C350" s="1" t="s">
        <v>964</v>
      </c>
      <c r="D350" s="1" t="s">
        <v>965</v>
      </c>
      <c r="E350" s="6" t="s">
        <v>1002</v>
      </c>
      <c r="F350" s="5" t="s">
        <v>1011</v>
      </c>
    </row>
    <row r="351" spans="1:6" x14ac:dyDescent="0.25">
      <c r="A351" s="6">
        <v>28</v>
      </c>
      <c r="B351" s="6">
        <v>14569</v>
      </c>
      <c r="C351" s="1" t="s">
        <v>967</v>
      </c>
      <c r="D351" s="1" t="s">
        <v>968</v>
      </c>
      <c r="E351" s="6" t="s">
        <v>1002</v>
      </c>
      <c r="F351" s="5" t="s">
        <v>1006</v>
      </c>
    </row>
    <row r="352" spans="1:6" x14ac:dyDescent="0.25">
      <c r="A352" s="6">
        <v>29</v>
      </c>
      <c r="B352" s="6">
        <v>14570</v>
      </c>
      <c r="C352" s="1" t="s">
        <v>970</v>
      </c>
      <c r="D352" s="1" t="s">
        <v>971</v>
      </c>
      <c r="E352" s="6" t="s">
        <v>1002</v>
      </c>
      <c r="F352" s="5" t="s">
        <v>1012</v>
      </c>
    </row>
    <row r="353" spans="1:6" x14ac:dyDescent="0.25">
      <c r="A353" s="6">
        <v>30</v>
      </c>
      <c r="B353" s="6">
        <v>14571</v>
      </c>
      <c r="C353" s="9" t="s">
        <v>972</v>
      </c>
      <c r="D353" s="2" t="s">
        <v>973</v>
      </c>
      <c r="E353" s="6" t="s">
        <v>1001</v>
      </c>
      <c r="F353" s="5" t="s">
        <v>1014</v>
      </c>
    </row>
    <row r="354" spans="1:6" x14ac:dyDescent="0.25">
      <c r="A354" s="6">
        <v>31</v>
      </c>
      <c r="B354" s="6">
        <v>14572</v>
      </c>
      <c r="C354" s="9" t="s">
        <v>975</v>
      </c>
      <c r="D354" s="2" t="s">
        <v>976</v>
      </c>
      <c r="E354" s="6" t="s">
        <v>1001</v>
      </c>
      <c r="F354" s="5" t="s">
        <v>1014</v>
      </c>
    </row>
    <row r="355" spans="1:6" x14ac:dyDescent="0.25">
      <c r="A355" s="6">
        <v>32</v>
      </c>
      <c r="B355" s="6">
        <v>14573</v>
      </c>
      <c r="C355" s="1" t="s">
        <v>978</v>
      </c>
      <c r="D355" s="1" t="s">
        <v>979</v>
      </c>
      <c r="E355" s="6" t="s">
        <v>1002</v>
      </c>
      <c r="F355" s="5" t="s">
        <v>1015</v>
      </c>
    </row>
    <row r="356" spans="1:6" x14ac:dyDescent="0.25">
      <c r="A356" s="6">
        <v>33</v>
      </c>
      <c r="B356" s="6">
        <v>14574</v>
      </c>
      <c r="C356" s="1" t="s">
        <v>980</v>
      </c>
      <c r="D356" s="1" t="s">
        <v>981</v>
      </c>
      <c r="E356" s="6" t="s">
        <v>1002</v>
      </c>
      <c r="F356" s="5" t="s">
        <v>1008</v>
      </c>
    </row>
    <row r="357" spans="1:6" x14ac:dyDescent="0.25">
      <c r="A357" s="6">
        <v>34</v>
      </c>
      <c r="B357" s="6">
        <v>14575</v>
      </c>
      <c r="C357" s="1" t="s">
        <v>982</v>
      </c>
      <c r="D357" s="1" t="s">
        <v>983</v>
      </c>
      <c r="E357" s="6" t="s">
        <v>1002</v>
      </c>
      <c r="F357" s="5" t="s">
        <v>1006</v>
      </c>
    </row>
    <row r="358" spans="1:6" x14ac:dyDescent="0.25">
      <c r="A358" s="6">
        <v>35</v>
      </c>
      <c r="B358" s="6">
        <v>14576</v>
      </c>
      <c r="C358" s="1" t="s">
        <v>985</v>
      </c>
      <c r="D358" s="20" t="s">
        <v>986</v>
      </c>
      <c r="E358" s="6" t="s">
        <v>1002</v>
      </c>
      <c r="F358" s="5" t="s">
        <v>1013</v>
      </c>
    </row>
    <row r="359" spans="1:6" x14ac:dyDescent="0.25">
      <c r="A359" s="6">
        <v>36</v>
      </c>
      <c r="B359" s="6">
        <v>14577</v>
      </c>
      <c r="C359" s="9" t="s">
        <v>988</v>
      </c>
      <c r="D359" s="2" t="s">
        <v>989</v>
      </c>
      <c r="E359" s="6" t="s">
        <v>1002</v>
      </c>
      <c r="F359" s="5" t="s">
        <v>1007</v>
      </c>
    </row>
    <row r="360" spans="1:6" x14ac:dyDescent="0.25">
      <c r="E360" s="6">
        <f>COUNTIFS($E$4:$E$359,"L")</f>
        <v>132</v>
      </c>
    </row>
    <row r="361" spans="1:6" x14ac:dyDescent="0.25">
      <c r="E361" s="6">
        <f>COUNTIFS($E$4:$E$359,"P")</f>
        <v>224</v>
      </c>
    </row>
  </sheetData>
  <sortState xmlns:xlrd2="http://schemas.microsoft.com/office/spreadsheetml/2017/richdata2" ref="B4:F359">
    <sortCondition ref="D4:D359"/>
  </sortState>
  <conditionalFormatting sqref="D4:D39">
    <cfRule type="colorScale" priority="45">
      <colorScale>
        <cfvo type="min"/>
        <cfvo type="max"/>
        <color rgb="FFFCFCFF"/>
        <color rgb="FF63BE7B"/>
      </colorScale>
    </cfRule>
    <cfRule type="duplicateValues" dxfId="22" priority="46"/>
  </conditionalFormatting>
  <conditionalFormatting sqref="D41">
    <cfRule type="colorScale" priority="43">
      <colorScale>
        <cfvo type="min"/>
        <cfvo type="max"/>
        <color rgb="FFFCFCFF"/>
        <color rgb="FF63BE7B"/>
      </colorScale>
    </cfRule>
    <cfRule type="duplicateValues" dxfId="21" priority="44"/>
  </conditionalFormatting>
  <conditionalFormatting sqref="D67">
    <cfRule type="colorScale" priority="41">
      <colorScale>
        <cfvo type="min"/>
        <cfvo type="max"/>
        <color rgb="FFFCFCFF"/>
        <color rgb="FF63BE7B"/>
      </colorScale>
    </cfRule>
    <cfRule type="duplicateValues" dxfId="20" priority="42"/>
  </conditionalFormatting>
  <conditionalFormatting sqref="D76:D89 D91:D111">
    <cfRule type="colorScale" priority="39">
      <colorScale>
        <cfvo type="min"/>
        <cfvo type="max"/>
        <color rgb="FFFCFCFF"/>
        <color rgb="FF63BE7B"/>
      </colorScale>
    </cfRule>
    <cfRule type="duplicateValues" dxfId="19" priority="40"/>
  </conditionalFormatting>
  <conditionalFormatting sqref="D90">
    <cfRule type="colorScale" priority="37">
      <colorScale>
        <cfvo type="min"/>
        <cfvo type="max"/>
        <color rgb="FFFCFCFF"/>
        <color rgb="FF63BE7B"/>
      </colorScale>
    </cfRule>
    <cfRule type="duplicateValues" dxfId="18" priority="38"/>
  </conditionalFormatting>
  <conditionalFormatting sqref="D112:D130 D132:D144">
    <cfRule type="colorScale" priority="35">
      <colorScale>
        <cfvo type="min"/>
        <cfvo type="max"/>
        <color rgb="FFFCFCFF"/>
        <color rgb="FF63BE7B"/>
      </colorScale>
    </cfRule>
    <cfRule type="duplicateValues" dxfId="17" priority="36"/>
  </conditionalFormatting>
  <conditionalFormatting sqref="D131">
    <cfRule type="colorScale" priority="33">
      <colorScale>
        <cfvo type="min"/>
        <cfvo type="max"/>
        <color rgb="FFFCFCFF"/>
        <color rgb="FF63BE7B"/>
      </colorScale>
    </cfRule>
    <cfRule type="duplicateValues" dxfId="16" priority="34"/>
  </conditionalFormatting>
  <conditionalFormatting sqref="D145:D147">
    <cfRule type="colorScale" priority="31">
      <colorScale>
        <cfvo type="min"/>
        <cfvo type="max"/>
        <color rgb="FFFCFCFF"/>
        <color rgb="FF63BE7B"/>
      </colorScale>
    </cfRule>
    <cfRule type="duplicateValues" dxfId="15" priority="32"/>
  </conditionalFormatting>
  <conditionalFormatting sqref="D148:D182">
    <cfRule type="colorScale" priority="29">
      <colorScale>
        <cfvo type="min"/>
        <cfvo type="max"/>
        <color rgb="FFFCFCFF"/>
        <color rgb="FF63BE7B"/>
      </colorScale>
    </cfRule>
    <cfRule type="duplicateValues" dxfId="14" priority="30"/>
  </conditionalFormatting>
  <conditionalFormatting sqref="D183">
    <cfRule type="colorScale" priority="27">
      <colorScale>
        <cfvo type="min"/>
        <cfvo type="max"/>
        <color rgb="FFFCFCFF"/>
        <color rgb="FF63BE7B"/>
      </colorScale>
    </cfRule>
    <cfRule type="duplicateValues" dxfId="13" priority="28"/>
  </conditionalFormatting>
  <conditionalFormatting sqref="D184:D189 D191:D218">
    <cfRule type="colorScale" priority="25">
      <colorScale>
        <cfvo type="min"/>
        <cfvo type="max"/>
        <color rgb="FFFCFCFF"/>
        <color rgb="FF63BE7B"/>
      </colorScale>
    </cfRule>
    <cfRule type="duplicateValues" dxfId="12" priority="26"/>
  </conditionalFormatting>
  <conditionalFormatting sqref="D190">
    <cfRule type="colorScale" priority="23">
      <colorScale>
        <cfvo type="min"/>
        <cfvo type="max"/>
        <color rgb="FFFCFCFF"/>
        <color rgb="FF63BE7B"/>
      </colorScale>
    </cfRule>
    <cfRule type="duplicateValues" dxfId="11" priority="24"/>
  </conditionalFormatting>
  <conditionalFormatting sqref="D219">
    <cfRule type="colorScale" priority="21">
      <colorScale>
        <cfvo type="min"/>
        <cfvo type="max"/>
        <color rgb="FFFCFCFF"/>
        <color rgb="FF63BE7B"/>
      </colorScale>
    </cfRule>
    <cfRule type="duplicateValues" dxfId="10" priority="22"/>
  </conditionalFormatting>
  <conditionalFormatting sqref="D220:D226 D249:D252 D228:D247">
    <cfRule type="colorScale" priority="19">
      <colorScale>
        <cfvo type="min"/>
        <cfvo type="max"/>
        <color rgb="FFFCFCFF"/>
        <color rgb="FF63BE7B"/>
      </colorScale>
    </cfRule>
    <cfRule type="duplicateValues" dxfId="9" priority="20"/>
  </conditionalFormatting>
  <conditionalFormatting sqref="D227">
    <cfRule type="colorScale" priority="17">
      <colorScale>
        <cfvo type="min"/>
        <cfvo type="max"/>
        <color rgb="FFFCFCFF"/>
        <color rgb="FF63BE7B"/>
      </colorScale>
    </cfRule>
    <cfRule type="duplicateValues" dxfId="8" priority="18"/>
  </conditionalFormatting>
  <conditionalFormatting sqref="D253">
    <cfRule type="colorScale" priority="15">
      <colorScale>
        <cfvo type="min"/>
        <cfvo type="max"/>
        <color rgb="FFFCFCFF"/>
        <color rgb="FF63BE7B"/>
      </colorScale>
    </cfRule>
    <cfRule type="duplicateValues" dxfId="7" priority="16"/>
  </conditionalFormatting>
  <conditionalFormatting sqref="D254:D276 D278:D279">
    <cfRule type="colorScale" priority="13">
      <colorScale>
        <cfvo type="min"/>
        <cfvo type="max"/>
        <color rgb="FFFCFCFF"/>
        <color rgb="FF63BE7B"/>
      </colorScale>
    </cfRule>
    <cfRule type="duplicateValues" dxfId="6" priority="14"/>
  </conditionalFormatting>
  <conditionalFormatting sqref="D280:D284">
    <cfRule type="colorScale" priority="11">
      <colorScale>
        <cfvo type="min"/>
        <cfvo type="max"/>
        <color rgb="FFFCFCFF"/>
        <color rgb="FF63BE7B"/>
      </colorScale>
    </cfRule>
    <cfRule type="duplicateValues" dxfId="5" priority="12"/>
  </conditionalFormatting>
  <conditionalFormatting sqref="D284:D285">
    <cfRule type="colorScale" priority="9">
      <colorScale>
        <cfvo type="min"/>
        <cfvo type="max"/>
        <color rgb="FFFCFCFF"/>
        <color rgb="FF63BE7B"/>
      </colorScale>
    </cfRule>
    <cfRule type="duplicateValues" dxfId="4" priority="10"/>
  </conditionalFormatting>
  <conditionalFormatting sqref="D285">
    <cfRule type="colorScale" priority="7">
      <colorScale>
        <cfvo type="min"/>
        <cfvo type="max"/>
        <color rgb="FFFCFCFF"/>
        <color rgb="FF63BE7B"/>
      </colorScale>
    </cfRule>
    <cfRule type="duplicateValues" dxfId="3" priority="8"/>
  </conditionalFormatting>
  <conditionalFormatting sqref="D286:D287">
    <cfRule type="colorScale" priority="5">
      <colorScale>
        <cfvo type="min"/>
        <cfvo type="max"/>
        <color rgb="FFFCFCFF"/>
        <color rgb="FF63BE7B"/>
      </colorScale>
    </cfRule>
    <cfRule type="duplicateValues" dxfId="2" priority="6"/>
  </conditionalFormatting>
  <conditionalFormatting sqref="D321">
    <cfRule type="colorScale" priority="3">
      <colorScale>
        <cfvo type="min"/>
        <cfvo type="max"/>
        <color rgb="FFFCFCFF"/>
        <color rgb="FF63BE7B"/>
      </colorScale>
    </cfRule>
    <cfRule type="duplicateValues" dxfId="1" priority="4"/>
  </conditionalFormatting>
  <conditionalFormatting sqref="D359">
    <cfRule type="colorScale" priority="1">
      <colorScale>
        <cfvo type="min"/>
        <cfvo type="max"/>
        <color rgb="FFFCFCFF"/>
        <color rgb="FF63BE7B"/>
      </colorScale>
    </cfRule>
    <cfRule type="duplicateValues" dxfId="0" priority="2"/>
  </conditionalFormatting>
  <pageMargins left="0.7" right="0.7" top="0.75" bottom="0.75" header="0.3" footer="0.3"/>
  <pageSetup paperSize="10000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topLeftCell="A4" workbookViewId="0">
      <selection activeCell="O8" sqref="O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10</vt:i4>
      </vt:variant>
    </vt:vector>
  </HeadingPairs>
  <TitlesOfParts>
    <vt:vector size="27" baseType="lpstr">
      <vt:lpstr>XI-A1 </vt:lpstr>
      <vt:lpstr>XI-A2</vt:lpstr>
      <vt:lpstr>XI-A3</vt:lpstr>
      <vt:lpstr>XI-A4</vt:lpstr>
      <vt:lpstr>XI-A5</vt:lpstr>
      <vt:lpstr>XI-B</vt:lpstr>
      <vt:lpstr>XI-C</vt:lpstr>
      <vt:lpstr>XI-D</vt:lpstr>
      <vt:lpstr>XI-E</vt:lpstr>
      <vt:lpstr>XI-F</vt:lpstr>
      <vt:lpstr>Sheet3</vt:lpstr>
      <vt:lpstr>Sheet1</vt:lpstr>
      <vt:lpstr>Data Siswa</vt:lpstr>
      <vt:lpstr>IPS</vt:lpstr>
      <vt:lpstr>Wali Kelas</vt:lpstr>
      <vt:lpstr>INDUK</vt:lpstr>
      <vt:lpstr>Sheet2</vt:lpstr>
      <vt:lpstr>'XI-A1 '!Print_Area</vt:lpstr>
      <vt:lpstr>'XI-A2'!Print_Area</vt:lpstr>
      <vt:lpstr>'XI-A3'!Print_Area</vt:lpstr>
      <vt:lpstr>'XI-A4'!Print_Area</vt:lpstr>
      <vt:lpstr>'XI-A5'!Print_Area</vt:lpstr>
      <vt:lpstr>'XI-B'!Print_Area</vt:lpstr>
      <vt:lpstr>'XI-C'!Print_Area</vt:lpstr>
      <vt:lpstr>'XI-D'!Print_Area</vt:lpstr>
      <vt:lpstr>'XI-E'!Print_Area</vt:lpstr>
      <vt:lpstr>'XI-F'!Print_Area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USER</cp:lastModifiedBy>
  <cp:lastPrinted>2026-07-13T06:22:58Z</cp:lastPrinted>
  <dcterms:created xsi:type="dcterms:W3CDTF">2023-07-19T00:51:57Z</dcterms:created>
  <dcterms:modified xsi:type="dcterms:W3CDTF">2026-07-14T05:14:35Z</dcterms:modified>
</cp:coreProperties>
</file>