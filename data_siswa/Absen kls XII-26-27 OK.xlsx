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KESISWAAN\ABSENSI\"/>
    </mc:Choice>
  </mc:AlternateContent>
  <xr:revisionPtr revIDLastSave="0" documentId="13_ncr:1_{F6305630-5C77-438C-B3B9-9E397AFFB256}" xr6:coauthVersionLast="47" xr6:coauthVersionMax="47" xr10:uidLastSave="{00000000-0000-0000-0000-000000000000}"/>
  <bookViews>
    <workbookView xWindow="-120" yWindow="-120" windowWidth="20730" windowHeight="11160" firstSheet="4" activeTab="12" xr2:uid="{00000000-000D-0000-FFFF-FFFF00000000}"/>
  </bookViews>
  <sheets>
    <sheet name="semua kls" sheetId="17" r:id="rId1"/>
    <sheet name="KELAS" sheetId="16" r:id="rId2"/>
    <sheet name="no-induk" sheetId="15" r:id="rId3"/>
    <sheet name="XII-A-1" sheetId="1" r:id="rId4"/>
    <sheet name="XII-A-2" sheetId="5" r:id="rId5"/>
    <sheet name="XII-A-3" sheetId="6" r:id="rId6"/>
    <sheet name="XII-A-4" sheetId="7" r:id="rId7"/>
    <sheet name="XII-A-5" sheetId="8" r:id="rId8"/>
    <sheet name="XII-A-6" sheetId="9" r:id="rId9"/>
    <sheet name="XII-A-7" sheetId="10" r:id="rId10"/>
    <sheet name="XII-B-1" sheetId="11" r:id="rId11"/>
    <sheet name="XII-B-2" sheetId="12" r:id="rId12"/>
    <sheet name="XII-B-3" sheetId="13" r:id="rId13"/>
    <sheet name="Sheet2 (2)" sheetId="4" r:id="rId14"/>
    <sheet name="Sheet2" sheetId="2" r:id="rId15"/>
    <sheet name="Sheet1" sheetId="14" r:id="rId16"/>
  </sheets>
  <definedNames>
    <definedName name="_xlnm.Print_Area" localSheetId="1">KELAS!$A$1:$AC$47</definedName>
    <definedName name="_xlnm.Print_Area" localSheetId="2">'no-induk'!$A$1:$AC$47</definedName>
    <definedName name="_xlnm.Print_Area" localSheetId="0">'semua kls'!$A$1:$AC$47</definedName>
    <definedName name="_xlnm.Print_Area" localSheetId="3">'XII-A-1'!$A$1:$AC$47</definedName>
    <definedName name="_xlnm.Print_Area" localSheetId="10">'XII-B-1'!$A$1:$AI$48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8" i="10" l="1"/>
  <c r="E47" i="10"/>
  <c r="E47" i="9"/>
  <c r="E46" i="9"/>
  <c r="E46" i="7"/>
  <c r="E45" i="13"/>
  <c r="E46" i="13"/>
  <c r="E47" i="13" l="1"/>
  <c r="AJ45" i="17" l="1"/>
  <c r="AJ44" i="17"/>
  <c r="AJ43" i="17"/>
  <c r="AJ42" i="17"/>
  <c r="AJ41" i="17"/>
  <c r="AJ40" i="17"/>
  <c r="AJ39" i="17"/>
  <c r="AJ38" i="17"/>
  <c r="AJ37" i="17"/>
  <c r="AJ36" i="17"/>
  <c r="AJ35" i="17"/>
  <c r="AJ34" i="17"/>
  <c r="AJ33" i="17"/>
  <c r="AJ32" i="17"/>
  <c r="AJ31" i="17"/>
  <c r="AJ30" i="17"/>
  <c r="AJ29" i="17"/>
  <c r="AJ28" i="17"/>
  <c r="AJ27" i="17"/>
  <c r="AJ26" i="17"/>
  <c r="AJ25" i="17"/>
  <c r="AJ24" i="17"/>
  <c r="AJ23" i="17"/>
  <c r="AJ22" i="17"/>
  <c r="AJ21" i="17"/>
  <c r="AJ20" i="17"/>
  <c r="AJ19" i="17"/>
  <c r="AJ18" i="17"/>
  <c r="AJ17" i="17"/>
  <c r="AJ16" i="17"/>
  <c r="AJ15" i="17"/>
  <c r="AJ14" i="17"/>
  <c r="AJ13" i="17"/>
  <c r="AJ12" i="17"/>
  <c r="AJ11" i="17"/>
  <c r="AJ10" i="17"/>
  <c r="AM36" i="7"/>
  <c r="AJ45" i="16" l="1"/>
  <c r="AJ44" i="16"/>
  <c r="AJ43" i="16"/>
  <c r="AJ42" i="16"/>
  <c r="AJ41" i="16"/>
  <c r="AJ40" i="16"/>
  <c r="AJ39" i="16"/>
  <c r="AJ38" i="16"/>
  <c r="AJ37" i="16"/>
  <c r="AJ36" i="16"/>
  <c r="AJ35" i="16"/>
  <c r="AJ34" i="16"/>
  <c r="AJ33" i="16"/>
  <c r="AJ32" i="16"/>
  <c r="AJ31" i="16"/>
  <c r="AJ30" i="16"/>
  <c r="AJ29" i="16"/>
  <c r="AJ28" i="16"/>
  <c r="AJ27" i="16"/>
  <c r="AJ26" i="16"/>
  <c r="AJ25" i="16"/>
  <c r="AJ24" i="16"/>
  <c r="AJ23" i="16"/>
  <c r="AJ22" i="16"/>
  <c r="AJ21" i="16"/>
  <c r="AJ20" i="16"/>
  <c r="AJ19" i="16"/>
  <c r="AJ18" i="16"/>
  <c r="AJ17" i="16"/>
  <c r="AJ16" i="16"/>
  <c r="AJ15" i="16"/>
  <c r="AJ14" i="16"/>
  <c r="AJ13" i="16"/>
  <c r="AJ12" i="16"/>
  <c r="AJ11" i="16"/>
  <c r="AJ10" i="16"/>
  <c r="E49" i="10" l="1"/>
  <c r="AJ45" i="15"/>
  <c r="AJ44" i="15"/>
  <c r="AJ43" i="15"/>
  <c r="AJ42" i="15"/>
  <c r="AJ41" i="15"/>
  <c r="AJ40" i="15"/>
  <c r="AJ39" i="15"/>
  <c r="AJ38" i="15"/>
  <c r="AJ37" i="15"/>
  <c r="AJ36" i="15"/>
  <c r="AJ35" i="15"/>
  <c r="AJ34" i="15"/>
  <c r="AJ33" i="15"/>
  <c r="AJ32" i="15"/>
  <c r="AJ31" i="15"/>
  <c r="AJ30" i="15"/>
  <c r="AJ29" i="15"/>
  <c r="AJ28" i="15"/>
  <c r="AJ27" i="15"/>
  <c r="AJ26" i="15"/>
  <c r="AJ25" i="15"/>
  <c r="AJ24" i="15"/>
  <c r="AJ23" i="15"/>
  <c r="AJ22" i="15"/>
  <c r="AJ21" i="15"/>
  <c r="AJ20" i="15"/>
  <c r="AJ19" i="15"/>
  <c r="AJ18" i="15"/>
  <c r="AJ17" i="15"/>
  <c r="AJ16" i="15"/>
  <c r="AJ15" i="15"/>
  <c r="AJ14" i="15"/>
  <c r="AJ13" i="15"/>
  <c r="AJ12" i="15"/>
  <c r="AJ11" i="15"/>
  <c r="AJ10" i="15"/>
  <c r="E47" i="7"/>
  <c r="E48" i="7" l="1"/>
  <c r="AH48" i="10"/>
  <c r="AN45" i="13"/>
  <c r="AN46" i="13"/>
  <c r="AN47" i="13"/>
  <c r="AL11" i="8"/>
  <c r="AL12" i="8"/>
  <c r="AL13" i="8"/>
  <c r="AL14" i="8"/>
  <c r="AL15" i="8"/>
  <c r="AL16" i="8"/>
  <c r="AL17" i="8"/>
  <c r="AL18" i="8"/>
  <c r="AL19" i="8"/>
  <c r="AL20" i="8"/>
  <c r="AL21" i="8"/>
  <c r="AL22" i="8"/>
  <c r="AL23" i="8"/>
  <c r="AL24" i="8"/>
  <c r="AL25" i="8"/>
  <c r="AL26" i="8"/>
  <c r="AL27" i="8"/>
  <c r="AL28" i="8"/>
  <c r="AL29" i="8"/>
  <c r="AL30" i="8"/>
  <c r="AL31" i="8"/>
  <c r="AL32" i="8"/>
  <c r="AL33" i="8"/>
  <c r="AL34" i="8"/>
  <c r="AL35" i="8"/>
  <c r="AL36" i="8"/>
  <c r="AL37" i="8"/>
  <c r="AL38" i="8"/>
  <c r="AL39" i="8"/>
  <c r="AL40" i="8"/>
  <c r="AL41" i="8"/>
  <c r="AL42" i="8"/>
  <c r="AL43" i="8"/>
  <c r="AL10" i="8"/>
  <c r="AM11" i="7"/>
  <c r="AM12" i="7"/>
  <c r="AM13" i="7"/>
  <c r="AM14" i="7"/>
  <c r="AM15" i="7"/>
  <c r="AM16" i="7"/>
  <c r="AM17" i="7"/>
  <c r="AM18" i="7"/>
  <c r="AM19" i="7"/>
  <c r="AM20" i="7"/>
  <c r="AM21" i="7"/>
  <c r="AM22" i="7"/>
  <c r="AM23" i="7"/>
  <c r="AM24" i="7"/>
  <c r="AM25" i="7"/>
  <c r="AM26" i="7"/>
  <c r="AM27" i="7"/>
  <c r="AM28" i="7"/>
  <c r="AM29" i="7"/>
  <c r="AM30" i="7"/>
  <c r="AM31" i="7"/>
  <c r="AM32" i="7"/>
  <c r="AM33" i="7"/>
  <c r="AM34" i="7"/>
  <c r="AM35" i="7"/>
  <c r="AM37" i="7"/>
  <c r="AM38" i="7"/>
  <c r="AM39" i="7"/>
  <c r="AM40" i="7"/>
  <c r="AM41" i="7"/>
  <c r="AM42" i="7"/>
  <c r="AM44" i="7"/>
  <c r="AM45" i="7"/>
  <c r="AM46" i="7"/>
  <c r="AM47" i="7"/>
  <c r="AM10" i="7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M33" i="6"/>
  <c r="AM34" i="6"/>
  <c r="AM35" i="6"/>
  <c r="AM36" i="6"/>
  <c r="AM37" i="6"/>
  <c r="AM38" i="6"/>
  <c r="AM39" i="6"/>
  <c r="AM40" i="6"/>
  <c r="AM41" i="6"/>
  <c r="AM42" i="6"/>
  <c r="AM43" i="6"/>
  <c r="AM10" i="6"/>
  <c r="AL11" i="5"/>
  <c r="AL12" i="5"/>
  <c r="AL13" i="5"/>
  <c r="AL14" i="5"/>
  <c r="AL15" i="5"/>
  <c r="AL16" i="5"/>
  <c r="AL17" i="5"/>
  <c r="AL18" i="5"/>
  <c r="AL19" i="5"/>
  <c r="AL20" i="5"/>
  <c r="AL21" i="5"/>
  <c r="AL22" i="5"/>
  <c r="AL23" i="5"/>
  <c r="AL24" i="5"/>
  <c r="AL25" i="5"/>
  <c r="AL26" i="5"/>
  <c r="AL27" i="5"/>
  <c r="AL28" i="5"/>
  <c r="AL29" i="5"/>
  <c r="AL30" i="5"/>
  <c r="AL31" i="5"/>
  <c r="AL32" i="5"/>
  <c r="AL33" i="5"/>
  <c r="AL34" i="5"/>
  <c r="AL35" i="5"/>
  <c r="AL36" i="5"/>
  <c r="AL37" i="5"/>
  <c r="AL38" i="5"/>
  <c r="AL39" i="5"/>
  <c r="AL40" i="5"/>
  <c r="AL41" i="5"/>
  <c r="AL42" i="5"/>
  <c r="AL43" i="5"/>
  <c r="AL44" i="5"/>
  <c r="AL45" i="5"/>
  <c r="AL10" i="5"/>
  <c r="AJ43" i="1"/>
  <c r="AJ39" i="1"/>
  <c r="AJ35" i="1"/>
  <c r="AJ31" i="1"/>
  <c r="AJ28" i="1"/>
  <c r="AJ24" i="1"/>
  <c r="AJ17" i="1"/>
  <c r="AJ13" i="1"/>
  <c r="AJ10" i="1"/>
  <c r="AJ11" i="1"/>
  <c r="AJ12" i="1"/>
  <c r="AJ14" i="1"/>
  <c r="AJ15" i="1"/>
  <c r="AJ16" i="1"/>
  <c r="AJ18" i="1"/>
  <c r="AJ19" i="1"/>
  <c r="AJ20" i="1"/>
  <c r="AJ21" i="1"/>
  <c r="AJ22" i="1"/>
  <c r="AJ23" i="1"/>
  <c r="AJ25" i="1"/>
  <c r="AJ26" i="1"/>
  <c r="AJ27" i="1"/>
  <c r="AJ29" i="1"/>
  <c r="AJ30" i="1"/>
  <c r="AJ32" i="1"/>
  <c r="AJ33" i="1"/>
  <c r="AJ34" i="1"/>
  <c r="AJ36" i="1"/>
  <c r="AJ37" i="1"/>
  <c r="AJ38" i="1"/>
  <c r="AJ40" i="1"/>
  <c r="AJ41" i="1"/>
  <c r="AJ42" i="1"/>
  <c r="AJ44" i="1"/>
  <c r="AJ45" i="1"/>
  <c r="E48" i="12"/>
  <c r="E47" i="12"/>
  <c r="E48" i="11"/>
  <c r="E47" i="11"/>
  <c r="E45" i="8"/>
  <c r="E44" i="8"/>
  <c r="E45" i="6"/>
  <c r="E44" i="6"/>
  <c r="E47" i="5"/>
  <c r="E46" i="5"/>
  <c r="E45" i="1"/>
  <c r="E44" i="1"/>
  <c r="E49" i="12" l="1"/>
  <c r="E49" i="11"/>
  <c r="E48" i="9"/>
  <c r="E46" i="8"/>
  <c r="E46" i="6"/>
  <c r="E48" i="5"/>
  <c r="E46" i="1"/>
</calcChain>
</file>

<file path=xl/sharedStrings.xml><?xml version="1.0" encoding="utf-8"?>
<sst xmlns="http://schemas.openxmlformats.org/spreadsheetml/2006/main" count="10774" uniqueCount="1215">
  <si>
    <t>No</t>
  </si>
  <si>
    <t>NISN</t>
  </si>
  <si>
    <t>Nama Siswa</t>
  </si>
  <si>
    <t>L/P</t>
  </si>
  <si>
    <t>Wali Kelas :</t>
  </si>
  <si>
    <t>NIP :</t>
  </si>
  <si>
    <t>TGL :</t>
  </si>
  <si>
    <t>P</t>
  </si>
  <si>
    <t>L</t>
  </si>
  <si>
    <t>SUNNITA ABADILA</t>
  </si>
  <si>
    <t>Paraf</t>
  </si>
  <si>
    <t>L :</t>
  </si>
  <si>
    <t>Guru</t>
  </si>
  <si>
    <t>P :</t>
  </si>
  <si>
    <t>0092932213</t>
  </si>
  <si>
    <t>ISWAHYUDI ARIF SETIAWAN</t>
  </si>
  <si>
    <t>0085570129</t>
  </si>
  <si>
    <t>ELLYSWATY SALSABILA</t>
  </si>
  <si>
    <t>0086615669</t>
  </si>
  <si>
    <t>Oktarina Syawla Putri</t>
  </si>
  <si>
    <t>0082984202</t>
  </si>
  <si>
    <t>MALIKA APRILIA SYAFIUN</t>
  </si>
  <si>
    <t>0095865130</t>
  </si>
  <si>
    <t>AHMAD FARHAN HAKIKI</t>
  </si>
  <si>
    <t>0091667325</t>
  </si>
  <si>
    <t>Naura Wilda Safitri</t>
  </si>
  <si>
    <t>0099249982</t>
  </si>
  <si>
    <t>Selviana Febiyanti</t>
  </si>
  <si>
    <t>0098143746</t>
  </si>
  <si>
    <t>ANDINI PUTRI SUGIONO</t>
  </si>
  <si>
    <t>0089200835</t>
  </si>
  <si>
    <t>PARAMARTA MAHARDIKA PERTIWI</t>
  </si>
  <si>
    <t>0098357265</t>
  </si>
  <si>
    <t>NURUL JIHAN MAULIDIA</t>
  </si>
  <si>
    <t>0096593970</t>
  </si>
  <si>
    <t>HASNAH AL AFIYAH</t>
  </si>
  <si>
    <t>0084176504</t>
  </si>
  <si>
    <t>ALYA NISWA AFIFAH</t>
  </si>
  <si>
    <t>0081588769</t>
  </si>
  <si>
    <t>ZAHWA AQILLA GUFRON</t>
  </si>
  <si>
    <t>0092443114</t>
  </si>
  <si>
    <t>TRIA DINDA MAULIDIKA</t>
  </si>
  <si>
    <t>0085034059</t>
  </si>
  <si>
    <t>Desvita Anggraini</t>
  </si>
  <si>
    <t>0093513951</t>
  </si>
  <si>
    <t>Sitti Uswatun Hasanah</t>
  </si>
  <si>
    <t>0089933258</t>
  </si>
  <si>
    <t>ANDREA NAUFAL SETIAWAN</t>
  </si>
  <si>
    <t>0085927765</t>
  </si>
  <si>
    <t>NAFIIS DWI PUTRA DESTYAMIN</t>
  </si>
  <si>
    <t>KIP</t>
  </si>
  <si>
    <t>0091835952</t>
  </si>
  <si>
    <t>Merisa Anggi Yulia Putri</t>
  </si>
  <si>
    <t>0088070697</t>
  </si>
  <si>
    <t>R AYU NOURA AZKIA</t>
  </si>
  <si>
    <t>0094952897</t>
  </si>
  <si>
    <t>Khazwa Farih Imtiyaz Mindas</t>
  </si>
  <si>
    <t>0096458518</t>
  </si>
  <si>
    <t>PRABU MAHA KRISNA</t>
  </si>
  <si>
    <t>0096931249</t>
  </si>
  <si>
    <t>DAVIN PRAMANA PUTRA YULIANTO</t>
  </si>
  <si>
    <t>A.GURU</t>
  </si>
  <si>
    <t>0096323695</t>
  </si>
  <si>
    <t>KHANSA BUNGA ADELIA RIJANI</t>
  </si>
  <si>
    <t>0096803290</t>
  </si>
  <si>
    <t>SYAFA ANAYA PUTRI JEFRINA</t>
  </si>
  <si>
    <t>0086421409</t>
  </si>
  <si>
    <t>GRACIA IBANEZ</t>
  </si>
  <si>
    <t>0096310193</t>
  </si>
  <si>
    <t>Muhammad Insan Kamil</t>
  </si>
  <si>
    <t>0085255932</t>
  </si>
  <si>
    <t>FAYULINSA DWI SYAFNI</t>
  </si>
  <si>
    <t>0095516794</t>
  </si>
  <si>
    <t>NATHANIEL HIZKIA PANJAITAN</t>
  </si>
  <si>
    <t>0097690860</t>
  </si>
  <si>
    <t>NAZWA AULIA NUR ROSIDAH</t>
  </si>
  <si>
    <t>0096339249</t>
  </si>
  <si>
    <t>RAUFLI HIBATULLAH</t>
  </si>
  <si>
    <t>0085106484</t>
  </si>
  <si>
    <t>VIRGI AZMI YUSSININGTYAS</t>
  </si>
  <si>
    <t>T.ORTU</t>
  </si>
  <si>
    <t>0088601519</t>
  </si>
  <si>
    <t>HILMAN FUADI</t>
  </si>
  <si>
    <t>0081651505</t>
  </si>
  <si>
    <t>AURIGA SYAFHA FAIRUZ SYAHREZA</t>
  </si>
  <si>
    <t>0095415650</t>
  </si>
  <si>
    <t>APRILIA NURIL QOMARI</t>
  </si>
  <si>
    <t>0092355423</t>
  </si>
  <si>
    <t>NASHIFATUL LAYAL</t>
  </si>
  <si>
    <t>0082501965</t>
  </si>
  <si>
    <t>MOH GILANG MAULANA</t>
  </si>
  <si>
    <t>0087953706</t>
  </si>
  <si>
    <t>MELDA MASTUFIL FADILA</t>
  </si>
  <si>
    <t>0098040950</t>
  </si>
  <si>
    <t>CHRISTOFFER CONSTANTINE SANTOSO</t>
  </si>
  <si>
    <t>0088066553</t>
  </si>
  <si>
    <t>NURINDA NOVIANTI</t>
  </si>
  <si>
    <t>0085768344</t>
  </si>
  <si>
    <t>HUMAIRA SHALSABILA FIRDAUZI</t>
  </si>
  <si>
    <t>0081411031</t>
  </si>
  <si>
    <t>MOHAMMAD ALVI SYAHRIN</t>
  </si>
  <si>
    <t>0084273329</t>
  </si>
  <si>
    <t>MUHAMMAD NURIL FAZA FAWWAZI</t>
  </si>
  <si>
    <t>0086785528</t>
  </si>
  <si>
    <t>HERI ROMADHONI</t>
  </si>
  <si>
    <t>0084133818</t>
  </si>
  <si>
    <t>HIFANI DWI ARFIANSYAH</t>
  </si>
  <si>
    <t>0086910015</t>
  </si>
  <si>
    <t>LATIFAH FATIMAH AZZAHRA</t>
  </si>
  <si>
    <t>0098581750</t>
  </si>
  <si>
    <t>Arika Abadia Hamas</t>
  </si>
  <si>
    <t>0093488510</t>
  </si>
  <si>
    <t>FARAND M YUNUS AL FARIZY</t>
  </si>
  <si>
    <t>0083907588</t>
  </si>
  <si>
    <t>RUH SYAFIRA CAHYANING PAWASA</t>
  </si>
  <si>
    <t>0084168222</t>
  </si>
  <si>
    <t>MUHAMMAD FRITZ ZAHRAN VIRODILA</t>
  </si>
  <si>
    <t>0099522649</t>
  </si>
  <si>
    <t>ADLI YUSUF ALIFDI</t>
  </si>
  <si>
    <t>0091162442</t>
  </si>
  <si>
    <t>ADELIA ZAHRA WIEGUNANDA</t>
  </si>
  <si>
    <t>0093455270</t>
  </si>
  <si>
    <t>REFATIA MIRZA VALENSI</t>
  </si>
  <si>
    <t>0083012066</t>
  </si>
  <si>
    <t>REISYA SATYA AYU PRAMESWARI</t>
  </si>
  <si>
    <t>0084754773</t>
  </si>
  <si>
    <t>SITTI ZAHRATUS SIETA</t>
  </si>
  <si>
    <t>0093695374</t>
  </si>
  <si>
    <t>GILANG ALFAHRIZI</t>
  </si>
  <si>
    <t>0083243040</t>
  </si>
  <si>
    <t>MUHAMMAD RAMZY GUNAWAN</t>
  </si>
  <si>
    <t>0089642451</t>
  </si>
  <si>
    <t>NURDIA BILQIS RAHMAISNAENY</t>
  </si>
  <si>
    <t>0081449501</t>
  </si>
  <si>
    <t>Nayla Claresta Medistya</t>
  </si>
  <si>
    <t>0081550255</t>
  </si>
  <si>
    <t>SABRINA YASMIN FIRYAL SISWANTO</t>
  </si>
  <si>
    <t>0081890474</t>
  </si>
  <si>
    <t>BERLIANA OKTAVIA BELA</t>
  </si>
  <si>
    <t>0097949164</t>
  </si>
  <si>
    <t>FAKHRILLAH HASAN</t>
  </si>
  <si>
    <t>AKDMK</t>
  </si>
  <si>
    <t>0099637523</t>
  </si>
  <si>
    <t>Tulus Firmansyah</t>
  </si>
  <si>
    <t>0089793791</t>
  </si>
  <si>
    <t>SULTAN FARAS AS SIDIK</t>
  </si>
  <si>
    <t>RAFIF KEMAL AZIZI</t>
  </si>
  <si>
    <t>0098882875</t>
  </si>
  <si>
    <t>Sunnita Abadila</t>
  </si>
  <si>
    <t>0085784500</t>
  </si>
  <si>
    <t>MOH ALFAN KURNIAWAN</t>
  </si>
  <si>
    <t>0085551439</t>
  </si>
  <si>
    <t>MUHAMMAD DAVID RIYADI</t>
  </si>
  <si>
    <t>0081745861</t>
  </si>
  <si>
    <t>NAUFAL FERDYANSYAH</t>
  </si>
  <si>
    <t>0095745897</t>
  </si>
  <si>
    <t>RIZKIANA INTANSARI</t>
  </si>
  <si>
    <t>0095153508</t>
  </si>
  <si>
    <t>ARSYIL CAHYA WIBISONO</t>
  </si>
  <si>
    <t>0093962965</t>
  </si>
  <si>
    <t>SITI MAISHUROH ASSYIFA</t>
  </si>
  <si>
    <t>0088109228</t>
  </si>
  <si>
    <t>BINTANG ACHMAD FAUZANI</t>
  </si>
  <si>
    <t>0081535841</t>
  </si>
  <si>
    <t>NADHIFA SUCIANI HUWAIDA</t>
  </si>
  <si>
    <t>0088204888</t>
  </si>
  <si>
    <t>DANISH AZHAR ABDILLAH</t>
  </si>
  <si>
    <t>0086506804</t>
  </si>
  <si>
    <t>RADITYA IKHSAN FIRDAUS</t>
  </si>
  <si>
    <t>0086730733</t>
  </si>
  <si>
    <t>DYAH AYU RAMADHANI</t>
  </si>
  <si>
    <t>0089463780</t>
  </si>
  <si>
    <t>UMI KULSUM WARDANI</t>
  </si>
  <si>
    <t>KHAIRUNNAS ARRASYID</t>
  </si>
  <si>
    <t>0081216364</t>
  </si>
  <si>
    <t>NAUFAL ALWAN HAKIM</t>
  </si>
  <si>
    <t>0082440195</t>
  </si>
  <si>
    <t>ARIF RAHMAN ALFATHIR</t>
  </si>
  <si>
    <t>0096094178</t>
  </si>
  <si>
    <t>RAIS AULIA ATTAMIMY WIJAYA</t>
  </si>
  <si>
    <t>0084473234</t>
  </si>
  <si>
    <t>Vincentius Samuel Candra</t>
  </si>
  <si>
    <t>0087658356</t>
  </si>
  <si>
    <t>BIMA SATRIA PUTRA RISMAWAN</t>
  </si>
  <si>
    <t>0099667385</t>
  </si>
  <si>
    <t>DZAKY APTA PRANAJA FEBRIYANTO</t>
  </si>
  <si>
    <t>0082666216</t>
  </si>
  <si>
    <t>Nawa Amelia Sholehah</t>
  </si>
  <si>
    <t>0082845989</t>
  </si>
  <si>
    <t>Fadel Risqullah Bakrie</t>
  </si>
  <si>
    <t>0084390226</t>
  </si>
  <si>
    <t>SITI AISYA ZINNIRAH BAIRIZA</t>
  </si>
  <si>
    <t>0095300336</t>
  </si>
  <si>
    <t>SANJAYA MALIK MAULANA</t>
  </si>
  <si>
    <t>ANAS NUR ASMORI</t>
  </si>
  <si>
    <t>0092837700</t>
  </si>
  <si>
    <t>TSALSA SHAFIRA DAMAYANTI</t>
  </si>
  <si>
    <t>NON AKD</t>
  </si>
  <si>
    <t>0102524441</t>
  </si>
  <si>
    <t>Alfisa Syahira Sutikno</t>
  </si>
  <si>
    <t>0109424194</t>
  </si>
  <si>
    <t>SARAH SALSABILA</t>
  </si>
  <si>
    <t>0093908702</t>
  </si>
  <si>
    <t>ADLYANSYAH BUDIMAN</t>
  </si>
  <si>
    <t>0093897835</t>
  </si>
  <si>
    <t>Vina Istiana</t>
  </si>
  <si>
    <t>0082558863</t>
  </si>
  <si>
    <t>Bambang Fariaji</t>
  </si>
  <si>
    <t>0104564202</t>
  </si>
  <si>
    <t>KAYLA AIKO MARITZA</t>
  </si>
  <si>
    <t>0083983673</t>
  </si>
  <si>
    <t>NAUVAL FARIZ RIZALDY AL ARIF</t>
  </si>
  <si>
    <t>0098583778</t>
  </si>
  <si>
    <t>LIVIA AURATUS ORYZA SATIVA</t>
  </si>
  <si>
    <t>0085428877</t>
  </si>
  <si>
    <t>MALIKA ALFATIA PUTRI</t>
  </si>
  <si>
    <t>0091178694</t>
  </si>
  <si>
    <t>MUH ZACKY MIRZA SUGANDA</t>
  </si>
  <si>
    <t>0084170084</t>
  </si>
  <si>
    <t>GALIH RIZKYANSYAH PUTRA</t>
  </si>
  <si>
    <t>0085453933</t>
  </si>
  <si>
    <t>SATRYO MAHARDIKA SYAHBANA DH</t>
  </si>
  <si>
    <t>0092481335</t>
  </si>
  <si>
    <t>KHANSA AISYAH SHABRINA</t>
  </si>
  <si>
    <t>0096665378</t>
  </si>
  <si>
    <t>ANGGUN KARUNIA PUTRI SASIKIRANA</t>
  </si>
  <si>
    <t>0093461236</t>
  </si>
  <si>
    <t>FATHAN MUBINA</t>
  </si>
  <si>
    <t>0081442566</t>
  </si>
  <si>
    <t>MEITA NAJMI BERLIANTI</t>
  </si>
  <si>
    <t>0087180491</t>
  </si>
  <si>
    <t>Aksa Ahmad</t>
  </si>
  <si>
    <t>0095715483</t>
  </si>
  <si>
    <t>AYDIN NARARYA TARIQ</t>
  </si>
  <si>
    <t>0083976891</t>
  </si>
  <si>
    <t>NADIA RAHMAWATI</t>
  </si>
  <si>
    <t>0092639463</t>
  </si>
  <si>
    <t>DAFFA MAULIDAN PUTRA LAKSONO</t>
  </si>
  <si>
    <t>0094292897</t>
  </si>
  <si>
    <t>TASNIM KHAIRULLAH HIDAYAT</t>
  </si>
  <si>
    <t>0098566431</t>
  </si>
  <si>
    <t>MARSYANAIRA VANESA CELIA</t>
  </si>
  <si>
    <t>0091755500</t>
  </si>
  <si>
    <t>NAILA AZARINE RADHIA IRDIAWAN</t>
  </si>
  <si>
    <t>0091869182</t>
  </si>
  <si>
    <t>MAJENDRA FAREL RIZKY HARIYANTO</t>
  </si>
  <si>
    <t>0089803534</t>
  </si>
  <si>
    <t>ALYSSA RISMA PARAMITHA</t>
  </si>
  <si>
    <t>0084705460</t>
  </si>
  <si>
    <t>M ABYAN FAITH FAWAZEE</t>
  </si>
  <si>
    <t>0099059716</t>
  </si>
  <si>
    <t>MAISYAR MAULI NABILA FP</t>
  </si>
  <si>
    <t>MULIA ANNISA SETYA WARDANI</t>
  </si>
  <si>
    <t>0093826254</t>
  </si>
  <si>
    <t>AULIA RAHMAWATI</t>
  </si>
  <si>
    <t>DYAH SYAFARINA ROSAYANTI</t>
  </si>
  <si>
    <t>0098327801</t>
  </si>
  <si>
    <t>MUHAMMAD FAKHRULLAH AGIEL</t>
  </si>
  <si>
    <t>0095842198</t>
  </si>
  <si>
    <t>DIVA TRI AYUNDA LESTARI</t>
  </si>
  <si>
    <t>0083556423</t>
  </si>
  <si>
    <t>Marvel Gilbert Vilianto</t>
  </si>
  <si>
    <t>0093403780</t>
  </si>
  <si>
    <t>BILQIS NABILA ZAHROH</t>
  </si>
  <si>
    <t>0087162622</t>
  </si>
  <si>
    <t>RANGGA YUSIKA DEWANTARA</t>
  </si>
  <si>
    <t>0093665863</t>
  </si>
  <si>
    <t>NISRINA SALIM NUR ASY SYIFA</t>
  </si>
  <si>
    <t>0089075246</t>
  </si>
  <si>
    <t>VALENCIA PUTERI SUZANA</t>
  </si>
  <si>
    <t>0082402810</t>
  </si>
  <si>
    <t>PASHA DWI CHANDRADINATA</t>
  </si>
  <si>
    <t>0082847597</t>
  </si>
  <si>
    <t>FIYHIMA AINANI TAJRIYAN</t>
  </si>
  <si>
    <t>0096137085</t>
  </si>
  <si>
    <t>BIMA SETIAWAN RELA</t>
  </si>
  <si>
    <t>0099607321</t>
  </si>
  <si>
    <t>AUFA FIKRI FIRDAUS</t>
  </si>
  <si>
    <t>0083079329</t>
  </si>
  <si>
    <t>BUNGA EL SABRINA</t>
  </si>
  <si>
    <t>BUMI SUKMAWATI</t>
  </si>
  <si>
    <t>0096776269</t>
  </si>
  <si>
    <t>AISYAH ANA HARIYANTO</t>
  </si>
  <si>
    <t>0091238339</t>
  </si>
  <si>
    <t>AISYAH ANI HARIYANTO</t>
  </si>
  <si>
    <t>0098516635</t>
  </si>
  <si>
    <t>Ahmad Faiz Rahmatillah</t>
  </si>
  <si>
    <t>0087858823</t>
  </si>
  <si>
    <t>MOH SAHRUL MAULIDI</t>
  </si>
  <si>
    <t>0086540890</t>
  </si>
  <si>
    <t>SUCI MARETA ARIEF</t>
  </si>
  <si>
    <t>0085989808</t>
  </si>
  <si>
    <t>MEIDY ARYANTO WIGUNA</t>
  </si>
  <si>
    <t>0083060697</t>
  </si>
  <si>
    <t>ALLAFA ALYYUS SULTANSYAH WIDJAYA</t>
  </si>
  <si>
    <t>0087903138</t>
  </si>
  <si>
    <t>LUNA ZAHRATUS SHITA</t>
  </si>
  <si>
    <t>0085676521</t>
  </si>
  <si>
    <t>VEREN ALANA SUYONO</t>
  </si>
  <si>
    <t>0083093788</t>
  </si>
  <si>
    <t>AMELIA RIZKI RAMADHANI SURYANTO</t>
  </si>
  <si>
    <t>0083337131</t>
  </si>
  <si>
    <t>ARINI ULFA HIDAYATI</t>
  </si>
  <si>
    <t>0093607543</t>
  </si>
  <si>
    <t>MOH ZACKY MAULANA FIRDAUSI</t>
  </si>
  <si>
    <t>0081315442</t>
  </si>
  <si>
    <t>SEPTI RAHMADIYANTI</t>
  </si>
  <si>
    <t>0085164886</t>
  </si>
  <si>
    <t>FATHIMAH AZ ZAHRA</t>
  </si>
  <si>
    <t>0095437804</t>
  </si>
  <si>
    <t>Asyra Mardhodillah Shafa</t>
  </si>
  <si>
    <t>0092976748</t>
  </si>
  <si>
    <t>MUHAMMAD DAFA ARRIFAI</t>
  </si>
  <si>
    <t>0083375001</t>
  </si>
  <si>
    <t>NAZIFA SALSABILA</t>
  </si>
  <si>
    <t>0088166851</t>
  </si>
  <si>
    <t>AULIA FAIZAH</t>
  </si>
  <si>
    <t>0108459456</t>
  </si>
  <si>
    <t>MOH WILDAN RADITYA</t>
  </si>
  <si>
    <t>0092365326</t>
  </si>
  <si>
    <t>LINTANG WIDYA ANANDA</t>
  </si>
  <si>
    <t>0094498632</t>
  </si>
  <si>
    <t>ARYA DEFIAN AL FARABI</t>
  </si>
  <si>
    <t>0099315210</t>
  </si>
  <si>
    <t>MIFTAHUL FADLI DANIAR</t>
  </si>
  <si>
    <t>0092032751</t>
  </si>
  <si>
    <t>Carissa Gusti Putri</t>
  </si>
  <si>
    <t>0088600933</t>
  </si>
  <si>
    <t>CANDRA ADITIYA NURMANSAH</t>
  </si>
  <si>
    <t>0091451514</t>
  </si>
  <si>
    <t>SAFAIRA PUTERI MAEDIANSYAH</t>
  </si>
  <si>
    <t>NAUFAL RAHMATULLOH N A</t>
  </si>
  <si>
    <t>0095526227</t>
  </si>
  <si>
    <t>MOH REZA FEBRILIYANTO</t>
  </si>
  <si>
    <t>0092554098</t>
  </si>
  <si>
    <t>AKH RASYA EFENDI PUTRA</t>
  </si>
  <si>
    <t>0087754345</t>
  </si>
  <si>
    <t>Nabila Novalinda Ali Wafa</t>
  </si>
  <si>
    <t>0156061180</t>
  </si>
  <si>
    <t>FIRZA AMIRA EL FAIZA</t>
  </si>
  <si>
    <t>0083852021</t>
  </si>
  <si>
    <t>RIKI PUTRA RAIHAN</t>
  </si>
  <si>
    <t>0095598740</t>
  </si>
  <si>
    <t>MUHAMMAD INDRA RIZKY FAHREZA</t>
  </si>
  <si>
    <t>0087693410</t>
  </si>
  <si>
    <t>BETARIA WIFAN AGUSTA</t>
  </si>
  <si>
    <t>RARA QONITA ROYHANI</t>
  </si>
  <si>
    <t>0086660138</t>
  </si>
  <si>
    <t>Juwita Riski Amalia</t>
  </si>
  <si>
    <t>0097064727</t>
  </si>
  <si>
    <t>NAYLA SHAFA AZZAHRA</t>
  </si>
  <si>
    <t>0085484405</t>
  </si>
  <si>
    <t>Muhammad Mikhail Al Farizy</t>
  </si>
  <si>
    <t>0083494373</t>
  </si>
  <si>
    <t>CARISSA DWI PUTRI LARASATI</t>
  </si>
  <si>
    <t>0098950100</t>
  </si>
  <si>
    <t>NADIYAH ARINDA ALFIYANI</t>
  </si>
  <si>
    <t>0083986747</t>
  </si>
  <si>
    <t>MUHAMMAD RIZQI MAULIDI</t>
  </si>
  <si>
    <t>0091798089</t>
  </si>
  <si>
    <t>FEBRI NURIA FAJRIN</t>
  </si>
  <si>
    <t>0082864028</t>
  </si>
  <si>
    <t>Dirgantara Fairuz Iftikhori</t>
  </si>
  <si>
    <t>0092111132</t>
  </si>
  <si>
    <t>R NEVAN BASWARA DAUD</t>
  </si>
  <si>
    <t>0084839529</t>
  </si>
  <si>
    <t>LIVINA DZAKIRA NUGRAHA</t>
  </si>
  <si>
    <t>0089987994</t>
  </si>
  <si>
    <t>FARDAN ABDILLAH NUR FIRDAUS</t>
  </si>
  <si>
    <t>0086327756</t>
  </si>
  <si>
    <t>REVALINA DEWI AGUSTIN</t>
  </si>
  <si>
    <t>RAPORT</t>
  </si>
  <si>
    <t>0091784100</t>
  </si>
  <si>
    <t>OWEN FILIPO SANTOSO</t>
  </si>
  <si>
    <t>0088105454</t>
  </si>
  <si>
    <t>ADINDA AYU RISTIANTI</t>
  </si>
  <si>
    <t>0089967146</t>
  </si>
  <si>
    <t>ASSHIFA MAGHFIRAH</t>
  </si>
  <si>
    <t>0092307512</t>
  </si>
  <si>
    <t>MOH ARAFA DWI PURWANTO</t>
  </si>
  <si>
    <t>0082776507</t>
  </si>
  <si>
    <t>MUHAMMAD IKHLASUL AMAL RUKHUS</t>
  </si>
  <si>
    <t>0094714236</t>
  </si>
  <si>
    <t>MOHAMMAD AL FAYYADL</t>
  </si>
  <si>
    <t>0088027837</t>
  </si>
  <si>
    <t>M RANGGA PUTRA KURNIAWAN</t>
  </si>
  <si>
    <t>0083566346</t>
  </si>
  <si>
    <t>NADYA AZMI KHAIRUNNISA</t>
  </si>
  <si>
    <t>0087980048</t>
  </si>
  <si>
    <t>ACH RIZKY RAMADHANA R</t>
  </si>
  <si>
    <t>0096209388</t>
  </si>
  <si>
    <t>RAFIKA PUTRI YUNIAR</t>
  </si>
  <si>
    <t>0096889903</t>
  </si>
  <si>
    <t>ANDHIKA FERLY DARMAWAN</t>
  </si>
  <si>
    <t>0092559700</t>
  </si>
  <si>
    <t>ACHMAD AFIM INTI ISTIQAM</t>
  </si>
  <si>
    <t>0089426877</t>
  </si>
  <si>
    <t>SABRINA KIRANA AYU SUPRIYADI</t>
  </si>
  <si>
    <t>0095615344</t>
  </si>
  <si>
    <t>MUHAMMAD FAKHRY HIDAYAT</t>
  </si>
  <si>
    <t>0087610741</t>
  </si>
  <si>
    <t>GUNTUR PRASTYO WIBOWO</t>
  </si>
  <si>
    <t>0087393847</t>
  </si>
  <si>
    <t>SHAHIBUL KAMALI RAHMAT HIDAYAT</t>
  </si>
  <si>
    <t>0094661980</t>
  </si>
  <si>
    <t>MOHAMMAD RIZQI FADILAH</t>
  </si>
  <si>
    <t>0084247358</t>
  </si>
  <si>
    <t>LINDHA SYAFITRI</t>
  </si>
  <si>
    <t>0077777981</t>
  </si>
  <si>
    <t>RAMADANI</t>
  </si>
  <si>
    <t>0087918586</t>
  </si>
  <si>
    <t>NABILA DAVID</t>
  </si>
  <si>
    <t>0096807022</t>
  </si>
  <si>
    <t>PUTRI RIZKI FAMADANI</t>
  </si>
  <si>
    <t>0088648714</t>
  </si>
  <si>
    <t>ADINDA ZIFANNA OKTAFIA</t>
  </si>
  <si>
    <t>0093808972</t>
  </si>
  <si>
    <t>AJESIA PRABU ANGGORO HARIYANTO</t>
  </si>
  <si>
    <t>0086518583</t>
  </si>
  <si>
    <t>AMIRA MUBAROK</t>
  </si>
  <si>
    <t>0089344976</t>
  </si>
  <si>
    <t>FARAH DIBA AGUS</t>
  </si>
  <si>
    <t>0092560616</t>
  </si>
  <si>
    <t>CICILYA LISTY NABILA S</t>
  </si>
  <si>
    <t>0098720998</t>
  </si>
  <si>
    <t>RANGGA ADITYA SUGIANTO</t>
  </si>
  <si>
    <t>0081599698</t>
  </si>
  <si>
    <t>MUHAMMAD JANZIBAR RIVANO</t>
  </si>
  <si>
    <t>0087166431</t>
  </si>
  <si>
    <t>MOH RAFI HIDAYATULLAH</t>
  </si>
  <si>
    <t>0087880035</t>
  </si>
  <si>
    <t>RAFI FACHRUDIN</t>
  </si>
  <si>
    <t>0083041624</t>
  </si>
  <si>
    <t>SALSABILA PUTRI HIDAYAT</t>
  </si>
  <si>
    <t>0087638152</t>
  </si>
  <si>
    <t>MOH RAFLI AMIRUL IMAN</t>
  </si>
  <si>
    <t>0081076234</t>
  </si>
  <si>
    <t>FAGHIRA CAYLA PUTRI</t>
  </si>
  <si>
    <t>0093197545</t>
  </si>
  <si>
    <t>MILZI ALIFIA MAULIDA</t>
  </si>
  <si>
    <t>0085720766</t>
  </si>
  <si>
    <t>CHIKO HARDELIO TAHER</t>
  </si>
  <si>
    <t>0091521750</t>
  </si>
  <si>
    <t>NAFIL BERYL FAIRUZ</t>
  </si>
  <si>
    <t>0091164419</t>
  </si>
  <si>
    <t>FATIMAH KASYAF FANIE WAHAB</t>
  </si>
  <si>
    <t>0084878097</t>
  </si>
  <si>
    <t>NAURA YASMITA DWI SEPTIANDINA</t>
  </si>
  <si>
    <t>0083172664</t>
  </si>
  <si>
    <t>AL FATIH WAHYU BASALAMAH</t>
  </si>
  <si>
    <t>0089056135</t>
  </si>
  <si>
    <t>AURIEL DWIVANI PUTERA</t>
  </si>
  <si>
    <t>0091738402</t>
  </si>
  <si>
    <t>VINA SAFRIYANI</t>
  </si>
  <si>
    <t>0099235377</t>
  </si>
  <si>
    <t>YULIA EKA FITRIANSYAH</t>
  </si>
  <si>
    <t>0091280055</t>
  </si>
  <si>
    <t>ARFAN NUBAID</t>
  </si>
  <si>
    <t>0092243247</t>
  </si>
  <si>
    <t>PATO ALTHAF MULYAWAN</t>
  </si>
  <si>
    <t>0088416817</t>
  </si>
  <si>
    <t>MUHAMMAD FATHIR KHAWARIZMI</t>
  </si>
  <si>
    <t>0097433698</t>
  </si>
  <si>
    <t>MOHAMMAD DAFFANSYAH ROIS</t>
  </si>
  <si>
    <t>SAYYID AHMAD ALFANSORI</t>
  </si>
  <si>
    <t>0065403876</t>
  </si>
  <si>
    <t>AMIEN FIRDAUS</t>
  </si>
  <si>
    <t>0089650480</t>
  </si>
  <si>
    <t>HAYZA DINA AULIYA</t>
  </si>
  <si>
    <t>0085662442</t>
  </si>
  <si>
    <t>YUNIAR AL MIRA RAMADHANI</t>
  </si>
  <si>
    <t>0093162650</t>
  </si>
  <si>
    <t>MOHAMMAD DHORIF AFLAH FAISAL</t>
  </si>
  <si>
    <t>0084713270</t>
  </si>
  <si>
    <t>MUHAMMAD YUSUF ADI PRATAMA</t>
  </si>
  <si>
    <t>0088623988</t>
  </si>
  <si>
    <t>FIRA OKTAVIA HIDAYATI</t>
  </si>
  <si>
    <t>0087170874</t>
  </si>
  <si>
    <t>SHERIN ANNISA RAHMANI</t>
  </si>
  <si>
    <t>0089276032</t>
  </si>
  <si>
    <t>MOH AFGAN BARLIYANTO</t>
  </si>
  <si>
    <t>0086255643</t>
  </si>
  <si>
    <t>REVIANA ZAHRA</t>
  </si>
  <si>
    <t>0084346315</t>
  </si>
  <si>
    <t>GILANG AKMAL HIDAYAT</t>
  </si>
  <si>
    <t>0091631646</t>
  </si>
  <si>
    <t>DEVANI BAGUS ZAKIYAN</t>
  </si>
  <si>
    <t>0096081695</t>
  </si>
  <si>
    <t>ACH NURUL HIDAYAT</t>
  </si>
  <si>
    <t>0095865320</t>
  </si>
  <si>
    <t>REZKY ANDIZA PRATAMA</t>
  </si>
  <si>
    <t>0093543547</t>
  </si>
  <si>
    <t>FENI ISTIGHFARINI</t>
  </si>
  <si>
    <t>0099672333</t>
  </si>
  <si>
    <t>RAHMI HUMAIRA</t>
  </si>
  <si>
    <t>0088888355</t>
  </si>
  <si>
    <t>SAVIRA ELDIANA</t>
  </si>
  <si>
    <t>0099773502</t>
  </si>
  <si>
    <t>RIANA MAULIDIA</t>
  </si>
  <si>
    <t>0083245302</t>
  </si>
  <si>
    <t>PRAMUDYA YUSUF SAPUTRA</t>
  </si>
  <si>
    <t>0089957271</t>
  </si>
  <si>
    <t>MOH RANDHIKA ARSY PUTRA</t>
  </si>
  <si>
    <t>0084020082</t>
  </si>
  <si>
    <t>IRMA NOVIANTI PUTRI NASIR</t>
  </si>
  <si>
    <t>0099559196</t>
  </si>
  <si>
    <t>MOH FIKI ALAN FAJRI</t>
  </si>
  <si>
    <t>0084036504</t>
  </si>
  <si>
    <t>NAUFAL PUTRA HARDIANSYAH</t>
  </si>
  <si>
    <t>0082607776</t>
  </si>
  <si>
    <t>ANDI ZAKY DANISH FIRMANSYAH</t>
  </si>
  <si>
    <t>0084641835</t>
  </si>
  <si>
    <t>AKRAM ARKANANTA FIRDAUS</t>
  </si>
  <si>
    <t>0092449638</t>
  </si>
  <si>
    <t>AURA DINDA TRY ZALIANTY</t>
  </si>
  <si>
    <t>0081665724</t>
  </si>
  <si>
    <t>ICHA YUNITA PURNAMA</t>
  </si>
  <si>
    <t>0088529897</t>
  </si>
  <si>
    <t>GILANG AKBAR SYAHPUTRA NASSO</t>
  </si>
  <si>
    <t>0097358875</t>
  </si>
  <si>
    <t>ADILA RASYADAH RAHMAN</t>
  </si>
  <si>
    <t>0083715423</t>
  </si>
  <si>
    <t>ZAUMAR ABDURRAHMAN RITONGA</t>
  </si>
  <si>
    <t>0095088946</t>
  </si>
  <si>
    <t>ARIANNA FATHIA LATHIEFANI</t>
  </si>
  <si>
    <t>0094346939</t>
  </si>
  <si>
    <t>MOH ALFIAN ZAINAL ARIF</t>
  </si>
  <si>
    <t>0088629626</t>
  </si>
  <si>
    <t>BELVA PRATISARA DIYAS</t>
  </si>
  <si>
    <t>0089337623</t>
  </si>
  <si>
    <t>KEA APRILIA MEDIANA PUTRI</t>
  </si>
  <si>
    <t>0093440845</t>
  </si>
  <si>
    <t>ALLENA GIOVANNY SUGIARTO</t>
  </si>
  <si>
    <t>0095502237</t>
  </si>
  <si>
    <t>SANDRICA MENTARI WIDYADHANA</t>
  </si>
  <si>
    <t>0081452355</t>
  </si>
  <si>
    <t>MUHAMMAD BINTANG PUTRA DARMAWAN</t>
  </si>
  <si>
    <t>0098143816</t>
  </si>
  <si>
    <t>AZIMU NASYWA YATRIN</t>
  </si>
  <si>
    <t>0081404380</t>
  </si>
  <si>
    <t>MAULIDATUL KOFIFAH</t>
  </si>
  <si>
    <t>0085664492</t>
  </si>
  <si>
    <t>MUHAMMAD FAIZAL ALFAJRI</t>
  </si>
  <si>
    <t>0087802844</t>
  </si>
  <si>
    <t>NUR IKHLAS ARIFIN</t>
  </si>
  <si>
    <t>0099057804</t>
  </si>
  <si>
    <t>MOH RIZKY ADITIANSYAH</t>
  </si>
  <si>
    <t>0082986450</t>
  </si>
  <si>
    <t>ACH IMAM MURTADHO</t>
  </si>
  <si>
    <t>0087193172</t>
  </si>
  <si>
    <t>NUR SYARIF</t>
  </si>
  <si>
    <t>0084462888</t>
  </si>
  <si>
    <t>MOHAMMAD IBRA PRATAMA</t>
  </si>
  <si>
    <t>0078105152</t>
  </si>
  <si>
    <t>RIYADHATUS SHOLIHIN</t>
  </si>
  <si>
    <t>0093657785</t>
  </si>
  <si>
    <t>Muhammad Nibras Fachrullah</t>
  </si>
  <si>
    <t>0096563279</t>
  </si>
  <si>
    <t>MAYSATUL HASANAH</t>
  </si>
  <si>
    <t>0083962670</t>
  </si>
  <si>
    <t>HOLIZATUL AMALIA</t>
  </si>
  <si>
    <t>0086109051</t>
  </si>
  <si>
    <t>AISYAH AZZAHRA</t>
  </si>
  <si>
    <t>ELISYIA NOUR FAKHRANI</t>
  </si>
  <si>
    <t>0084107821</t>
  </si>
  <si>
    <t>GEUREL RADIENA PHOEBIE</t>
  </si>
  <si>
    <t>0083185864</t>
  </si>
  <si>
    <t>M FAKHRI ALIEF OKTAVIAN</t>
  </si>
  <si>
    <t>0094168761</t>
  </si>
  <si>
    <t>PUTRI GARANITA ARDALIA WIBOWO</t>
  </si>
  <si>
    <t>0093351007</t>
  </si>
  <si>
    <t>Adintya Djasmine Aulia</t>
  </si>
  <si>
    <t>0086147736</t>
  </si>
  <si>
    <t>JEVIAN STYA PRATAMA</t>
  </si>
  <si>
    <t>0083330053</t>
  </si>
  <si>
    <t>SHELFIA PUTRI RAMADHANI</t>
  </si>
  <si>
    <t>0086479528</t>
  </si>
  <si>
    <t>SELVIA RAMADHANI</t>
  </si>
  <si>
    <t>0081529684</t>
  </si>
  <si>
    <t>YULIATUL QOMARIYAH</t>
  </si>
  <si>
    <t>0087990908</t>
  </si>
  <si>
    <t>MOH RISHAL HIDAYAT</t>
  </si>
  <si>
    <t>0082153282</t>
  </si>
  <si>
    <t>ELMAS SULTHON SALIM</t>
  </si>
  <si>
    <t>0087377583</t>
  </si>
  <si>
    <t>LALA HERMANDA</t>
  </si>
  <si>
    <t>0098382897</t>
  </si>
  <si>
    <t>MOHAMMAD IQBAL RISTRIANTO</t>
  </si>
  <si>
    <t>0086888062</t>
  </si>
  <si>
    <t>HUMAIR DZIKRI SYAHLANA</t>
  </si>
  <si>
    <t>0087109610</t>
  </si>
  <si>
    <t>RASYA YUDHA ADHANDIKA</t>
  </si>
  <si>
    <t>0096047605</t>
  </si>
  <si>
    <t>HANIEF RIZKIANSYAH ARIEF</t>
  </si>
  <si>
    <t>0096666857</t>
  </si>
  <si>
    <t>TRIO LANANG PRAKOSO</t>
  </si>
  <si>
    <t>0091498870</t>
  </si>
  <si>
    <t>GILANG HARTIANSYAH</t>
  </si>
  <si>
    <t>0094946607</t>
  </si>
  <si>
    <t>RANGGA MAULIDAN RAHMAN CPK</t>
  </si>
  <si>
    <t>0092980783</t>
  </si>
  <si>
    <t>INDAH DWI SYAFITRI ALANSYAH</t>
  </si>
  <si>
    <t>0097637507</t>
  </si>
  <si>
    <t>ACHMAD RAFI AKBAR</t>
  </si>
  <si>
    <t>0097062522</t>
  </si>
  <si>
    <t>ACHMAD RIZQON JANUAR</t>
  </si>
  <si>
    <t>0095986339</t>
  </si>
  <si>
    <t>ALDO SUKMA MAULIDZI</t>
  </si>
  <si>
    <t>0079472704</t>
  </si>
  <si>
    <t>INTAN TARI R</t>
  </si>
  <si>
    <t>0088585112</t>
  </si>
  <si>
    <t>AYU NOVIANTI PRATIWI</t>
  </si>
  <si>
    <t>0089365793</t>
  </si>
  <si>
    <t>CAROLINA AGUSTIN ARYA SARI</t>
  </si>
  <si>
    <t>0095256057</t>
  </si>
  <si>
    <t>AKBAR RAHMATULLAH RAMADHAN</t>
  </si>
  <si>
    <t>0092567020</t>
  </si>
  <si>
    <t>MOH ADITYA MAULANA PUTRA</t>
  </si>
  <si>
    <t>0082665512</t>
  </si>
  <si>
    <t>BRILLIANT BRAMARGANTARA PM</t>
  </si>
  <si>
    <t>0082833966</t>
  </si>
  <si>
    <t>YULIA MAULIDINA ARIEF</t>
  </si>
  <si>
    <t>0083224313</t>
  </si>
  <si>
    <t>LATIFA SALMA</t>
  </si>
  <si>
    <t>0085516582</t>
  </si>
  <si>
    <t>AIZZA RAHMATIN NUR NADIN</t>
  </si>
  <si>
    <t>0081310206</t>
  </si>
  <si>
    <t>MOH ILHAM MULYANA</t>
  </si>
  <si>
    <t>0093580431</t>
  </si>
  <si>
    <t>NALANDA SYAHBANIA ARDHIANSYAH</t>
  </si>
  <si>
    <t>0093422775</t>
  </si>
  <si>
    <t>RAFEYFA ZALFA ZAHIRA</t>
  </si>
  <si>
    <t>0089650616</t>
  </si>
  <si>
    <t>DEWI NUR AZIZAH</t>
  </si>
  <si>
    <t>0098997217</t>
  </si>
  <si>
    <t>R RAIHANUN FEBRIYANA SUGIHARTO</t>
  </si>
  <si>
    <t>0096438872</t>
  </si>
  <si>
    <t>AMELIA HERIYANTO</t>
  </si>
  <si>
    <t>0098446166</t>
  </si>
  <si>
    <t>YASMIN ANGGITA UTOMO</t>
  </si>
  <si>
    <t>AGUSDHANI WAFRI</t>
  </si>
  <si>
    <t>0086865210</t>
  </si>
  <si>
    <t>ANNISA ALMAQFIRA</t>
  </si>
  <si>
    <t>0085974844</t>
  </si>
  <si>
    <t>Robiatul Humairoh</t>
  </si>
  <si>
    <t>0087620753</t>
  </si>
  <si>
    <t>RAEGIENA ELZA ZALZIELA</t>
  </si>
  <si>
    <t>0096575426</t>
  </si>
  <si>
    <t>JIHAN NAILA PUTRI DIKA</t>
  </si>
  <si>
    <t>0085715335</t>
  </si>
  <si>
    <t>AGUNG AULIA AKBAR</t>
  </si>
  <si>
    <t>0096039518</t>
  </si>
  <si>
    <t>MOHMASYRUR</t>
  </si>
  <si>
    <t>0086354265</t>
  </si>
  <si>
    <t>MUHAMMAD IQBAL RAIHANUN</t>
  </si>
  <si>
    <t>0089202875</t>
  </si>
  <si>
    <t>NURISCHA AHDANIA</t>
  </si>
  <si>
    <t>0092301710</t>
  </si>
  <si>
    <t>OLIVIA DAMAYANTI LUQMAN</t>
  </si>
  <si>
    <t>0097102519</t>
  </si>
  <si>
    <t>SHIVA MAULIDYA PRASETIYO</t>
  </si>
  <si>
    <t>0094693693</t>
  </si>
  <si>
    <t>AURA NADHIF HENDRA SYAHPUTRA</t>
  </si>
  <si>
    <t>0095752316</t>
  </si>
  <si>
    <t>AURA NAVIS HENDRA SYAHPUTRA</t>
  </si>
  <si>
    <t>0086800316</t>
  </si>
  <si>
    <t>NUR RIZQA ZANJABILA</t>
  </si>
  <si>
    <t>0077719009</t>
  </si>
  <si>
    <t>SYAVIYOLA YENITHA CAHYONO</t>
  </si>
  <si>
    <t>0087358232</t>
  </si>
  <si>
    <t>Syahrezi Ubaydillah</t>
  </si>
  <si>
    <t>0089501886</t>
  </si>
  <si>
    <t>DHIMAS ADHA TRI SUSANTO</t>
  </si>
  <si>
    <t>0085190125</t>
  </si>
  <si>
    <t>NORUSSIFA NOVIYANA SYAFANI</t>
  </si>
  <si>
    <t>0088261483</t>
  </si>
  <si>
    <t>MUHAMMAD IQBAL LISMARTA</t>
  </si>
  <si>
    <t>0094289783</t>
  </si>
  <si>
    <t>Muhammad Nadhif Azaria Putra</t>
  </si>
  <si>
    <t>0092796237</t>
  </si>
  <si>
    <t>MAULANA AINUL YAQIN</t>
  </si>
  <si>
    <t>0096013702</t>
  </si>
  <si>
    <t>ALISHA RAMADHANI POERNOMO</t>
  </si>
  <si>
    <t>0093463371</t>
  </si>
  <si>
    <t>Bennett Wang</t>
  </si>
  <si>
    <t>0095463618</t>
  </si>
  <si>
    <t>ABDURRAHMAN</t>
  </si>
  <si>
    <t>0085713874</t>
  </si>
  <si>
    <t>TANIA KHANZA FIRNANDA RAMADHANI</t>
  </si>
  <si>
    <t>0097120243</t>
  </si>
  <si>
    <t>SHEBIA KINANTI AURELLUNA</t>
  </si>
  <si>
    <t>0083785128</t>
  </si>
  <si>
    <t>HANIK AWALIYATUN NANDINI</t>
  </si>
  <si>
    <t>0087175500</t>
  </si>
  <si>
    <t>ADLI MOURA ADYTIA RAUF</t>
  </si>
  <si>
    <t>0098217448</t>
  </si>
  <si>
    <t>EMIR BRILIAN HARIANTO</t>
  </si>
  <si>
    <t>0087421628</t>
  </si>
  <si>
    <t>Bagas Mahardika Putra</t>
  </si>
  <si>
    <t>0089619651</t>
  </si>
  <si>
    <t>NOER RISQI RAMADHANI</t>
  </si>
  <si>
    <t>Keyzha Lucyana Adhia Rinda</t>
  </si>
  <si>
    <t>0099987267</t>
  </si>
  <si>
    <t>ABD HAMID MANAF</t>
  </si>
  <si>
    <t>0094896372</t>
  </si>
  <si>
    <t>MIRANDA KUSUMA ATMAJA</t>
  </si>
  <si>
    <t>0093901388</t>
  </si>
  <si>
    <t>MOHAMMAD GHAVIN AZZARYA TAMRIN</t>
  </si>
  <si>
    <t>0098116050</t>
  </si>
  <si>
    <t>ILFI NABILA WIYANTO</t>
  </si>
  <si>
    <t>0098573401</t>
  </si>
  <si>
    <t>ARKAN QUVI RAHAGIS</t>
  </si>
  <si>
    <t>0088881095</t>
  </si>
  <si>
    <t>KAYSAN AISEL ASYROF</t>
  </si>
  <si>
    <t>0098205189</t>
  </si>
  <si>
    <t>IBRAHIM PUTRA BUDIYANTO</t>
  </si>
  <si>
    <t>0085292687</t>
  </si>
  <si>
    <t>FARREL DANENDRA PRATAMA</t>
  </si>
  <si>
    <t>0082000972</t>
  </si>
  <si>
    <t>DYRA DANISWARA PRADIPTA</t>
  </si>
  <si>
    <t>0105298760</t>
  </si>
  <si>
    <t>ALVINA RIZKI ANDINI</t>
  </si>
  <si>
    <t>0093064729</t>
  </si>
  <si>
    <t>FEBRI ADITYA PRATAMA</t>
  </si>
  <si>
    <t>0092690551</t>
  </si>
  <si>
    <t>ASRAFUL MIFTAH</t>
  </si>
  <si>
    <t>ZONASI</t>
  </si>
  <si>
    <t>ADINTYA DJASMINE AULIA</t>
  </si>
  <si>
    <t>BAGAS MAHARDIKA PUTRA</t>
  </si>
  <si>
    <t>DESVITA ANGGRAINI</t>
  </si>
  <si>
    <t>DIRGANTARA FAIRUZ IFTIKHORI</t>
  </si>
  <si>
    <t>OKTARINA SYAWLA PUTRI</t>
  </si>
  <si>
    <t>TULUS FIRMANSYAH</t>
  </si>
  <si>
    <t>AHMAD FAIZ RAHMATILLAH</t>
  </si>
  <si>
    <t>JUWITA RISKI AMALIA</t>
  </si>
  <si>
    <t>SITTI USWATUN HASANAH</t>
  </si>
  <si>
    <t>VINA ISTIANA</t>
  </si>
  <si>
    <t>ASYRA MARDHODILLAH SHAFA</t>
  </si>
  <si>
    <t>MERISA ANGGI YULIA PUTRI</t>
  </si>
  <si>
    <t>NAURA WILDA SAFITRI</t>
  </si>
  <si>
    <t>BAMBANG FARIAJI</t>
  </si>
  <si>
    <t>KEYZHA LUCYANA ADHIA RINDA</t>
  </si>
  <si>
    <t>SELVIANA FEBIYANTI</t>
  </si>
  <si>
    <t>VINCENTIUS SAMUEL CANDRA</t>
  </si>
  <si>
    <t>KHAZWA FARIH IMTIYAZ MINDAS</t>
  </si>
  <si>
    <t>MUHAMMAD NADHIF AZARIA PUTRA</t>
  </si>
  <si>
    <t>CARISSA GUSTI PUTRI</t>
  </si>
  <si>
    <t>BENNETT WANG</t>
  </si>
  <si>
    <t>FADEL RISQULLAH BAKRIE</t>
  </si>
  <si>
    <t>MARVEL GILBERT VILIANTO</t>
  </si>
  <si>
    <t>MUHAMMAD NIBRAS FACHRULLAH</t>
  </si>
  <si>
    <t>NAWA AMELIA SHOLEHAH</t>
  </si>
  <si>
    <t>NAYLA CLARESTA MEDISTYA</t>
  </si>
  <si>
    <t>MUHAMMAD INSAN KAMIL</t>
  </si>
  <si>
    <t>MUHAMMAD MIKHAIL AL FARIZY</t>
  </si>
  <si>
    <t>NABILA NOVALINDA ALI WAFA</t>
  </si>
  <si>
    <t>ROBIATUL HUMAIROH</t>
  </si>
  <si>
    <t>SYAHREZI UBAYDILLAH</t>
  </si>
  <si>
    <t>AKSA AHMAD</t>
  </si>
  <si>
    <t>ALFISA SYAHIRA SUTIKNO</t>
  </si>
  <si>
    <t>ARIKA ABADIA HAMAS</t>
  </si>
  <si>
    <t>Tahun Pelajaran 2024 / 2025</t>
  </si>
  <si>
    <t>3097897632</t>
  </si>
  <si>
    <t>3089324280</t>
  </si>
  <si>
    <t>3086768292</t>
  </si>
  <si>
    <t>3080968608</t>
  </si>
  <si>
    <t>3099859817</t>
  </si>
  <si>
    <t>3082508031</t>
  </si>
  <si>
    <t>3081834782</t>
  </si>
  <si>
    <t>3082095795</t>
  </si>
  <si>
    <t>3087463662</t>
  </si>
  <si>
    <t>3099461393</t>
  </si>
  <si>
    <t>3082973214</t>
  </si>
  <si>
    <t>3094339612</t>
  </si>
  <si>
    <t>SOEGIHARTO B.P., S.Pd.</t>
  </si>
  <si>
    <t>197008312006041004 - III/c</t>
  </si>
  <si>
    <t xml:space="preserve">SHELLY MARINI, S.Pd. </t>
  </si>
  <si>
    <t>SOFAYANTO, S.Pd</t>
  </si>
  <si>
    <t>d</t>
  </si>
  <si>
    <t>e</t>
  </si>
  <si>
    <t>f</t>
  </si>
  <si>
    <t>g</t>
  </si>
  <si>
    <t>h</t>
  </si>
  <si>
    <t>i</t>
  </si>
  <si>
    <t>j</t>
  </si>
  <si>
    <t>NAUVAL FARIZ RIZALDY AL-ARIF</t>
  </si>
  <si>
    <t>AKH. RASYA EFENDI PUTRA</t>
  </si>
  <si>
    <t>MOH. ILHAM MULYANA</t>
  </si>
  <si>
    <t>R. NEVAN BASWARA DAUD</t>
  </si>
  <si>
    <t>MUHAMMAD DAFA ARRIFA'I</t>
  </si>
  <si>
    <t>R. AYU NOURA AZKIA</t>
  </si>
  <si>
    <t>INTAN TARI RAMADHANI</t>
  </si>
  <si>
    <t>AURIEL DWIVANI PUTRA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</si>
  <si>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</si>
  <si>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</si>
  <si>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</si>
  <si>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</si>
  <si>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</si>
  <si>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</si>
  <si>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</si>
  <si>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</si>
  <si>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</si>
  <si>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</si>
  <si>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NIS</t>
  </si>
  <si>
    <t>0084217342</t>
  </si>
  <si>
    <t>0088666409</t>
  </si>
  <si>
    <t>ULFATUS SASKIYA</t>
  </si>
  <si>
    <t>AHMAD FAWWAS IRFANI</t>
  </si>
  <si>
    <t>RATNAWATI SUDIARSIH, S.S.i</t>
  </si>
  <si>
    <t>19780412 200604 2 018</t>
  </si>
  <si>
    <t>Tahun Pelajaran 2025 / 2026</t>
  </si>
  <si>
    <t>RORO RIRIS PRAWITASARI H.S.Pd</t>
  </si>
  <si>
    <t>19871026 202321 2 014</t>
  </si>
  <si>
    <t>AMIRA YAHYA, M.Pd</t>
  </si>
  <si>
    <t>19860304 200903 2 001</t>
  </si>
  <si>
    <t>CHIKI EVA KRISTIYARA, S.Pd</t>
  </si>
  <si>
    <t>19861108 202321 2 036</t>
  </si>
  <si>
    <t>19861211 201101 2 012</t>
  </si>
  <si>
    <t>19930731 202012 1 016</t>
  </si>
  <si>
    <t>ALIF AMALIA RISKI R. S.Pd</t>
  </si>
  <si>
    <t>19840606 201001 2 013</t>
  </si>
  <si>
    <t>SULAIHAH, S.Pd</t>
  </si>
  <si>
    <t>19940317 201903 2 018</t>
  </si>
  <si>
    <t>0086334540</t>
  </si>
  <si>
    <t>M. FAYHAN HIDAYAT</t>
  </si>
  <si>
    <t>0087873856</t>
  </si>
  <si>
    <t>AHMAD GHOSI AKBAR</t>
  </si>
  <si>
    <t>MOH. MASYRUR</t>
  </si>
  <si>
    <t>0093605280</t>
  </si>
  <si>
    <t>CAHAYA INDAR NINGTYAS</t>
  </si>
  <si>
    <t>MUHAMMAD FATHIR KHAWARZMI</t>
  </si>
  <si>
    <t>0083116419</t>
  </si>
  <si>
    <t>b</t>
  </si>
  <si>
    <t>0097062522 / 14596</t>
  </si>
  <si>
    <t>0088648714 / 14600</t>
  </si>
  <si>
    <t>0099522649 / 14603</t>
  </si>
  <si>
    <t>0096776269 / 14609</t>
  </si>
  <si>
    <t>0086109051 / 14611</t>
  </si>
  <si>
    <t>3099859817 / 14631</t>
  </si>
  <si>
    <t>0089933258 / 14635</t>
  </si>
  <si>
    <t>0095088946 / 14640</t>
  </si>
  <si>
    <t>0083337131 / 14643</t>
  </si>
  <si>
    <t>0094498632 / 14646</t>
  </si>
  <si>
    <t>0081651505 / 14657</t>
  </si>
  <si>
    <t>0097949164 / 14700</t>
  </si>
  <si>
    <t>0089987994 / 14703</t>
  </si>
  <si>
    <t>0091798089 / 14710</t>
  </si>
  <si>
    <t>0088623988 / 14712</t>
  </si>
  <si>
    <t>0087610741 / 14722</t>
  </si>
  <si>
    <t>0104564202 / 14743</t>
  </si>
  <si>
    <t>0085428877 / 14764</t>
  </si>
  <si>
    <t>0083556423 / 14767</t>
  </si>
  <si>
    <t>0099057804 / 14790</t>
  </si>
  <si>
    <t>0093607543 / 14793</t>
  </si>
  <si>
    <t>0094289783 / 14820</t>
  </si>
  <si>
    <t>0083986747 / 14824</t>
  </si>
  <si>
    <t>0093580431 / 14836</t>
  </si>
  <si>
    <t>0086800316 / 14855</t>
  </si>
  <si>
    <t>0088066553 / 14858</t>
  </si>
  <si>
    <t>0092243247 / 14866</t>
  </si>
  <si>
    <t>0096807022 / 14870</t>
  </si>
  <si>
    <t>0098997217 / 14871</t>
  </si>
  <si>
    <t>R. RAIHANUN FEBRIYANA SUGIHARTO</t>
  </si>
  <si>
    <t>0096094178 / 14881</t>
  </si>
  <si>
    <t>3081834782 / 14886</t>
  </si>
  <si>
    <t>0099773502 / 14894</t>
  </si>
  <si>
    <t>0089463780 / 14934</t>
  </si>
  <si>
    <t>0085106484 / 14940</t>
  </si>
  <si>
    <t>0093351007 / 14601</t>
  </si>
  <si>
    <t>0105298760 / 14624</t>
  </si>
  <si>
    <t>0082440195 / 14641</t>
  </si>
  <si>
    <t>0095437804 / 14649</t>
  </si>
  <si>
    <t>0088166851 / 14651</t>
  </si>
  <si>
    <t>0087658356 / 14668</t>
  </si>
  <si>
    <t>3094339612 / 14672</t>
  </si>
  <si>
    <t>0092639463 / 14681</t>
  </si>
  <si>
    <t>0085034059 / 14684</t>
  </si>
  <si>
    <t>0091631646 / 14685</t>
  </si>
  <si>
    <t>0093488510 / 14702</t>
  </si>
  <si>
    <t>FARAND M. YUNUS AL FARIZY</t>
  </si>
  <si>
    <t>0083785128 / 14724</t>
  </si>
  <si>
    <t>0083962670 / 14730</t>
  </si>
  <si>
    <t>0086888062 / 14731</t>
  </si>
  <si>
    <t>0092932213 / 14739</t>
  </si>
  <si>
    <t>0083224313 / 14752</t>
  </si>
  <si>
    <t>0091869182 / 14763</t>
  </si>
  <si>
    <t>0082501965 / 14784</t>
  </si>
  <si>
    <t>0087990908 / 14789</t>
  </si>
  <si>
    <t>MOH. RISHAL HIDAYAT</t>
  </si>
  <si>
    <t>0092976748 / 14806</t>
  </si>
  <si>
    <t>0086354265 / 14817</t>
  </si>
  <si>
    <t>0084273329 / 14822</t>
  </si>
  <si>
    <t>0087918586 / 14827</t>
  </si>
  <si>
    <t>0081535841 / 14829</t>
  </si>
  <si>
    <t>0093665863 / 14851</t>
  </si>
  <si>
    <t>0086615669 / 14861</t>
  </si>
  <si>
    <t>0092301710 / 14862</t>
  </si>
  <si>
    <t>0082402810 / 14865</t>
  </si>
  <si>
    <t>0083245302 / 14868</t>
  </si>
  <si>
    <t>0087162622 / 14885</t>
  </si>
  <si>
    <t>0095300336 / 14905</t>
  </si>
  <si>
    <t>0099249982 / 14911</t>
  </si>
  <si>
    <t>0083330053 / 14915</t>
  </si>
  <si>
    <t>0093513951 / 14920</t>
  </si>
  <si>
    <t>0077719009 / 14927</t>
  </si>
  <si>
    <t>0083715423 / 14947</t>
  </si>
  <si>
    <t>0083172664 / 14618</t>
  </si>
  <si>
    <t>0082607776 / 14633</t>
  </si>
  <si>
    <t>0098581750 / 14642</t>
  </si>
  <si>
    <t>0094693693 / 14654</t>
  </si>
  <si>
    <t>0092560616 / 14680</t>
  </si>
  <si>
    <t>0096931249 / 14683</t>
  </si>
  <si>
    <t>0093461236 / 14705</t>
  </si>
  <si>
    <t>0091164419 / 14707</t>
  </si>
  <si>
    <t>0088529897 / 14717</t>
  </si>
  <si>
    <t>0086147736 / 14740</t>
  </si>
  <si>
    <t>0094952897 / 14750</t>
  </si>
  <si>
    <t>0087377583 / 14751</t>
  </si>
  <si>
    <t>0084705460 / 14759</t>
  </si>
  <si>
    <t>M. ABYAN FAITH FAWAZEE</t>
  </si>
  <si>
    <t>0082984202 / 14765</t>
  </si>
  <si>
    <t>0085989808 / 14771</t>
  </si>
  <si>
    <t>0099315210 / 14775</t>
  </si>
  <si>
    <t>0094896372 / 14777</t>
  </si>
  <si>
    <t>0087166431 / 14794</t>
  </si>
  <si>
    <t>0093162650 / 14798</t>
  </si>
  <si>
    <t>0093901388 / 14799</t>
  </si>
  <si>
    <t>0098327801 / 14809</t>
  </si>
  <si>
    <t>3099461393 / 14826</t>
  </si>
  <si>
    <t>0098950100 / 14831</t>
  </si>
  <si>
    <t>0095516794 / 14838</t>
  </si>
  <si>
    <t>0084036504 / 14841</t>
  </si>
  <si>
    <t>0085190125 / 14853</t>
  </si>
  <si>
    <t>0088070697 / 14872</t>
  </si>
  <si>
    <t>0081550255 / 14901</t>
  </si>
  <si>
    <t>0088888355 / 14908</t>
  </si>
  <si>
    <t>0097120243 / 14914</t>
  </si>
  <si>
    <t>0085713874 / 14928</t>
  </si>
  <si>
    <t>0093897835 / 14937</t>
  </si>
  <si>
    <t>0084473234 / 14939</t>
  </si>
  <si>
    <t>0085662442 / 14945</t>
  </si>
  <si>
    <t>0097637507 / 14595</t>
  </si>
  <si>
    <t>0091162442 / 14597</t>
  </si>
  <si>
    <t>0095256057 / 14614</t>
  </si>
  <si>
    <t>0095415650 / 14638</t>
  </si>
  <si>
    <t>0098143816 / 14660</t>
  </si>
  <si>
    <t>0081890474 / 14665</t>
  </si>
  <si>
    <t>0082665512 / 14671</t>
  </si>
  <si>
    <t>BRILLIANT BRAMARGANTARA P.M.</t>
  </si>
  <si>
    <t>0092032751 / 14676</t>
  </si>
  <si>
    <t>0085720766 / 14678</t>
  </si>
  <si>
    <t>0086730733 / 14690</t>
  </si>
  <si>
    <t>0082153282 / 14696</t>
  </si>
  <si>
    <t>0085164886 / 14706</t>
  </si>
  <si>
    <t>0093695374 / 14719</t>
  </si>
  <si>
    <t>0096047605 / 14723</t>
  </si>
  <si>
    <t>0088601519 / 14729</t>
  </si>
  <si>
    <t>0098205189 / 14733</t>
  </si>
  <si>
    <t>0079472704 / 14737</t>
  </si>
  <si>
    <t>0096323695 / 14749</t>
  </si>
  <si>
    <t>0098583778 / 14756</t>
  </si>
  <si>
    <t>0084839529 / 14757</t>
  </si>
  <si>
    <t>0087903138 / 14758</t>
  </si>
  <si>
    <t>0099059716 / 14762</t>
  </si>
  <si>
    <t>MAISYAR MAULI NABILA F.P.</t>
  </si>
  <si>
    <t>0093197545 / 14776</t>
  </si>
  <si>
    <t>0094346939 / 14781</t>
  </si>
  <si>
    <t>MOH. ALFIAN ZAINAL ARIF</t>
  </si>
  <si>
    <t>0108459456 / 14792</t>
  </si>
  <si>
    <t>MOH. WILDAN RADITYA</t>
  </si>
  <si>
    <t>0098382897 / 14801</t>
  </si>
  <si>
    <t>0091755500 / 14835</t>
  </si>
  <si>
    <t>0091667325 / 14843</t>
  </si>
  <si>
    <t>0097064727 / 14848</t>
  </si>
  <si>
    <t>0083375001 / 14849</t>
  </si>
  <si>
    <t>0086506804 / 14874</t>
  </si>
  <si>
    <t>0087880035 / 14877</t>
  </si>
  <si>
    <t>0083907588 / 14899</t>
  </si>
  <si>
    <t>0085453933 / 14907</t>
  </si>
  <si>
    <t>0087170874 / 14916</t>
  </si>
  <si>
    <t>0099637523 / 14933</t>
  </si>
  <si>
    <t>0087980048 / 14593</t>
  </si>
  <si>
    <t>ACH. RIZKY RAMADHANA R</t>
  </si>
  <si>
    <t>0085715335 / 14605</t>
  </si>
  <si>
    <t>0095865130 / 14608</t>
  </si>
  <si>
    <t>0091238339 / 14610</t>
  </si>
  <si>
    <t>0102524441 / 14620</t>
  </si>
  <si>
    <t>0083060697 / 14622</t>
  </si>
  <si>
    <t>0098143746 / 14634</t>
  </si>
  <si>
    <t>0092690551 / 14647</t>
  </si>
  <si>
    <t>0093463371 / 14664</t>
  </si>
  <si>
    <t>0082864028 / 14688</t>
  </si>
  <si>
    <t>3097897632 / 14691</t>
  </si>
  <si>
    <t>0082845989 / 14698</t>
  </si>
  <si>
    <t>0156061180 / 14713</t>
  </si>
  <si>
    <t>0082847597 / 14714</t>
  </si>
  <si>
    <t>0084346315 / 14718</t>
  </si>
  <si>
    <t>0085768344 / 14732</t>
  </si>
  <si>
    <t>0086660138 / 14742</t>
  </si>
  <si>
    <t>0086334540 / 15302</t>
  </si>
  <si>
    <t>0096563279 / 14770</t>
  </si>
  <si>
    <t>0081442566 / 14772</t>
  </si>
  <si>
    <t>0091835952 / 14774</t>
  </si>
  <si>
    <t>0089957271 / 14787</t>
  </si>
  <si>
    <t>MOH. RANDHIKA ARSY PUTRA</t>
  </si>
  <si>
    <t>0091178694 / 14804</t>
  </si>
  <si>
    <t>MUH. ZACKY MIRZA SUGANDA</t>
  </si>
  <si>
    <t>0084713270 / 14825</t>
  </si>
  <si>
    <t>0087754345 / 14828</t>
  </si>
  <si>
    <t>0083976891 / 14830</t>
  </si>
  <si>
    <t>0081216364 / 14839</t>
  </si>
  <si>
    <t>0094168761 / 14869</t>
  </si>
  <si>
    <t>0094946607 / 14884</t>
  </si>
  <si>
    <t>0083852021 / 14895</t>
  </si>
  <si>
    <t>0095745897 / 14897</t>
  </si>
  <si>
    <t>0109424194 / 14906</t>
  </si>
  <si>
    <t>0091738402 / 14938</t>
  </si>
  <si>
    <t>0099235377 / 14942</t>
  </si>
  <si>
    <t>0093440845 / 14623</t>
  </si>
  <si>
    <t>0083093788 / 14628</t>
  </si>
  <si>
    <t>0065403876 / 14629</t>
  </si>
  <si>
    <t>0095153508 / 14645</t>
  </si>
  <si>
    <t>0082558863 / 14662</t>
  </si>
  <si>
    <t>0096137085 / 14669</t>
  </si>
  <si>
    <t>0088109228 / 14670</t>
  </si>
  <si>
    <t>0088600933 / 14674</t>
  </si>
  <si>
    <t>0083494373 / 14675</t>
  </si>
  <si>
    <t>0088204888 / 14682</t>
  </si>
  <si>
    <t>0095842198 / 14689</t>
  </si>
  <si>
    <t>0085570129 / 14695</t>
  </si>
  <si>
    <t>0085255932 / 14708</t>
  </si>
  <si>
    <t>0093543547 / 14711</t>
  </si>
  <si>
    <t>0084170084 / 14715</t>
  </si>
  <si>
    <t>0096575426 / 14741</t>
  </si>
  <si>
    <t>0089337623 / 14745</t>
  </si>
  <si>
    <t>0095526227 / 14788</t>
  </si>
  <si>
    <t>MOH. REZA FEBRILIYANTO</t>
  </si>
  <si>
    <t>0097433698 / 14797</t>
  </si>
  <si>
    <t>0084462888 / 14800</t>
  </si>
  <si>
    <t>0096310193 / 14815</t>
  </si>
  <si>
    <t>0085484405 / 14819</t>
  </si>
  <si>
    <t>0092355423 / 14837</t>
  </si>
  <si>
    <t>3082973214 / 14842</t>
  </si>
  <si>
    <t>0082666216 / 14846</t>
  </si>
  <si>
    <t>0089202875 / 14859</t>
  </si>
  <si>
    <t>0092111132 / 14873</t>
  </si>
  <si>
    <t>0083116419 / 14878</t>
  </si>
  <si>
    <t>0099672333 / 14880</t>
  </si>
  <si>
    <t>0086255643 / 14892</t>
  </si>
  <si>
    <t>0084390226 / 14918</t>
  </si>
  <si>
    <t>0086540890 / 14922</t>
  </si>
  <si>
    <t>0098882875 / 14924</t>
  </si>
  <si>
    <t>0088666409 / 14949</t>
  </si>
  <si>
    <t>0098446166 / 14941</t>
  </si>
  <si>
    <t>0081529684 / 14944</t>
  </si>
  <si>
    <t>0096081695 / 14592</t>
  </si>
  <si>
    <t>ACH. NURUL HIDAYAT</t>
  </si>
  <si>
    <t>0097358875 / 14598</t>
  </si>
  <si>
    <t>0088105454 / 14599</t>
  </si>
  <si>
    <t>0093908702 / 14604</t>
  </si>
  <si>
    <t>0098516635 / 14607</t>
  </si>
  <si>
    <t>0087873856 / 15304</t>
  </si>
  <si>
    <t>Ahmad Ghozi Akbar</t>
  </si>
  <si>
    <t>0092554098 / 14615</t>
  </si>
  <si>
    <t>0087180491 / 14617</t>
  </si>
  <si>
    <t>0095986339 / 14619</t>
  </si>
  <si>
    <t>0096013702 / 14621</t>
  </si>
  <si>
    <t>0096665378 / 14636</t>
  </si>
  <si>
    <t>0089967146 / 14648</t>
  </si>
  <si>
    <t>0099607321 / 14650</t>
  </si>
  <si>
    <t>0095715483 / 14658</t>
  </si>
  <si>
    <t>0087693410 / 14666</t>
  </si>
  <si>
    <t>0093403780 / 14667</t>
  </si>
  <si>
    <t>0083079329 / 14673</t>
  </si>
  <si>
    <t>0096593970 / 14725</t>
  </si>
  <si>
    <t>0084020082 / 14738</t>
  </si>
  <si>
    <t>0092481335 / 14748</t>
  </si>
  <si>
    <t>0098566431 / 14766</t>
  </si>
  <si>
    <t>0087953706 / 14773</t>
  </si>
  <si>
    <t>0087638152 / 14786</t>
  </si>
  <si>
    <t>0095615344 / 14810</t>
  </si>
  <si>
    <t>0088416817 / 14811</t>
  </si>
  <si>
    <t>0084168222 / 14812</t>
  </si>
  <si>
    <t>0095598740 / 14814</t>
  </si>
  <si>
    <t>0088261483 / 14816</t>
  </si>
  <si>
    <t>0084878097 / 14844</t>
  </si>
  <si>
    <t>0083983673 / 14845</t>
  </si>
  <si>
    <t>NAUVAL FARIZ RIZALDY AL ARIFY</t>
  </si>
  <si>
    <t>0089642451 / 14857</t>
  </si>
  <si>
    <t>0098357265 / 14860</t>
  </si>
  <si>
    <t>0091451514 / 14902</t>
  </si>
  <si>
    <t>0087393847 / 14913</t>
  </si>
  <si>
    <t>0094292897 / 14929</t>
  </si>
  <si>
    <t>0089075246 / 14935</t>
  </si>
  <si>
    <t>0092559700 / 14594</t>
  </si>
  <si>
    <t xml:space="preserve">0084217342 / </t>
  </si>
  <si>
    <t>0084641835 / 14616</t>
  </si>
  <si>
    <t>0089803534 / 14626</t>
  </si>
  <si>
    <t>0086518583 / 14630</t>
  </si>
  <si>
    <t>0091280055 / 14639</t>
  </si>
  <si>
    <t>0095752316 / 14655</t>
  </si>
  <si>
    <t>0089501886 / 14687</t>
  </si>
  <si>
    <t>0081076234 / 14699</t>
  </si>
  <si>
    <t>0091498870 / 14720</t>
  </si>
  <si>
    <t>0086785528 / 14727</t>
  </si>
  <si>
    <t>0088881095 / 14744</t>
  </si>
  <si>
    <t>0088027837 / 14761</t>
  </si>
  <si>
    <t>M. RANGGA PUTRA KURNIAWAN</t>
  </si>
  <si>
    <t>0092796237 / 14768</t>
  </si>
  <si>
    <t>0087858823 / 14791</t>
  </si>
  <si>
    <t>MOCH SYAHRUL MAULIDI</t>
  </si>
  <si>
    <t>0092567020 / 14778</t>
  </si>
  <si>
    <t>MOH. ADITYA MAULANA PUTRA</t>
  </si>
  <si>
    <t>0089276032 / 14779</t>
  </si>
  <si>
    <t>MOH. AFGAN BARLIYANTO</t>
  </si>
  <si>
    <t>0081310206 / 14785</t>
  </si>
  <si>
    <t>0081452355 / 14805</t>
  </si>
  <si>
    <t>0085664492 / 14808</t>
  </si>
  <si>
    <t>0081599698 / 14818</t>
  </si>
  <si>
    <t>0083566346 / 14832</t>
  </si>
  <si>
    <t>0089200835 / 14864</t>
  </si>
  <si>
    <t>0087620753 / 14875</t>
  </si>
  <si>
    <t>0098720998 / 14883</t>
  </si>
  <si>
    <t>0078105152 / 14896</t>
  </si>
  <si>
    <t>0085974844 / 14898</t>
  </si>
  <si>
    <t>0089426877 / 14900</t>
  </si>
  <si>
    <t>0081315442 / 14912</t>
  </si>
  <si>
    <t>0097102519 / 14917</t>
  </si>
  <si>
    <t>0084754773 / 14921</t>
  </si>
  <si>
    <t>0096803290 / 14925</t>
  </si>
  <si>
    <t>0092443114 / 14930</t>
  </si>
  <si>
    <t>0085676521 / 14936</t>
  </si>
  <si>
    <t>0082833966 / 14943</t>
  </si>
  <si>
    <t>0095463618 / 14590</t>
  </si>
  <si>
    <t>0087175500 / 14602</t>
  </si>
  <si>
    <t>0093808972 / 14613</t>
  </si>
  <si>
    <t>0096889903 / 14632</t>
  </si>
  <si>
    <t>0086865210 / 14637</t>
  </si>
  <si>
    <t>0089056135 / 14656</t>
  </si>
  <si>
    <t>0088585112 / 14659</t>
  </si>
  <si>
    <t>0088629626 / 14663</t>
  </si>
  <si>
    <t>0089365793 / 14677</t>
  </si>
  <si>
    <t>0089650616 / 14686</t>
  </si>
  <si>
    <t>3086768292 / 14694</t>
  </si>
  <si>
    <t>0098217448 / 14697</t>
  </si>
  <si>
    <t>0089344976 / 14701</t>
  </si>
  <si>
    <t>0089650480 / 14726</t>
  </si>
  <si>
    <t>0081665724 / 14734</t>
  </si>
  <si>
    <t>0098116050 / 14735</t>
  </si>
  <si>
    <t>0092980783 / 14736</t>
  </si>
  <si>
    <t>3089324280 / 14746</t>
  </si>
  <si>
    <t>0083185864 / 14760</t>
  </si>
  <si>
    <t>M. FAKHRI ALIEF OKTAVIAN</t>
  </si>
  <si>
    <t>0085784500 / 14780</t>
  </si>
  <si>
    <t>0099559196 / 14783</t>
  </si>
  <si>
    <t>MOH. FIKI ALAN FAJRI</t>
  </si>
  <si>
    <t>0096039518 / 14803</t>
  </si>
  <si>
    <t>MOH.MASYRUR</t>
  </si>
  <si>
    <t>0094661980 / 14802</t>
  </si>
  <si>
    <t>0085551439 / 14807</t>
  </si>
  <si>
    <t>0093657785 / 14821</t>
  </si>
  <si>
    <t>0091521750 / 14834</t>
  </si>
  <si>
    <t>0087802844 / 14854</t>
  </si>
  <si>
    <t>0087193172 / 14856</t>
  </si>
  <si>
    <t>0096458518 / 14867</t>
  </si>
  <si>
    <t>0093422775 / 14876</t>
  </si>
  <si>
    <t>0077777981 / 14882</t>
  </si>
  <si>
    <t>0083041624 / 14903</t>
  </si>
  <si>
    <t>0095502237 / 14904</t>
  </si>
  <si>
    <t>3087463662 / 14909</t>
  </si>
  <si>
    <t>0087358232 / 14926</t>
  </si>
  <si>
    <t>0099987267 / 14589</t>
  </si>
  <si>
    <t>ABD. HAMID MANAF</t>
  </si>
  <si>
    <t>0082986450 / 14591</t>
  </si>
  <si>
    <t>3082095795 / 14606</t>
  </si>
  <si>
    <t>0085516582 / 14612</t>
  </si>
  <si>
    <t>0096438872 / 14627</t>
  </si>
  <si>
    <t>0098573401 / 14644</t>
  </si>
  <si>
    <t>0093826254 / 14652</t>
  </si>
  <si>
    <t>0092449638 / 14653</t>
  </si>
  <si>
    <t>0087421628 / 14661</t>
  </si>
  <si>
    <t>0093605280 / 15301</t>
  </si>
  <si>
    <t>CAHAYA INDAR NINGTIYAS</t>
  </si>
  <si>
    <t>0082000972 / 14692</t>
  </si>
  <si>
    <t>0099667385 / 14693</t>
  </si>
  <si>
    <t>0085292687 / 14704</t>
  </si>
  <si>
    <t>0093064729 / 14709</t>
  </si>
  <si>
    <t>0084107821 / 14716</t>
  </si>
  <si>
    <t>0086910015 / 14753</t>
  </si>
  <si>
    <t>0084247358 / 14754</t>
  </si>
  <si>
    <t>0092365326 / 14755</t>
  </si>
  <si>
    <t>0081404380 / 14769</t>
  </si>
  <si>
    <t>0092307512 / 14782</t>
  </si>
  <si>
    <t>MOH. ARAFA DWI PURWANTO</t>
  </si>
  <si>
    <t>0094714236 / 14795</t>
  </si>
  <si>
    <t>0082776507 / 14813</t>
  </si>
  <si>
    <t>0085927765 / 14833</t>
  </si>
  <si>
    <t>0081745861 / 14840</t>
  </si>
  <si>
    <t>0089619651 / 14852</t>
  </si>
  <si>
    <t>0091784100 / 14863</t>
  </si>
  <si>
    <t>0096209388 / 14879</t>
  </si>
  <si>
    <t>0087109610 / 14887</t>
  </si>
  <si>
    <t>0093455270 / 14889</t>
  </si>
  <si>
    <t>0095865320 / 14893</t>
  </si>
  <si>
    <t>0093962965 / 14919</t>
  </si>
  <si>
    <t>0096666857 / 14931</t>
  </si>
  <si>
    <t>0092837700 / 14932</t>
  </si>
  <si>
    <t>0081588769 / 14946</t>
  </si>
  <si>
    <t>NO.22 MUHAMMAD FATHIR KHAWARZMI</t>
  </si>
  <si>
    <t>Tahun Pelajaran 2026 / 2027</t>
  </si>
  <si>
    <t>IMAMI SOESIAWATI, S.Pd.</t>
  </si>
  <si>
    <t>19760527 200604 2 017</t>
  </si>
  <si>
    <t>FAHRIS SHIYAM, S.Pd.I</t>
  </si>
  <si>
    <t xml:space="preserve"> 199004082020122016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</si>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</sst>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6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rial Black"/>
      <family val="2"/>
    </font>
    <font>
      <b/>
      <sz val="8"/>
      <color rgb="FF000000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9"/>
      <color rgb="FF000000"/>
      <name val="Calibri"/>
      <family val="2"/>
      <scheme val="minor"/>
    </font>
    <font>
      <sz val="11"/>
      <color indexed="8"/>
      <name val="Calibri"/>
      <family val="2"/>
      <charset val="1"/>
    </font>
    <font>
      <sz val="10"/>
      <color indexed="8"/>
      <name val="Calibri"/>
      <family val="2"/>
      <charset val="1"/>
    </font>
    <font>
      <sz val="10"/>
      <color indexed="8"/>
      <name val="Calibri"/>
      <family val="2"/>
    </font>
    <font>
      <sz val="10"/>
      <name val="Book Antiqua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2">
    <xf numFmtId="0" fontId="0" fillId="0" borderId="0"/>
    <xf numFmtId="0" fontId="15" fillId="0" borderId="0"/>
  </cellStyleXfs>
  <cellXfs count="9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1" xfId="0" applyFont="1" applyBorder="1"/>
    <xf numFmtId="0" fontId="0" fillId="0" borderId="1" xfId="0" applyBorder="1" applyAlignment="1">
      <alignment horizontal="center"/>
    </xf>
    <xf numFmtId="0" fontId="6" fillId="2" borderId="1" xfId="0" applyFont="1" applyFill="1" applyBorder="1"/>
    <xf numFmtId="0" fontId="7" fillId="2" borderId="1" xfId="0" applyFont="1" applyFill="1" applyBorder="1"/>
    <xf numFmtId="0" fontId="7" fillId="0" borderId="1" xfId="0" applyFont="1" applyBorder="1" applyAlignment="1">
      <alignment horizontal="center"/>
    </xf>
    <xf numFmtId="0" fontId="0" fillId="0" borderId="1" xfId="0" applyBorder="1"/>
    <xf numFmtId="0" fontId="6" fillId="2" borderId="1" xfId="0" quotePrefix="1" applyFont="1" applyFill="1" applyBorder="1"/>
    <xf numFmtId="0" fontId="3" fillId="0" borderId="1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7" fillId="2" borderId="4" xfId="0" applyFont="1" applyFill="1" applyBorder="1"/>
    <xf numFmtId="0" fontId="6" fillId="2" borderId="0" xfId="0" applyFont="1" applyFill="1"/>
    <xf numFmtId="0" fontId="7" fillId="2" borderId="0" xfId="0" applyFont="1" applyFill="1"/>
    <xf numFmtId="0" fontId="7" fillId="0" borderId="0" xfId="0" applyFont="1" applyAlignment="1">
      <alignment horizontal="center"/>
    </xf>
    <xf numFmtId="0" fontId="11" fillId="2" borderId="1" xfId="0" applyFont="1" applyFill="1" applyBorder="1"/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1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0" fillId="0" borderId="1" xfId="0" quotePrefix="1" applyBorder="1"/>
    <xf numFmtId="0" fontId="7" fillId="0" borderId="8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6" fillId="2" borderId="1" xfId="0" quotePrefix="1" applyFont="1" applyFill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6" fillId="2" borderId="0" xfId="0" applyFont="1" applyFill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4" fillId="2" borderId="1" xfId="0" applyFont="1" applyFill="1" applyBorder="1"/>
    <xf numFmtId="0" fontId="16" fillId="0" borderId="9" xfId="1" applyFont="1" applyBorder="1" applyAlignment="1">
      <alignment horizontal="center" vertical="center"/>
    </xf>
    <xf numFmtId="1" fontId="17" fillId="0" borderId="9" xfId="0" quotePrefix="1" applyNumberFormat="1" applyFont="1" applyBorder="1" applyAlignment="1">
      <alignment horizontal="left"/>
    </xf>
    <xf numFmtId="0" fontId="18" fillId="0" borderId="9" xfId="0" applyFont="1" applyBorder="1" applyAlignment="1">
      <alignment horizontal="left" vertical="top"/>
    </xf>
    <xf numFmtId="0" fontId="18" fillId="0" borderId="9" xfId="0" applyFont="1" applyBorder="1" applyAlignment="1">
      <alignment horizontal="center" vertical="top"/>
    </xf>
    <xf numFmtId="0" fontId="18" fillId="10" borderId="9" xfId="0" applyFont="1" applyFill="1" applyBorder="1" applyAlignment="1">
      <alignment horizontal="left" vertical="top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90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0" fillId="0" borderId="1" xfId="0" quotePrefix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3" fillId="0" borderId="1" xfId="0" quotePrefix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4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textRotation="90"/>
    </xf>
    <xf numFmtId="0" fontId="3" fillId="0" borderId="6" xfId="0" applyFont="1" applyBorder="1" applyAlignment="1">
      <alignment horizontal="center" vertical="center" textRotation="90"/>
    </xf>
    <xf numFmtId="0" fontId="3" fillId="0" borderId="7" xfId="0" applyFont="1" applyBorder="1" applyAlignment="1">
      <alignment horizontal="center" vertical="center" textRotation="90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quotePrefix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Normal 22" xfId="1" xr:uid="{7E21ED28-3ACD-4DB7-B76C-A6753AB98B73}"/>
  </cellStyles>
  <dxfs count="87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707594</xdr:colOff>
      <xdr:row>0</xdr:row>
      <xdr:rowOff>0</xdr:rowOff>
    </xdr:from>
    <xdr:to>
      <xdr:col>16</xdr:col>
      <xdr:colOff>160921</xdr:colOff>
      <xdr:row>3</xdr:row>
      <xdr:rowOff>33972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155394" y="0"/>
          <a:ext cx="3777677" cy="757872"/>
          <a:chOff x="-363604" y="0"/>
          <a:chExt cx="3477632" cy="7570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-308383" y="0"/>
            <a:ext cx="3422411" cy="598689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US" sz="28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rial Black" panose="020B0A04020102020204" pitchFamily="34" charset="0"/>
              </a:rPr>
              <a:t>ABSENSI SISWA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-363604" y="427306"/>
            <a:ext cx="3422411" cy="329769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US" sz="16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rial Rounded MT Bold" panose="020F0704030504030204" pitchFamily="34" charset="0"/>
              </a:rPr>
              <a:t>SMA NEGERI 1 PAMEKASAN</a:t>
            </a:r>
          </a:p>
        </xdr:txBody>
      </xdr:sp>
    </xdr:grpSp>
    <xdr:clientData/>
  </xdr:twoCellAnchor>
  <xdr:oneCellAnchor>
    <xdr:from>
      <xdr:col>17</xdr:col>
      <xdr:colOff>123825</xdr:colOff>
      <xdr:row>1</xdr:row>
      <xdr:rowOff>82690</xdr:rowOff>
    </xdr:from>
    <xdr:ext cx="1989841" cy="718466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076950" y="273190"/>
          <a:ext cx="1989841" cy="718466"/>
        </a:xfrm>
        <a:prstGeom prst="rect">
          <a:avLst/>
        </a:prstGeom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en-US" sz="40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KLS</a:t>
          </a:r>
          <a:r>
            <a:rPr lang="en-US" sz="40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 :A-1</a:t>
          </a:r>
          <a:endParaRPr lang="en-US" sz="40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142875</xdr:colOff>
      <xdr:row>0</xdr:row>
      <xdr:rowOff>66674</xdr:rowOff>
    </xdr:from>
    <xdr:to>
      <xdr:col>2</xdr:col>
      <xdr:colOff>614045</xdr:colOff>
      <xdr:row>3</xdr:row>
      <xdr:rowOff>200025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66674"/>
          <a:ext cx="1147445" cy="857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707594</xdr:colOff>
      <xdr:row>0</xdr:row>
      <xdr:rowOff>0</xdr:rowOff>
    </xdr:from>
    <xdr:to>
      <xdr:col>16</xdr:col>
      <xdr:colOff>160921</xdr:colOff>
      <xdr:row>3</xdr:row>
      <xdr:rowOff>33972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612594" y="0"/>
          <a:ext cx="3977702" cy="757872"/>
          <a:chOff x="-363604" y="0"/>
          <a:chExt cx="3477632" cy="7570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/>
        </xdr:nvSpPr>
        <xdr:spPr>
          <a:xfrm>
            <a:off x="-308383" y="0"/>
            <a:ext cx="3422411" cy="598689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US" sz="28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rial Black" panose="020B0A04020102020204" pitchFamily="34" charset="0"/>
              </a:rPr>
              <a:t>ABSENSI SISWA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-363604" y="427306"/>
            <a:ext cx="3422411" cy="329769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US" sz="16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rial Rounded MT Bold" panose="020F0704030504030204" pitchFamily="34" charset="0"/>
              </a:rPr>
              <a:t>SMA NEGERI 1 PAMEKASAN</a:t>
            </a:r>
          </a:p>
        </xdr:txBody>
      </xdr:sp>
    </xdr:grpSp>
    <xdr:clientData/>
  </xdr:twoCellAnchor>
  <xdr:oneCellAnchor>
    <xdr:from>
      <xdr:col>17</xdr:col>
      <xdr:colOff>161925</xdr:colOff>
      <xdr:row>1</xdr:row>
      <xdr:rowOff>63640</xdr:rowOff>
    </xdr:from>
    <xdr:ext cx="1989841" cy="718466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6772275" y="254140"/>
          <a:ext cx="1989841" cy="718466"/>
        </a:xfrm>
        <a:prstGeom prst="rect">
          <a:avLst/>
        </a:prstGeom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en-US" sz="40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KELAS</a:t>
          </a:r>
          <a:r>
            <a:rPr lang="en-US" sz="40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 A</a:t>
          </a:r>
          <a:endParaRPr lang="en-US" sz="40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142875</xdr:colOff>
      <xdr:row>0</xdr:row>
      <xdr:rowOff>66675</xdr:rowOff>
    </xdr:from>
    <xdr:to>
      <xdr:col>2</xdr:col>
      <xdr:colOff>47625</xdr:colOff>
      <xdr:row>4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66675"/>
          <a:ext cx="1076325" cy="10763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707594</xdr:colOff>
      <xdr:row>0</xdr:row>
      <xdr:rowOff>0</xdr:rowOff>
    </xdr:from>
    <xdr:to>
      <xdr:col>16</xdr:col>
      <xdr:colOff>160921</xdr:colOff>
      <xdr:row>3</xdr:row>
      <xdr:rowOff>33972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612594" y="0"/>
          <a:ext cx="3930077" cy="757872"/>
          <a:chOff x="-363604" y="0"/>
          <a:chExt cx="3477632" cy="7570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-308383" y="0"/>
            <a:ext cx="3422411" cy="598689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US" sz="28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rial Black" panose="020B0A04020102020204" pitchFamily="34" charset="0"/>
              </a:rPr>
              <a:t>ABSENSI SISWA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-363604" y="427306"/>
            <a:ext cx="3422411" cy="329769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US" sz="16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rial Rounded MT Bold" panose="020F0704030504030204" pitchFamily="34" charset="0"/>
              </a:rPr>
              <a:t>SMA NEGERI 1 PAMEKASAN</a:t>
            </a:r>
          </a:p>
        </xdr:txBody>
      </xdr:sp>
    </xdr:grpSp>
    <xdr:clientData/>
  </xdr:twoCellAnchor>
  <xdr:oneCellAnchor>
    <xdr:from>
      <xdr:col>17</xdr:col>
      <xdr:colOff>161925</xdr:colOff>
      <xdr:row>1</xdr:row>
      <xdr:rowOff>63640</xdr:rowOff>
    </xdr:from>
    <xdr:ext cx="1989841" cy="718466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905500" y="254140"/>
          <a:ext cx="1989841" cy="718466"/>
        </a:xfrm>
        <a:prstGeom prst="rect">
          <a:avLst/>
        </a:prstGeom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en-US" sz="40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KELAS</a:t>
          </a:r>
          <a:r>
            <a:rPr lang="en-US" sz="40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 A</a:t>
          </a:r>
          <a:endParaRPr lang="en-US" sz="40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142875</xdr:colOff>
      <xdr:row>0</xdr:row>
      <xdr:rowOff>66675</xdr:rowOff>
    </xdr:from>
    <xdr:to>
      <xdr:col>2</xdr:col>
      <xdr:colOff>47625</xdr:colOff>
      <xdr:row>4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66675"/>
          <a:ext cx="1076325" cy="10763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707594</xdr:colOff>
      <xdr:row>0</xdr:row>
      <xdr:rowOff>0</xdr:rowOff>
    </xdr:from>
    <xdr:to>
      <xdr:col>16</xdr:col>
      <xdr:colOff>160921</xdr:colOff>
      <xdr:row>3</xdr:row>
      <xdr:rowOff>33972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pSpPr/>
      </xdr:nvGrpSpPr>
      <xdr:grpSpPr>
        <a:xfrm>
          <a:off x="2126819" y="0"/>
          <a:ext cx="4025327" cy="757872"/>
          <a:chOff x="-363604" y="0"/>
          <a:chExt cx="3477632" cy="757075"/>
        </a:xfrm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/>
        </xdr:nvSpPr>
        <xdr:spPr>
          <a:xfrm>
            <a:off x="-308383" y="0"/>
            <a:ext cx="3422411" cy="598689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US" sz="28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rial Black" panose="020B0A04020102020204" pitchFamily="34" charset="0"/>
              </a:rPr>
              <a:t>ABSENSI SISWA</a:t>
            </a: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/>
        </xdr:nvSpPr>
        <xdr:spPr>
          <a:xfrm>
            <a:off x="-363604" y="427306"/>
            <a:ext cx="3422411" cy="329769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US" sz="16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rial Rounded MT Bold" panose="020F0704030504030204" pitchFamily="34" charset="0"/>
              </a:rPr>
              <a:t>SMA NEGERI 1 PAMEKASAN</a:t>
            </a:r>
          </a:p>
        </xdr:txBody>
      </xdr:sp>
    </xdr:grpSp>
    <xdr:clientData/>
  </xdr:twoCellAnchor>
  <xdr:oneCellAnchor>
    <xdr:from>
      <xdr:col>17</xdr:col>
      <xdr:colOff>123825</xdr:colOff>
      <xdr:row>1</xdr:row>
      <xdr:rowOff>82690</xdr:rowOff>
    </xdr:from>
    <xdr:ext cx="1989841" cy="530658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6076950" y="273190"/>
          <a:ext cx="1989841" cy="530658"/>
        </a:xfrm>
        <a:prstGeom prst="rect">
          <a:avLst/>
        </a:prstGeom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en-US" sz="2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XI</a:t>
          </a:r>
          <a:r>
            <a:rPr lang="id-ID" sz="2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I</a:t>
          </a:r>
          <a:r>
            <a:rPr lang="en-US" sz="2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.A-1</a:t>
          </a:r>
          <a:endParaRPr lang="en-US" sz="28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142875</xdr:colOff>
      <xdr:row>0</xdr:row>
      <xdr:rowOff>66674</xdr:rowOff>
    </xdr:from>
    <xdr:to>
      <xdr:col>2</xdr:col>
      <xdr:colOff>614045</xdr:colOff>
      <xdr:row>3</xdr:row>
      <xdr:rowOff>200025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66674"/>
          <a:ext cx="1147445" cy="8572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755219</xdr:colOff>
      <xdr:row>1</xdr:row>
      <xdr:rowOff>237256</xdr:rowOff>
    </xdr:from>
    <xdr:to>
      <xdr:col>16</xdr:col>
      <xdr:colOff>145385</xdr:colOff>
      <xdr:row>3</xdr:row>
      <xdr:rowOff>33972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2317319" y="427756"/>
          <a:ext cx="3914541" cy="330116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Rounded MT Bold" panose="020F0704030504030204" pitchFamily="34" charset="0"/>
            </a:rPr>
            <a:t>SMA NEGERI 1 PAMEKASAN</a:t>
          </a:r>
        </a:p>
      </xdr:txBody>
    </xdr:sp>
    <xdr:clientData/>
  </xdr:twoCellAnchor>
  <xdr:twoCellAnchor editAs="oneCell">
    <xdr:from>
      <xdr:col>0</xdr:col>
      <xdr:colOff>142875</xdr:colOff>
      <xdr:row>0</xdr:row>
      <xdr:rowOff>66674</xdr:rowOff>
    </xdr:from>
    <xdr:to>
      <xdr:col>2</xdr:col>
      <xdr:colOff>572770</xdr:colOff>
      <xdr:row>3</xdr:row>
      <xdr:rowOff>228600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66674"/>
          <a:ext cx="1096645" cy="885826"/>
        </a:xfrm>
        <a:prstGeom prst="rect">
          <a:avLst/>
        </a:prstGeom>
      </xdr:spPr>
    </xdr:pic>
    <xdr:clientData/>
  </xdr:twoCellAnchor>
  <xdr:twoCellAnchor>
    <xdr:from>
      <xdr:col>3</xdr:col>
      <xdr:colOff>800100</xdr:colOff>
      <xdr:row>0</xdr:row>
      <xdr:rowOff>0</xdr:rowOff>
    </xdr:from>
    <xdr:to>
      <xdr:col>17</xdr:col>
      <xdr:colOff>9291</xdr:colOff>
      <xdr:row>2</xdr:row>
      <xdr:rowOff>132594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2362200" y="0"/>
          <a:ext cx="3914541" cy="59931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ABSENSI SISWA</a:t>
          </a:r>
        </a:p>
      </xdr:txBody>
    </xdr:sp>
    <xdr:clientData/>
  </xdr:twoCellAnchor>
  <xdr:oneCellAnchor>
    <xdr:from>
      <xdr:col>17</xdr:col>
      <xdr:colOff>76200</xdr:colOff>
      <xdr:row>1</xdr:row>
      <xdr:rowOff>152400</xdr:rowOff>
    </xdr:from>
    <xdr:ext cx="1989841" cy="530658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6019800" y="342900"/>
          <a:ext cx="1989841" cy="530658"/>
        </a:xfrm>
        <a:prstGeom prst="rect">
          <a:avLst/>
        </a:prstGeom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en-US" sz="2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XI</a:t>
          </a:r>
          <a:r>
            <a:rPr lang="id-ID" sz="2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I</a:t>
          </a:r>
          <a:r>
            <a:rPr lang="en-US" sz="2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.A-2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755219</xdr:colOff>
      <xdr:row>1</xdr:row>
      <xdr:rowOff>237256</xdr:rowOff>
    </xdr:from>
    <xdr:to>
      <xdr:col>16</xdr:col>
      <xdr:colOff>145385</xdr:colOff>
      <xdr:row>3</xdr:row>
      <xdr:rowOff>33972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2317319" y="427756"/>
          <a:ext cx="3914541" cy="330116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Rounded MT Bold" panose="020F0704030504030204" pitchFamily="34" charset="0"/>
            </a:rPr>
            <a:t>SMA NEGERI 1 PAMEKASAN</a:t>
          </a:r>
        </a:p>
      </xdr:txBody>
    </xdr:sp>
    <xdr:clientData/>
  </xdr:twoCellAnchor>
  <xdr:twoCellAnchor editAs="oneCell">
    <xdr:from>
      <xdr:col>0</xdr:col>
      <xdr:colOff>142875</xdr:colOff>
      <xdr:row>0</xdr:row>
      <xdr:rowOff>66672</xdr:rowOff>
    </xdr:from>
    <xdr:to>
      <xdr:col>2</xdr:col>
      <xdr:colOff>535305</xdr:colOff>
      <xdr:row>3</xdr:row>
      <xdr:rowOff>171449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66672"/>
          <a:ext cx="1106805" cy="828677"/>
        </a:xfrm>
        <a:prstGeom prst="rect">
          <a:avLst/>
        </a:prstGeom>
      </xdr:spPr>
    </xdr:pic>
    <xdr:clientData/>
  </xdr:twoCellAnchor>
  <xdr:twoCellAnchor>
    <xdr:from>
      <xdr:col>3</xdr:col>
      <xdr:colOff>879478</xdr:colOff>
      <xdr:row>0</xdr:row>
      <xdr:rowOff>0</xdr:rowOff>
    </xdr:from>
    <xdr:to>
      <xdr:col>17</xdr:col>
      <xdr:colOff>88669</xdr:colOff>
      <xdr:row>2</xdr:row>
      <xdr:rowOff>132594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2441578" y="0"/>
          <a:ext cx="3914541" cy="59931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ABSENSI SISWA</a:t>
          </a:r>
        </a:p>
      </xdr:txBody>
    </xdr:sp>
    <xdr:clientData/>
  </xdr:twoCellAnchor>
  <xdr:oneCellAnchor>
    <xdr:from>
      <xdr:col>17</xdr:col>
      <xdr:colOff>152400</xdr:colOff>
      <xdr:row>1</xdr:row>
      <xdr:rowOff>142875</xdr:rowOff>
    </xdr:from>
    <xdr:ext cx="1989841" cy="530658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6019800" y="333375"/>
          <a:ext cx="1989841" cy="530658"/>
        </a:xfrm>
        <a:prstGeom prst="rect">
          <a:avLst/>
        </a:prstGeom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en-US" sz="2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XI</a:t>
          </a:r>
          <a:r>
            <a:rPr lang="id-ID" sz="2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I</a:t>
          </a:r>
          <a:r>
            <a:rPr lang="en-US" sz="2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.</a:t>
          </a:r>
          <a:r>
            <a:rPr lang="en-US" sz="2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 A-3</a:t>
          </a:r>
          <a:endParaRPr lang="en-US" sz="28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755219</xdr:colOff>
      <xdr:row>1</xdr:row>
      <xdr:rowOff>237256</xdr:rowOff>
    </xdr:from>
    <xdr:to>
      <xdr:col>16</xdr:col>
      <xdr:colOff>145385</xdr:colOff>
      <xdr:row>3</xdr:row>
      <xdr:rowOff>33972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2317319" y="427756"/>
          <a:ext cx="3914541" cy="330116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Rounded MT Bold" panose="020F0704030504030204" pitchFamily="34" charset="0"/>
            </a:rPr>
            <a:t>SMA NEGERI 1 PAMEKASAN</a:t>
          </a:r>
        </a:p>
      </xdr:txBody>
    </xdr:sp>
    <xdr:clientData/>
  </xdr:twoCellAnchor>
  <xdr:twoCellAnchor editAs="oneCell">
    <xdr:from>
      <xdr:col>0</xdr:col>
      <xdr:colOff>142875</xdr:colOff>
      <xdr:row>0</xdr:row>
      <xdr:rowOff>66674</xdr:rowOff>
    </xdr:from>
    <xdr:to>
      <xdr:col>2</xdr:col>
      <xdr:colOff>514985</xdr:colOff>
      <xdr:row>3</xdr:row>
      <xdr:rowOff>190499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66674"/>
          <a:ext cx="1086485" cy="847725"/>
        </a:xfrm>
        <a:prstGeom prst="rect">
          <a:avLst/>
        </a:prstGeom>
      </xdr:spPr>
    </xdr:pic>
    <xdr:clientData/>
  </xdr:twoCellAnchor>
  <xdr:twoCellAnchor>
    <xdr:from>
      <xdr:col>3</xdr:col>
      <xdr:colOff>809625</xdr:colOff>
      <xdr:row>0</xdr:row>
      <xdr:rowOff>0</xdr:rowOff>
    </xdr:from>
    <xdr:to>
      <xdr:col>17</xdr:col>
      <xdr:colOff>18816</xdr:colOff>
      <xdr:row>2</xdr:row>
      <xdr:rowOff>132594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2371725" y="0"/>
          <a:ext cx="3914541" cy="59931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ABSENSI SISWA</a:t>
          </a:r>
        </a:p>
      </xdr:txBody>
    </xdr:sp>
    <xdr:clientData/>
  </xdr:twoCellAnchor>
  <xdr:oneCellAnchor>
    <xdr:from>
      <xdr:col>17</xdr:col>
      <xdr:colOff>165103</xdr:colOff>
      <xdr:row>1</xdr:row>
      <xdr:rowOff>73165</xdr:rowOff>
    </xdr:from>
    <xdr:ext cx="1989841" cy="530658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6213478" y="263665"/>
          <a:ext cx="1989841" cy="530658"/>
        </a:xfrm>
        <a:prstGeom prst="rect">
          <a:avLst/>
        </a:prstGeom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en-US" sz="2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X</a:t>
          </a:r>
          <a:r>
            <a:rPr lang="id-ID" sz="2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I</a:t>
          </a:r>
          <a:r>
            <a:rPr lang="en-US" sz="2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I.</a:t>
          </a:r>
          <a:r>
            <a:rPr lang="en-US" sz="2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 A-4</a:t>
          </a:r>
          <a:endParaRPr lang="en-US" sz="28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755219</xdr:colOff>
      <xdr:row>1</xdr:row>
      <xdr:rowOff>239785</xdr:rowOff>
    </xdr:from>
    <xdr:to>
      <xdr:col>16</xdr:col>
      <xdr:colOff>145462</xdr:colOff>
      <xdr:row>3</xdr:row>
      <xdr:rowOff>33971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2312837" y="430285"/>
          <a:ext cx="3895007" cy="332068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Rounded MT Bold" panose="020F0704030504030204" pitchFamily="34" charset="0"/>
            </a:rPr>
            <a:t>SMA NEGERI 1 PAMEKASAN</a:t>
          </a:r>
        </a:p>
      </xdr:txBody>
    </xdr:sp>
    <xdr:clientData/>
  </xdr:twoCellAnchor>
  <xdr:twoCellAnchor editAs="oneCell">
    <xdr:from>
      <xdr:col>0</xdr:col>
      <xdr:colOff>142875</xdr:colOff>
      <xdr:row>0</xdr:row>
      <xdr:rowOff>66675</xdr:rowOff>
    </xdr:from>
    <xdr:to>
      <xdr:col>2</xdr:col>
      <xdr:colOff>554990</xdr:colOff>
      <xdr:row>0</xdr:row>
      <xdr:rowOff>67459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66675"/>
          <a:ext cx="1076325" cy="1076325"/>
        </a:xfrm>
        <a:prstGeom prst="rect">
          <a:avLst/>
        </a:prstGeom>
      </xdr:spPr>
    </xdr:pic>
    <xdr:clientData/>
  </xdr:twoCellAnchor>
  <xdr:twoCellAnchor>
    <xdr:from>
      <xdr:col>3</xdr:col>
      <xdr:colOff>773022</xdr:colOff>
      <xdr:row>0</xdr:row>
      <xdr:rowOff>0</xdr:rowOff>
    </xdr:from>
    <xdr:to>
      <xdr:col>17</xdr:col>
      <xdr:colOff>3505</xdr:colOff>
      <xdr:row>2</xdr:row>
      <xdr:rowOff>128672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2330640" y="0"/>
          <a:ext cx="3914541" cy="59931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ABSENSI SISWA</a:t>
          </a:r>
        </a:p>
      </xdr:txBody>
    </xdr:sp>
    <xdr:clientData/>
  </xdr:twoCellAnchor>
  <xdr:oneCellAnchor>
    <xdr:from>
      <xdr:col>17</xdr:col>
      <xdr:colOff>134470</xdr:colOff>
      <xdr:row>1</xdr:row>
      <xdr:rowOff>100853</xdr:rowOff>
    </xdr:from>
    <xdr:ext cx="1989841" cy="530658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6087595" y="291353"/>
          <a:ext cx="1989841" cy="530658"/>
        </a:xfrm>
        <a:prstGeom prst="rect">
          <a:avLst/>
        </a:prstGeom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en-US" sz="2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X</a:t>
          </a:r>
          <a:r>
            <a:rPr lang="id-ID" sz="2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I</a:t>
          </a:r>
          <a:r>
            <a:rPr lang="en-US" sz="2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I.A-5</a:t>
          </a:r>
          <a:endParaRPr lang="en-US" sz="28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2</xdr:col>
      <xdr:colOff>581025</xdr:colOff>
      <xdr:row>0</xdr:row>
      <xdr:rowOff>123825</xdr:rowOff>
    </xdr:from>
    <xdr:to>
      <xdr:col>3</xdr:col>
      <xdr:colOff>934085</xdr:colOff>
      <xdr:row>3</xdr:row>
      <xdr:rowOff>247650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5875" y="123825"/>
          <a:ext cx="1086485" cy="8477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755219</xdr:colOff>
      <xdr:row>1</xdr:row>
      <xdr:rowOff>239785</xdr:rowOff>
    </xdr:from>
    <xdr:to>
      <xdr:col>16</xdr:col>
      <xdr:colOff>145462</xdr:colOff>
      <xdr:row>3</xdr:row>
      <xdr:rowOff>33971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2312837" y="430285"/>
          <a:ext cx="3895007" cy="332068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Rounded MT Bold" panose="020F0704030504030204" pitchFamily="34" charset="0"/>
            </a:rPr>
            <a:t>SMA NEGERI 1 PAMEKASAN</a:t>
          </a:r>
        </a:p>
      </xdr:txBody>
    </xdr:sp>
    <xdr:clientData/>
  </xdr:twoCellAnchor>
  <xdr:twoCellAnchor editAs="oneCell">
    <xdr:from>
      <xdr:col>0</xdr:col>
      <xdr:colOff>142875</xdr:colOff>
      <xdr:row>0</xdr:row>
      <xdr:rowOff>66675</xdr:rowOff>
    </xdr:from>
    <xdr:to>
      <xdr:col>2</xdr:col>
      <xdr:colOff>449916</xdr:colOff>
      <xdr:row>4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66675"/>
          <a:ext cx="1076325" cy="1076325"/>
        </a:xfrm>
        <a:prstGeom prst="rect">
          <a:avLst/>
        </a:prstGeom>
      </xdr:spPr>
    </xdr:pic>
    <xdr:clientData/>
  </xdr:twoCellAnchor>
  <xdr:twoCellAnchor>
    <xdr:from>
      <xdr:col>3</xdr:col>
      <xdr:colOff>873875</xdr:colOff>
      <xdr:row>0</xdr:row>
      <xdr:rowOff>0</xdr:rowOff>
    </xdr:from>
    <xdr:to>
      <xdr:col>17</xdr:col>
      <xdr:colOff>104358</xdr:colOff>
      <xdr:row>2</xdr:row>
      <xdr:rowOff>128672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2431493" y="0"/>
          <a:ext cx="3914541" cy="59931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ABSENSI SISWA</a:t>
          </a:r>
        </a:p>
      </xdr:txBody>
    </xdr:sp>
    <xdr:clientData/>
  </xdr:twoCellAnchor>
  <xdr:oneCellAnchor>
    <xdr:from>
      <xdr:col>17</xdr:col>
      <xdr:colOff>145676</xdr:colOff>
      <xdr:row>1</xdr:row>
      <xdr:rowOff>67235</xdr:rowOff>
    </xdr:from>
    <xdr:ext cx="1989841" cy="530658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6084794" y="257735"/>
          <a:ext cx="1989841" cy="530658"/>
        </a:xfrm>
        <a:prstGeom prst="rect">
          <a:avLst/>
        </a:prstGeom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en-US" sz="2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XI</a:t>
          </a:r>
          <a:r>
            <a:rPr lang="id-ID" sz="2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I</a:t>
          </a:r>
          <a:r>
            <a:rPr lang="en-US" sz="2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.</a:t>
          </a:r>
          <a:r>
            <a:rPr lang="en-US" sz="2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 A-6</a:t>
          </a:r>
          <a:endParaRPr lang="en-US" sz="28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755219</xdr:colOff>
      <xdr:row>1</xdr:row>
      <xdr:rowOff>237256</xdr:rowOff>
    </xdr:from>
    <xdr:to>
      <xdr:col>16</xdr:col>
      <xdr:colOff>145385</xdr:colOff>
      <xdr:row>3</xdr:row>
      <xdr:rowOff>33972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2317319" y="427756"/>
          <a:ext cx="3914541" cy="330116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Rounded MT Bold" panose="020F0704030504030204" pitchFamily="34" charset="0"/>
            </a:rPr>
            <a:t>SMA NEGERI 1 PAMEKASAN</a:t>
          </a:r>
        </a:p>
      </xdr:txBody>
    </xdr:sp>
    <xdr:clientData/>
  </xdr:twoCellAnchor>
  <xdr:twoCellAnchor editAs="oneCell">
    <xdr:from>
      <xdr:col>0</xdr:col>
      <xdr:colOff>142875</xdr:colOff>
      <xdr:row>0</xdr:row>
      <xdr:rowOff>66675</xdr:rowOff>
    </xdr:from>
    <xdr:to>
      <xdr:col>2</xdr:col>
      <xdr:colOff>504825</xdr:colOff>
      <xdr:row>4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66675"/>
          <a:ext cx="1076325" cy="1076325"/>
        </a:xfrm>
        <a:prstGeom prst="rect">
          <a:avLst/>
        </a:prstGeom>
      </xdr:spPr>
    </xdr:pic>
    <xdr:clientData/>
  </xdr:twoCellAnchor>
  <xdr:twoCellAnchor>
    <xdr:from>
      <xdr:col>3</xdr:col>
      <xdr:colOff>819150</xdr:colOff>
      <xdr:row>0</xdr:row>
      <xdr:rowOff>0</xdr:rowOff>
    </xdr:from>
    <xdr:to>
      <xdr:col>17</xdr:col>
      <xdr:colOff>28341</xdr:colOff>
      <xdr:row>2</xdr:row>
      <xdr:rowOff>132594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2381250" y="0"/>
          <a:ext cx="3914541" cy="59931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ABSENSI SISWA</a:t>
          </a:r>
        </a:p>
      </xdr:txBody>
    </xdr:sp>
    <xdr:clientData/>
  </xdr:twoCellAnchor>
  <xdr:oneCellAnchor>
    <xdr:from>
      <xdr:col>17</xdr:col>
      <xdr:colOff>152400</xdr:colOff>
      <xdr:row>1</xdr:row>
      <xdr:rowOff>76200</xdr:rowOff>
    </xdr:from>
    <xdr:ext cx="1989841" cy="530658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6067425" y="266700"/>
          <a:ext cx="1989841" cy="530658"/>
        </a:xfrm>
        <a:prstGeom prst="rect">
          <a:avLst/>
        </a:prstGeom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en-US" sz="2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X</a:t>
          </a:r>
          <a:r>
            <a:rPr lang="id-ID" sz="2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I</a:t>
          </a:r>
          <a:r>
            <a:rPr lang="en-US" sz="2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I. A-7</a:t>
          </a:r>
          <a:endParaRPr lang="en-US" sz="28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755219</xdr:colOff>
      <xdr:row>1</xdr:row>
      <xdr:rowOff>237256</xdr:rowOff>
    </xdr:from>
    <xdr:to>
      <xdr:col>16</xdr:col>
      <xdr:colOff>145385</xdr:colOff>
      <xdr:row>3</xdr:row>
      <xdr:rowOff>33972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2317319" y="427756"/>
          <a:ext cx="3914541" cy="330116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Rounded MT Bold" panose="020F0704030504030204" pitchFamily="34" charset="0"/>
            </a:rPr>
            <a:t>SMA NEGERI 1 PAMEKASAN</a:t>
          </a:r>
        </a:p>
      </xdr:txBody>
    </xdr:sp>
    <xdr:clientData/>
  </xdr:twoCellAnchor>
  <xdr:twoCellAnchor editAs="oneCell">
    <xdr:from>
      <xdr:col>0</xdr:col>
      <xdr:colOff>142875</xdr:colOff>
      <xdr:row>0</xdr:row>
      <xdr:rowOff>66675</xdr:rowOff>
    </xdr:from>
    <xdr:to>
      <xdr:col>2</xdr:col>
      <xdr:colOff>523875</xdr:colOff>
      <xdr:row>4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66675"/>
          <a:ext cx="1076325" cy="1076325"/>
        </a:xfrm>
        <a:prstGeom prst="rect">
          <a:avLst/>
        </a:prstGeom>
      </xdr:spPr>
    </xdr:pic>
    <xdr:clientData/>
  </xdr:twoCellAnchor>
  <xdr:twoCellAnchor>
    <xdr:from>
      <xdr:col>2</xdr:col>
      <xdr:colOff>619125</xdr:colOff>
      <xdr:row>0</xdr:row>
      <xdr:rowOff>0</xdr:rowOff>
    </xdr:from>
    <xdr:to>
      <xdr:col>17</xdr:col>
      <xdr:colOff>6116</xdr:colOff>
      <xdr:row>2</xdr:row>
      <xdr:rowOff>132594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/>
      </xdr:nvSpPr>
      <xdr:spPr>
        <a:xfrm>
          <a:off x="1317625" y="0"/>
          <a:ext cx="4514616" cy="59296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id-ID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DAFTAR</a:t>
          </a:r>
          <a:r>
            <a:rPr lang="id-ID" sz="2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 NILAI</a:t>
          </a:r>
          <a:r>
            <a:rPr lang="en-U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 SISWA</a:t>
          </a:r>
        </a:p>
      </xdr:txBody>
    </xdr:sp>
    <xdr:clientData/>
  </xdr:twoCellAnchor>
  <xdr:oneCellAnchor>
    <xdr:from>
      <xdr:col>17</xdr:col>
      <xdr:colOff>0</xdr:colOff>
      <xdr:row>1</xdr:row>
      <xdr:rowOff>79375</xdr:rowOff>
    </xdr:from>
    <xdr:ext cx="1989841" cy="530658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/>
      </xdr:nvSpPr>
      <xdr:spPr>
        <a:xfrm>
          <a:off x="5826125" y="269875"/>
          <a:ext cx="1989841" cy="530658"/>
        </a:xfrm>
        <a:prstGeom prst="rect">
          <a:avLst/>
        </a:prstGeom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en-US" sz="2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XI</a:t>
          </a:r>
          <a:r>
            <a:rPr lang="id-ID" sz="2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I</a:t>
          </a:r>
          <a:r>
            <a:rPr lang="en-US" sz="2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.B-1</a:t>
          </a:r>
          <a:endParaRPr lang="en-US" sz="28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755219</xdr:colOff>
      <xdr:row>1</xdr:row>
      <xdr:rowOff>237256</xdr:rowOff>
    </xdr:from>
    <xdr:to>
      <xdr:col>16</xdr:col>
      <xdr:colOff>145385</xdr:colOff>
      <xdr:row>3</xdr:row>
      <xdr:rowOff>33972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2317319" y="427756"/>
          <a:ext cx="3914541" cy="330116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Rounded MT Bold" panose="020F0704030504030204" pitchFamily="34" charset="0"/>
            </a:rPr>
            <a:t>SMA NEGERI 1 PAMEKASAN</a:t>
          </a:r>
        </a:p>
      </xdr:txBody>
    </xdr:sp>
    <xdr:clientData/>
  </xdr:twoCellAnchor>
  <xdr:twoCellAnchor editAs="oneCell">
    <xdr:from>
      <xdr:col>0</xdr:col>
      <xdr:colOff>142875</xdr:colOff>
      <xdr:row>0</xdr:row>
      <xdr:rowOff>66675</xdr:rowOff>
    </xdr:from>
    <xdr:to>
      <xdr:col>2</xdr:col>
      <xdr:colOff>478155</xdr:colOff>
      <xdr:row>0</xdr:row>
      <xdr:rowOff>68431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66675"/>
          <a:ext cx="1076325" cy="1076325"/>
        </a:xfrm>
        <a:prstGeom prst="rect">
          <a:avLst/>
        </a:prstGeom>
      </xdr:spPr>
    </xdr:pic>
    <xdr:clientData/>
  </xdr:twoCellAnchor>
  <xdr:twoCellAnchor>
    <xdr:from>
      <xdr:col>3</xdr:col>
      <xdr:colOff>850903</xdr:colOff>
      <xdr:row>0</xdr:row>
      <xdr:rowOff>0</xdr:rowOff>
    </xdr:from>
    <xdr:to>
      <xdr:col>17</xdr:col>
      <xdr:colOff>60094</xdr:colOff>
      <xdr:row>2</xdr:row>
      <xdr:rowOff>132594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/>
      </xdr:nvSpPr>
      <xdr:spPr>
        <a:xfrm>
          <a:off x="2413003" y="0"/>
          <a:ext cx="3914541" cy="59931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ABSENSI SISWA</a:t>
          </a:r>
        </a:p>
      </xdr:txBody>
    </xdr:sp>
    <xdr:clientData/>
  </xdr:twoCellAnchor>
  <xdr:oneCellAnchor>
    <xdr:from>
      <xdr:col>16</xdr:col>
      <xdr:colOff>104776</xdr:colOff>
      <xdr:row>1</xdr:row>
      <xdr:rowOff>85725</xdr:rowOff>
    </xdr:from>
    <xdr:ext cx="2227966" cy="593304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/>
      </xdr:nvSpPr>
      <xdr:spPr>
        <a:xfrm>
          <a:off x="5857876" y="276225"/>
          <a:ext cx="2227966" cy="593304"/>
        </a:xfrm>
        <a:prstGeom prst="rect">
          <a:avLst/>
        </a:prstGeom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en-US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XI</a:t>
          </a:r>
          <a:r>
            <a:rPr lang="id-ID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I</a:t>
          </a:r>
          <a:r>
            <a:rPr lang="en-US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.</a:t>
          </a:r>
          <a:r>
            <a:rPr lang="en-US" sz="32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 B-2</a:t>
          </a:r>
          <a:endParaRPr lang="en-US" sz="32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2</xdr:col>
      <xdr:colOff>38100</xdr:colOff>
      <xdr:row>0</xdr:row>
      <xdr:rowOff>104775</xdr:rowOff>
    </xdr:from>
    <xdr:to>
      <xdr:col>3</xdr:col>
      <xdr:colOff>381000</xdr:colOff>
      <xdr:row>4</xdr:row>
      <xdr:rowOff>190500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104775"/>
          <a:ext cx="1076325" cy="107632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755219</xdr:colOff>
      <xdr:row>1</xdr:row>
      <xdr:rowOff>237256</xdr:rowOff>
    </xdr:from>
    <xdr:to>
      <xdr:col>16</xdr:col>
      <xdr:colOff>145385</xdr:colOff>
      <xdr:row>3</xdr:row>
      <xdr:rowOff>33972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2317319" y="427756"/>
          <a:ext cx="3914541" cy="330116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Rounded MT Bold" panose="020F0704030504030204" pitchFamily="34" charset="0"/>
            </a:rPr>
            <a:t>SMA NEGERI 1 PAMEKASAN</a:t>
          </a:r>
        </a:p>
      </xdr:txBody>
    </xdr:sp>
    <xdr:clientData/>
  </xdr:twoCellAnchor>
  <xdr:twoCellAnchor editAs="oneCell">
    <xdr:from>
      <xdr:col>2</xdr:col>
      <xdr:colOff>47625</xdr:colOff>
      <xdr:row>0</xdr:row>
      <xdr:rowOff>123825</xdr:rowOff>
    </xdr:from>
    <xdr:to>
      <xdr:col>3</xdr:col>
      <xdr:colOff>410845</xdr:colOff>
      <xdr:row>4</xdr:row>
      <xdr:rowOff>85725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123825"/>
          <a:ext cx="1096645" cy="952500"/>
        </a:xfrm>
        <a:prstGeom prst="rect">
          <a:avLst/>
        </a:prstGeom>
      </xdr:spPr>
    </xdr:pic>
    <xdr:clientData/>
  </xdr:twoCellAnchor>
  <xdr:twoCellAnchor>
    <xdr:from>
      <xdr:col>3</xdr:col>
      <xdr:colOff>831419</xdr:colOff>
      <xdr:row>0</xdr:row>
      <xdr:rowOff>0</xdr:rowOff>
    </xdr:from>
    <xdr:to>
      <xdr:col>17</xdr:col>
      <xdr:colOff>40610</xdr:colOff>
      <xdr:row>2</xdr:row>
      <xdr:rowOff>132594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/>
      </xdr:nvSpPr>
      <xdr:spPr>
        <a:xfrm>
          <a:off x="2393519" y="0"/>
          <a:ext cx="3914541" cy="59931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ABSENSI SISWA</a:t>
          </a:r>
        </a:p>
      </xdr:txBody>
    </xdr:sp>
    <xdr:clientData/>
  </xdr:twoCellAnchor>
  <xdr:oneCellAnchor>
    <xdr:from>
      <xdr:col>17</xdr:col>
      <xdr:colOff>95250</xdr:colOff>
      <xdr:row>0</xdr:row>
      <xdr:rowOff>161925</xdr:rowOff>
    </xdr:from>
    <xdr:ext cx="1889126" cy="530658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/>
      </xdr:nvSpPr>
      <xdr:spPr>
        <a:xfrm>
          <a:off x="5699125" y="161925"/>
          <a:ext cx="1889126" cy="530658"/>
        </a:xfrm>
        <a:prstGeom prst="rect">
          <a:avLst/>
        </a:prstGeom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en-US" sz="2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X</a:t>
          </a:r>
          <a:r>
            <a:rPr lang="id-ID" sz="2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I</a:t>
          </a:r>
          <a:r>
            <a:rPr lang="en-US" sz="2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I.</a:t>
          </a:r>
          <a:r>
            <a:rPr lang="en-US" sz="2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 B-3</a:t>
          </a:r>
          <a:endParaRPr lang="en-US" sz="28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366"/>
  <sheetViews>
    <sheetView topLeftCell="A4" workbookViewId="0">
      <selection activeCell="D25" sqref="D25"/>
    </sheetView>
  </sheetViews>
  <sheetFormatPr defaultColWidth="3.28515625" defaultRowHeight="15" x14ac:dyDescent="0.25"/>
  <cols>
    <col min="1" max="1" width="3.7109375" customWidth="1"/>
    <col min="2" max="2" width="6.42578125" customWidth="1"/>
    <col min="3" max="3" width="11.5703125" customWidth="1"/>
    <col min="4" max="4" width="31.28515625" customWidth="1"/>
    <col min="5" max="5" width="3.7109375" bestFit="1" customWidth="1"/>
    <col min="6" max="29" width="2.7109375" customWidth="1"/>
    <col min="31" max="31" width="9.42578125" hidden="1" customWidth="1"/>
    <col min="32" max="33" width="0" hidden="1" customWidth="1"/>
    <col min="34" max="34" width="11" hidden="1" customWidth="1"/>
    <col min="35" max="35" width="9" hidden="1" customWidth="1"/>
    <col min="36" max="49" width="0" hidden="1" customWidth="1"/>
    <col min="52" max="52" width="8.5703125" customWidth="1"/>
    <col min="53" max="53" width="11" bestFit="1" customWidth="1"/>
    <col min="54" max="54" width="34.140625" customWidth="1"/>
  </cols>
  <sheetData>
    <row r="1" spans="1:56" x14ac:dyDescent="0.25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E1" s="15" t="s">
        <v>726</v>
      </c>
      <c r="AF1" t="s">
        <v>604</v>
      </c>
      <c r="AG1">
        <v>20527197</v>
      </c>
      <c r="AH1" t="s">
        <v>605</v>
      </c>
      <c r="AI1" t="s">
        <v>8</v>
      </c>
    </row>
    <row r="2" spans="1:56" ht="21.75" customHeight="1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E2" s="15" t="s">
        <v>726</v>
      </c>
      <c r="AF2" t="s">
        <v>570</v>
      </c>
      <c r="AG2">
        <v>20583363</v>
      </c>
      <c r="AH2" t="s">
        <v>571</v>
      </c>
      <c r="AI2" t="s">
        <v>7</v>
      </c>
    </row>
    <row r="3" spans="1:56" ht="20.25" customHeight="1" x14ac:dyDescent="0.25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E3" s="15" t="s">
        <v>726</v>
      </c>
      <c r="AF3" t="s">
        <v>465</v>
      </c>
      <c r="AG3">
        <v>20527197</v>
      </c>
      <c r="AH3" t="s">
        <v>466</v>
      </c>
      <c r="AI3" t="s">
        <v>8</v>
      </c>
    </row>
    <row r="4" spans="1:56" ht="21" x14ac:dyDescent="0.35">
      <c r="A4" s="55" t="s">
        <v>810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E4" s="18" t="s">
        <v>371</v>
      </c>
      <c r="AF4" t="s">
        <v>276</v>
      </c>
      <c r="AG4">
        <v>20527180</v>
      </c>
      <c r="AH4" t="s">
        <v>277</v>
      </c>
      <c r="AI4" t="s">
        <v>8</v>
      </c>
    </row>
    <row r="5" spans="1:56" x14ac:dyDescent="0.25">
      <c r="A5" s="1"/>
      <c r="B5" s="1"/>
      <c r="C5" s="2"/>
      <c r="P5" s="11"/>
      <c r="AE5" s="15" t="s">
        <v>726</v>
      </c>
      <c r="AF5" t="s">
        <v>697</v>
      </c>
      <c r="AG5">
        <v>20527202</v>
      </c>
      <c r="AH5" t="s">
        <v>698</v>
      </c>
      <c r="AI5" t="s">
        <v>8</v>
      </c>
    </row>
    <row r="6" spans="1:56" ht="3.75" customHeight="1" x14ac:dyDescent="0.25">
      <c r="A6" s="1"/>
      <c r="B6" s="1"/>
      <c r="C6" s="2"/>
      <c r="AE6" s="15" t="s">
        <v>726</v>
      </c>
      <c r="AF6" t="s">
        <v>527</v>
      </c>
      <c r="AG6">
        <v>20527180</v>
      </c>
      <c r="AH6" t="s">
        <v>528</v>
      </c>
      <c r="AI6" t="s">
        <v>7</v>
      </c>
    </row>
    <row r="7" spans="1:56" x14ac:dyDescent="0.25">
      <c r="A7" s="56" t="s">
        <v>0</v>
      </c>
      <c r="B7" s="57" t="s">
        <v>803</v>
      </c>
      <c r="C7" s="57" t="s">
        <v>1</v>
      </c>
      <c r="D7" s="56" t="s">
        <v>2</v>
      </c>
      <c r="E7" s="58" t="s">
        <v>3</v>
      </c>
      <c r="F7" s="59" t="s">
        <v>4</v>
      </c>
      <c r="G7" s="60"/>
      <c r="H7" s="61"/>
      <c r="I7" s="62" t="s">
        <v>808</v>
      </c>
      <c r="J7" s="63"/>
      <c r="K7" s="63"/>
      <c r="L7" s="63"/>
      <c r="M7" s="63"/>
      <c r="N7" s="63"/>
      <c r="O7" s="63"/>
      <c r="P7" s="63"/>
      <c r="Q7" s="63"/>
      <c r="R7" s="63"/>
      <c r="S7" s="64"/>
      <c r="T7" s="65" t="s">
        <v>5</v>
      </c>
      <c r="U7" s="65"/>
      <c r="V7" s="66" t="s">
        <v>809</v>
      </c>
      <c r="W7" s="67"/>
      <c r="X7" s="67"/>
      <c r="Y7" s="67"/>
      <c r="Z7" s="67"/>
      <c r="AA7" s="67"/>
      <c r="AB7" s="67"/>
      <c r="AC7" s="67"/>
      <c r="AE7" s="18" t="s">
        <v>371</v>
      </c>
      <c r="AF7" t="s">
        <v>236</v>
      </c>
      <c r="AG7">
        <v>20527197</v>
      </c>
      <c r="AH7" t="s">
        <v>237</v>
      </c>
      <c r="AI7" t="s">
        <v>8</v>
      </c>
    </row>
    <row r="8" spans="1:56" x14ac:dyDescent="0.25">
      <c r="A8" s="56"/>
      <c r="B8" s="57"/>
      <c r="C8" s="57"/>
      <c r="D8" s="56"/>
      <c r="E8" s="58"/>
      <c r="F8" s="68" t="s">
        <v>6</v>
      </c>
      <c r="G8" s="68"/>
      <c r="H8" s="68"/>
      <c r="I8" s="68"/>
      <c r="J8" s="68"/>
      <c r="K8" s="68"/>
      <c r="L8" s="68"/>
      <c r="M8" s="68"/>
      <c r="N8" s="68" t="s">
        <v>6</v>
      </c>
      <c r="O8" s="68"/>
      <c r="P8" s="68"/>
      <c r="Q8" s="68"/>
      <c r="R8" s="68"/>
      <c r="S8" s="68"/>
      <c r="T8" s="68"/>
      <c r="U8" s="68"/>
      <c r="V8" s="68" t="s">
        <v>6</v>
      </c>
      <c r="W8" s="68"/>
      <c r="X8" s="68"/>
      <c r="Y8" s="68"/>
      <c r="Z8" s="68"/>
      <c r="AA8" s="68"/>
      <c r="AB8" s="68"/>
      <c r="AC8" s="68"/>
      <c r="AE8" s="13" t="s">
        <v>50</v>
      </c>
      <c r="AF8" t="s">
        <v>42</v>
      </c>
      <c r="AG8">
        <v>20566545</v>
      </c>
      <c r="AH8" t="s">
        <v>43</v>
      </c>
      <c r="AI8" t="s">
        <v>7</v>
      </c>
    </row>
    <row r="9" spans="1:56" x14ac:dyDescent="0.25">
      <c r="A9" s="56"/>
      <c r="B9" s="57"/>
      <c r="C9" s="57"/>
      <c r="D9" s="56"/>
      <c r="E9" s="58"/>
      <c r="F9" s="3">
        <v>1</v>
      </c>
      <c r="G9" s="3">
        <v>2</v>
      </c>
      <c r="H9" s="3">
        <v>3</v>
      </c>
      <c r="I9" s="3">
        <v>4</v>
      </c>
      <c r="J9" s="3">
        <v>5</v>
      </c>
      <c r="K9" s="3">
        <v>6</v>
      </c>
      <c r="L9" s="3">
        <v>7</v>
      </c>
      <c r="M9" s="3">
        <v>8</v>
      </c>
      <c r="N9" s="3">
        <v>1</v>
      </c>
      <c r="O9" s="3">
        <v>2</v>
      </c>
      <c r="P9" s="3">
        <v>3</v>
      </c>
      <c r="Q9" s="3">
        <v>4</v>
      </c>
      <c r="R9" s="3">
        <v>5</v>
      </c>
      <c r="S9" s="3">
        <v>6</v>
      </c>
      <c r="T9" s="3">
        <v>7</v>
      </c>
      <c r="U9" s="3">
        <v>8</v>
      </c>
      <c r="V9" s="3">
        <v>1</v>
      </c>
      <c r="W9" s="3">
        <v>2</v>
      </c>
      <c r="X9" s="3">
        <v>3</v>
      </c>
      <c r="Y9" s="3">
        <v>4</v>
      </c>
      <c r="Z9" s="3">
        <v>5</v>
      </c>
      <c r="AA9" s="3">
        <v>6</v>
      </c>
      <c r="AB9" s="3">
        <v>7</v>
      </c>
      <c r="AC9" s="3">
        <v>8</v>
      </c>
      <c r="AE9" s="18" t="s">
        <v>371</v>
      </c>
      <c r="AF9" t="s">
        <v>361</v>
      </c>
      <c r="AG9">
        <v>20527193</v>
      </c>
      <c r="AH9" t="s">
        <v>362</v>
      </c>
      <c r="AI9" t="s">
        <v>8</v>
      </c>
    </row>
    <row r="10" spans="1:56" ht="20.100000000000001" customHeight="1" x14ac:dyDescent="0.25">
      <c r="A10" s="4">
        <v>1</v>
      </c>
      <c r="B10" s="4">
        <v>14596</v>
      </c>
      <c r="C10" s="39" t="s">
        <v>604</v>
      </c>
      <c r="D10" s="6" t="s">
        <v>605</v>
      </c>
      <c r="E10" s="7" t="s">
        <v>8</v>
      </c>
      <c r="F10" s="8"/>
      <c r="G10" s="8" t="s">
        <v>793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E10" s="18" t="s">
        <v>371</v>
      </c>
      <c r="AF10" t="s">
        <v>272</v>
      </c>
      <c r="AG10">
        <v>20527180</v>
      </c>
      <c r="AH10" t="s">
        <v>273</v>
      </c>
      <c r="AI10" t="s">
        <v>7</v>
      </c>
      <c r="AJ10" t="str">
        <f>UPPER(D10)</f>
        <v>ACHMAD RIZQON JANUAR</v>
      </c>
      <c r="AY10" s="4">
        <v>1</v>
      </c>
      <c r="AZ10" s="4">
        <v>14591</v>
      </c>
      <c r="BA10" s="5" t="s">
        <v>547</v>
      </c>
      <c r="BB10" s="6" t="s">
        <v>548</v>
      </c>
      <c r="BC10" s="7" t="s">
        <v>8</v>
      </c>
      <c r="BD10" t="s">
        <v>793</v>
      </c>
    </row>
    <row r="11" spans="1:56" ht="20.100000000000001" customHeight="1" x14ac:dyDescent="0.25">
      <c r="A11" s="4">
        <v>2</v>
      </c>
      <c r="B11" s="4">
        <v>14600</v>
      </c>
      <c r="C11" s="39" t="s">
        <v>414</v>
      </c>
      <c r="D11" s="6" t="s">
        <v>415</v>
      </c>
      <c r="E11" s="7" t="s">
        <v>7</v>
      </c>
      <c r="F11" s="8"/>
      <c r="G11" s="8" t="s">
        <v>793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E11" s="14" t="s">
        <v>141</v>
      </c>
      <c r="AF11" t="s">
        <v>127</v>
      </c>
      <c r="AG11">
        <v>20528609</v>
      </c>
      <c r="AH11" t="s">
        <v>128</v>
      </c>
      <c r="AI11" t="s">
        <v>8</v>
      </c>
      <c r="AJ11" t="str">
        <f t="shared" ref="AJ11:AJ45" si="0">UPPER(D11)</f>
        <v>ADINDA ZIFANNA OKTAFIA</v>
      </c>
      <c r="AY11" s="4">
        <v>2</v>
      </c>
      <c r="AZ11" s="4">
        <v>14601</v>
      </c>
      <c r="BA11" s="5" t="s">
        <v>570</v>
      </c>
      <c r="BB11" s="6" t="s">
        <v>727</v>
      </c>
      <c r="BC11" s="7" t="s">
        <v>7</v>
      </c>
      <c r="BD11" t="s">
        <v>793</v>
      </c>
    </row>
    <row r="12" spans="1:56" ht="20.100000000000001" customHeight="1" x14ac:dyDescent="0.25">
      <c r="A12" s="4">
        <v>3</v>
      </c>
      <c r="B12" s="32">
        <v>14603</v>
      </c>
      <c r="C12" s="39" t="s">
        <v>117</v>
      </c>
      <c r="D12" s="6" t="s">
        <v>118</v>
      </c>
      <c r="E12" s="7" t="s">
        <v>8</v>
      </c>
      <c r="F12" s="8"/>
      <c r="G12" s="8" t="s">
        <v>793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E12" s="14" t="s">
        <v>141</v>
      </c>
      <c r="AF12" t="s">
        <v>81</v>
      </c>
      <c r="AG12">
        <v>20583410</v>
      </c>
      <c r="AH12" t="s">
        <v>82</v>
      </c>
      <c r="AI12" t="s">
        <v>8</v>
      </c>
      <c r="AJ12" t="str">
        <f t="shared" si="0"/>
        <v>ADLI YUSUF ALIFDI</v>
      </c>
      <c r="AY12" s="4">
        <v>3</v>
      </c>
      <c r="AZ12" s="4">
        <v>14602</v>
      </c>
      <c r="BA12" s="9" t="s">
        <v>693</v>
      </c>
      <c r="BB12" s="6" t="s">
        <v>694</v>
      </c>
      <c r="BC12" s="7" t="s">
        <v>8</v>
      </c>
      <c r="BD12" t="s">
        <v>793</v>
      </c>
    </row>
    <row r="13" spans="1:56" ht="20.100000000000001" customHeight="1" x14ac:dyDescent="0.25">
      <c r="A13" s="4">
        <v>4</v>
      </c>
      <c r="B13" s="4">
        <v>14609</v>
      </c>
      <c r="C13" s="40" t="s">
        <v>281</v>
      </c>
      <c r="D13" s="6" t="s">
        <v>282</v>
      </c>
      <c r="E13" s="7" t="s">
        <v>7</v>
      </c>
      <c r="F13" s="8"/>
      <c r="G13" s="8" t="s">
        <v>793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E13" s="13" t="s">
        <v>50</v>
      </c>
      <c r="AF13" t="s">
        <v>14</v>
      </c>
      <c r="AG13">
        <v>20527185</v>
      </c>
      <c r="AH13" t="s">
        <v>15</v>
      </c>
      <c r="AI13" t="s">
        <v>8</v>
      </c>
      <c r="AJ13" t="str">
        <f t="shared" si="0"/>
        <v>AISYAH ANA HARIYANTO</v>
      </c>
      <c r="AY13" s="4">
        <v>4</v>
      </c>
      <c r="AZ13" s="4">
        <v>14603</v>
      </c>
      <c r="BA13" s="5" t="s">
        <v>117</v>
      </c>
      <c r="BB13" s="6" t="s">
        <v>118</v>
      </c>
      <c r="BC13" s="7" t="s">
        <v>8</v>
      </c>
      <c r="BD13" t="s">
        <v>793</v>
      </c>
    </row>
    <row r="14" spans="1:56" ht="20.100000000000001" customHeight="1" x14ac:dyDescent="0.25">
      <c r="A14" s="4">
        <v>6</v>
      </c>
      <c r="B14" s="4">
        <v>14611</v>
      </c>
      <c r="C14" s="39" t="s">
        <v>561</v>
      </c>
      <c r="D14" s="6" t="s">
        <v>562</v>
      </c>
      <c r="E14" s="7" t="s">
        <v>7</v>
      </c>
      <c r="F14" s="8"/>
      <c r="G14" s="8" t="s">
        <v>793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E14" s="15" t="s">
        <v>726</v>
      </c>
      <c r="AF14" t="s">
        <v>622</v>
      </c>
      <c r="AG14">
        <v>20527197</v>
      </c>
      <c r="AH14" t="s">
        <v>623</v>
      </c>
      <c r="AI14" t="s">
        <v>7</v>
      </c>
      <c r="AJ14" t="str">
        <f t="shared" si="0"/>
        <v>AISYAH AZZAHRA</v>
      </c>
      <c r="AY14" s="4">
        <v>5</v>
      </c>
      <c r="AZ14" s="4">
        <v>14614</v>
      </c>
      <c r="BA14" s="5" t="s">
        <v>614</v>
      </c>
      <c r="BB14" s="5" t="s">
        <v>615</v>
      </c>
      <c r="BC14" s="7" t="s">
        <v>8</v>
      </c>
      <c r="BD14" t="s">
        <v>793</v>
      </c>
    </row>
    <row r="15" spans="1:56" ht="20.100000000000001" customHeight="1" x14ac:dyDescent="0.25">
      <c r="A15" s="4">
        <v>7</v>
      </c>
      <c r="B15" s="4">
        <v>14631</v>
      </c>
      <c r="C15" s="39" t="s">
        <v>766</v>
      </c>
      <c r="D15" s="6" t="s">
        <v>194</v>
      </c>
      <c r="E15" s="7" t="s">
        <v>8</v>
      </c>
      <c r="F15" s="8"/>
      <c r="G15" s="8" t="s">
        <v>793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E15" s="18" t="s">
        <v>371</v>
      </c>
      <c r="AF15" t="s">
        <v>240</v>
      </c>
      <c r="AG15">
        <v>20527197</v>
      </c>
      <c r="AH15" t="s">
        <v>241</v>
      </c>
      <c r="AI15" t="s">
        <v>7</v>
      </c>
      <c r="AJ15" t="str">
        <f t="shared" si="0"/>
        <v>ANAS NUR ASMORI</v>
      </c>
      <c r="AY15" s="4">
        <v>6</v>
      </c>
      <c r="AZ15" s="4">
        <v>14616</v>
      </c>
      <c r="BA15" s="5" t="s">
        <v>511</v>
      </c>
      <c r="BB15" s="6" t="s">
        <v>512</v>
      </c>
      <c r="BC15" s="7" t="s">
        <v>8</v>
      </c>
      <c r="BD15" t="s">
        <v>793</v>
      </c>
    </row>
    <row r="16" spans="1:56" ht="20.100000000000001" customHeight="1" x14ac:dyDescent="0.25">
      <c r="A16" s="4">
        <v>3</v>
      </c>
      <c r="B16" s="4">
        <v>14635</v>
      </c>
      <c r="C16" s="39" t="s">
        <v>46</v>
      </c>
      <c r="D16" s="6" t="s">
        <v>47</v>
      </c>
      <c r="E16" s="7" t="s">
        <v>8</v>
      </c>
      <c r="F16" s="8"/>
      <c r="G16" s="8" t="s">
        <v>793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E16" s="18" t="s">
        <v>371</v>
      </c>
      <c r="AF16" t="s">
        <v>323</v>
      </c>
      <c r="AG16">
        <v>20528625</v>
      </c>
      <c r="AH16" t="s">
        <v>324</v>
      </c>
      <c r="AI16" t="s">
        <v>8</v>
      </c>
      <c r="AJ16" t="str">
        <f t="shared" si="0"/>
        <v>ANDREA NAUFAL SETIAWAN</v>
      </c>
      <c r="AY16" s="4">
        <v>7</v>
      </c>
      <c r="AZ16" s="4">
        <v>14619</v>
      </c>
      <c r="BA16" s="5" t="s">
        <v>606</v>
      </c>
      <c r="BB16" s="6" t="s">
        <v>607</v>
      </c>
      <c r="BC16" s="7" t="s">
        <v>8</v>
      </c>
      <c r="BD16" t="s">
        <v>793</v>
      </c>
    </row>
    <row r="17" spans="1:56" ht="20.100000000000001" customHeight="1" x14ac:dyDescent="0.25">
      <c r="A17" s="4">
        <v>9</v>
      </c>
      <c r="B17" s="4">
        <v>14640</v>
      </c>
      <c r="C17" s="39" t="s">
        <v>523</v>
      </c>
      <c r="D17" s="6" t="s">
        <v>524</v>
      </c>
      <c r="E17" s="7" t="s">
        <v>7</v>
      </c>
      <c r="F17" s="8"/>
      <c r="G17" s="8" t="s">
        <v>793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E17" s="15" t="s">
        <v>726</v>
      </c>
      <c r="AF17" t="s">
        <v>505</v>
      </c>
      <c r="AG17">
        <v>20527180</v>
      </c>
      <c r="AH17" t="s">
        <v>506</v>
      </c>
      <c r="AI17" t="s">
        <v>8</v>
      </c>
      <c r="AJ17" t="str">
        <f t="shared" si="0"/>
        <v>ARIANNA FATHIA LATHIEFANI</v>
      </c>
      <c r="AY17" s="4">
        <v>8</v>
      </c>
      <c r="AZ17" s="4">
        <v>14621</v>
      </c>
      <c r="BA17" s="5" t="s">
        <v>681</v>
      </c>
      <c r="BB17" s="6" t="s">
        <v>682</v>
      </c>
      <c r="BC17" s="7" t="s">
        <v>7</v>
      </c>
      <c r="BD17" t="s">
        <v>793</v>
      </c>
    </row>
    <row r="18" spans="1:56" ht="20.100000000000001" customHeight="1" x14ac:dyDescent="0.25">
      <c r="A18" s="4">
        <v>3</v>
      </c>
      <c r="B18" s="4">
        <v>14643</v>
      </c>
      <c r="C18" s="39" t="s">
        <v>301</v>
      </c>
      <c r="D18" s="6" t="s">
        <v>302</v>
      </c>
      <c r="E18" s="7" t="s">
        <v>7</v>
      </c>
      <c r="F18" s="8"/>
      <c r="G18" s="8" t="s">
        <v>793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E18" s="15" t="s">
        <v>726</v>
      </c>
      <c r="AF18" t="s">
        <v>434</v>
      </c>
      <c r="AG18">
        <v>20527197</v>
      </c>
      <c r="AH18" t="s">
        <v>435</v>
      </c>
      <c r="AI18" t="s">
        <v>8</v>
      </c>
      <c r="AJ18" t="str">
        <f t="shared" si="0"/>
        <v>ARINI ULFA HIDAYATI</v>
      </c>
      <c r="AY18" s="4">
        <v>9</v>
      </c>
      <c r="AZ18" s="4">
        <v>14628</v>
      </c>
      <c r="BA18" s="5" t="s">
        <v>299</v>
      </c>
      <c r="BB18" s="5" t="s">
        <v>300</v>
      </c>
      <c r="BC18" s="7" t="s">
        <v>7</v>
      </c>
      <c r="BD18" t="s">
        <v>793</v>
      </c>
    </row>
    <row r="19" spans="1:56" ht="20.100000000000001" customHeight="1" x14ac:dyDescent="0.25">
      <c r="A19" s="4">
        <v>5</v>
      </c>
      <c r="B19" s="4">
        <v>14646</v>
      </c>
      <c r="C19" s="40" t="s">
        <v>321</v>
      </c>
      <c r="D19" s="6" t="s">
        <v>322</v>
      </c>
      <c r="E19" s="24" t="s">
        <v>8</v>
      </c>
      <c r="F19" s="8"/>
      <c r="G19" s="8" t="s">
        <v>793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E19" s="15" t="s">
        <v>726</v>
      </c>
      <c r="AF19" t="s">
        <v>580</v>
      </c>
      <c r="AG19">
        <v>20527197</v>
      </c>
      <c r="AH19" t="s">
        <v>581</v>
      </c>
      <c r="AI19" t="s">
        <v>8</v>
      </c>
      <c r="AJ19" t="str">
        <f t="shared" si="0"/>
        <v>ARYA DEFIAN AL FARABI</v>
      </c>
      <c r="AY19" s="4">
        <v>10</v>
      </c>
      <c r="AZ19" s="4">
        <v>14660</v>
      </c>
      <c r="BA19" s="5" t="s">
        <v>537</v>
      </c>
      <c r="BB19" s="6" t="s">
        <v>538</v>
      </c>
      <c r="BC19" s="7" t="s">
        <v>7</v>
      </c>
      <c r="BD19" t="s">
        <v>793</v>
      </c>
    </row>
    <row r="20" spans="1:56" ht="20.100000000000001" customHeight="1" x14ac:dyDescent="0.25">
      <c r="A20" s="4">
        <v>12</v>
      </c>
      <c r="B20" s="4">
        <v>14657</v>
      </c>
      <c r="C20" s="39" t="s">
        <v>83</v>
      </c>
      <c r="D20" s="5" t="s">
        <v>84</v>
      </c>
      <c r="E20" s="7" t="s">
        <v>8</v>
      </c>
      <c r="F20" s="8"/>
      <c r="G20" s="8" t="s">
        <v>793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E20" s="15" t="s">
        <v>726</v>
      </c>
      <c r="AF20" t="s">
        <v>651</v>
      </c>
      <c r="AG20">
        <v>20527197</v>
      </c>
      <c r="AH20" t="s">
        <v>652</v>
      </c>
      <c r="AI20" t="s">
        <v>8</v>
      </c>
      <c r="AJ20" t="str">
        <f t="shared" si="0"/>
        <v>AURIGA SYAFHA FAIRUZ SYAHREZA</v>
      </c>
      <c r="AY20" s="4">
        <v>11</v>
      </c>
      <c r="AZ20" s="4">
        <v>14663</v>
      </c>
      <c r="BA20" s="5" t="s">
        <v>527</v>
      </c>
      <c r="BB20" s="6" t="s">
        <v>528</v>
      </c>
      <c r="BC20" s="7" t="s">
        <v>7</v>
      </c>
      <c r="BD20" t="s">
        <v>793</v>
      </c>
    </row>
    <row r="21" spans="1:56" ht="20.100000000000001" customHeight="1" x14ac:dyDescent="0.25">
      <c r="A21" s="4">
        <v>8</v>
      </c>
      <c r="B21" s="4">
        <v>14679</v>
      </c>
      <c r="C21" s="39" t="s">
        <v>93</v>
      </c>
      <c r="D21" s="5" t="s">
        <v>94</v>
      </c>
      <c r="E21" s="7" t="s">
        <v>8</v>
      </c>
      <c r="F21" s="8"/>
      <c r="G21" s="8" t="s">
        <v>793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E21" s="15" t="s">
        <v>726</v>
      </c>
      <c r="AF21" t="s">
        <v>398</v>
      </c>
      <c r="AG21">
        <v>69816340</v>
      </c>
      <c r="AH21" t="s">
        <v>399</v>
      </c>
      <c r="AI21" t="s">
        <v>8</v>
      </c>
      <c r="AJ21" t="str">
        <f t="shared" si="0"/>
        <v>CHRISTOFFER CONSTANTINE SANTOSO</v>
      </c>
      <c r="AY21" s="4">
        <v>12</v>
      </c>
      <c r="AZ21" s="4">
        <v>14664</v>
      </c>
      <c r="BA21" s="5" t="s">
        <v>683</v>
      </c>
      <c r="BB21" s="6" t="s">
        <v>747</v>
      </c>
      <c r="BC21" s="7" t="s">
        <v>8</v>
      </c>
      <c r="BD21" t="s">
        <v>793</v>
      </c>
    </row>
    <row r="22" spans="1:56" ht="20.100000000000001" customHeight="1" x14ac:dyDescent="0.25">
      <c r="A22" s="4">
        <v>16</v>
      </c>
      <c r="B22" s="4">
        <v>14700</v>
      </c>
      <c r="C22" s="39" t="s">
        <v>139</v>
      </c>
      <c r="D22" s="6" t="s">
        <v>140</v>
      </c>
      <c r="E22" s="7" t="s">
        <v>8</v>
      </c>
      <c r="F22" s="8"/>
      <c r="G22" s="8" t="s">
        <v>793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E22" s="15" t="s">
        <v>726</v>
      </c>
      <c r="AF22" t="s">
        <v>386</v>
      </c>
      <c r="AG22">
        <v>20527197</v>
      </c>
      <c r="AH22" t="s">
        <v>387</v>
      </c>
      <c r="AI22" t="s">
        <v>7</v>
      </c>
      <c r="AJ22" t="str">
        <f t="shared" si="0"/>
        <v>FAKHRILLAH HASAN</v>
      </c>
      <c r="AY22" s="4">
        <v>13</v>
      </c>
      <c r="AZ22" s="4">
        <v>14669</v>
      </c>
      <c r="BA22" s="5" t="s">
        <v>274</v>
      </c>
      <c r="BB22" s="6" t="s">
        <v>275</v>
      </c>
      <c r="BC22" s="7" t="s">
        <v>8</v>
      </c>
      <c r="BD22" t="s">
        <v>793</v>
      </c>
    </row>
    <row r="23" spans="1:56" ht="20.100000000000001" customHeight="1" x14ac:dyDescent="0.25">
      <c r="A23" s="4">
        <v>11</v>
      </c>
      <c r="B23" s="32">
        <v>14703</v>
      </c>
      <c r="C23" s="39" t="s">
        <v>367</v>
      </c>
      <c r="D23" s="6" t="s">
        <v>368</v>
      </c>
      <c r="E23" s="7" t="s">
        <v>8</v>
      </c>
      <c r="F23" s="8"/>
      <c r="G23" s="8" t="s">
        <v>793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E23" s="17" t="s">
        <v>197</v>
      </c>
      <c r="AF23" t="s">
        <v>174</v>
      </c>
      <c r="AG23">
        <v>69991338</v>
      </c>
      <c r="AH23" t="s">
        <v>175</v>
      </c>
      <c r="AI23" t="s">
        <v>8</v>
      </c>
      <c r="AJ23" t="str">
        <f t="shared" si="0"/>
        <v>FARDAN ABDILLAH NUR FIRDAUS</v>
      </c>
      <c r="AY23" s="4">
        <v>14</v>
      </c>
      <c r="AZ23" s="4">
        <v>14675</v>
      </c>
      <c r="BA23" s="5" t="s">
        <v>353</v>
      </c>
      <c r="BB23" s="6" t="s">
        <v>354</v>
      </c>
      <c r="BC23" s="7" t="s">
        <v>7</v>
      </c>
      <c r="BD23" t="s">
        <v>793</v>
      </c>
    </row>
    <row r="24" spans="1:56" ht="20.100000000000001" customHeight="1" x14ac:dyDescent="0.25">
      <c r="A24" s="4">
        <v>8</v>
      </c>
      <c r="B24" s="4">
        <v>14710</v>
      </c>
      <c r="C24" s="39" t="s">
        <v>359</v>
      </c>
      <c r="D24" s="6" t="s">
        <v>360</v>
      </c>
      <c r="E24" s="7" t="s">
        <v>7</v>
      </c>
      <c r="F24" s="8"/>
      <c r="G24" s="8" t="s">
        <v>793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E24" s="16" t="s">
        <v>80</v>
      </c>
      <c r="AF24" t="s">
        <v>74</v>
      </c>
      <c r="AG24">
        <v>20364507</v>
      </c>
      <c r="AH24" t="s">
        <v>75</v>
      </c>
      <c r="AI24" t="s">
        <v>7</v>
      </c>
      <c r="AJ24" t="str">
        <f t="shared" si="0"/>
        <v>FEBRI NURIA FAJRIN</v>
      </c>
      <c r="AY24" s="4">
        <v>15</v>
      </c>
      <c r="AZ24" s="4">
        <v>14691</v>
      </c>
      <c r="BA24" s="5" t="s">
        <v>762</v>
      </c>
      <c r="BB24" s="6" t="s">
        <v>255</v>
      </c>
      <c r="BC24" s="7" t="s">
        <v>7</v>
      </c>
      <c r="BD24" t="s">
        <v>793</v>
      </c>
    </row>
    <row r="25" spans="1:56" ht="20.100000000000001" customHeight="1" x14ac:dyDescent="0.25">
      <c r="A25" s="4">
        <v>12</v>
      </c>
      <c r="B25" s="4">
        <v>14712</v>
      </c>
      <c r="C25" s="39" t="s">
        <v>475</v>
      </c>
      <c r="D25" s="6" t="s">
        <v>476</v>
      </c>
      <c r="E25" s="24" t="s">
        <v>7</v>
      </c>
      <c r="F25" s="8"/>
      <c r="G25" s="8" t="s">
        <v>793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E25" s="15" t="s">
        <v>726</v>
      </c>
      <c r="AF25" t="s">
        <v>543</v>
      </c>
      <c r="AG25">
        <v>20527180</v>
      </c>
      <c r="AH25" t="s">
        <v>544</v>
      </c>
      <c r="AI25" t="s">
        <v>8</v>
      </c>
      <c r="AJ25" t="str">
        <f t="shared" si="0"/>
        <v>FIRA OKTAVIA HIDAYATI</v>
      </c>
      <c r="AY25" s="4">
        <v>16</v>
      </c>
      <c r="AZ25" s="4">
        <v>14703</v>
      </c>
      <c r="BA25" s="5" t="s">
        <v>367</v>
      </c>
      <c r="BB25" s="6" t="s">
        <v>368</v>
      </c>
      <c r="BC25" s="7" t="s">
        <v>8</v>
      </c>
      <c r="BD25" t="s">
        <v>793</v>
      </c>
    </row>
    <row r="26" spans="1:56" ht="20.100000000000001" customHeight="1" x14ac:dyDescent="0.25">
      <c r="A26" s="4">
        <v>20</v>
      </c>
      <c r="B26" s="4">
        <v>14722</v>
      </c>
      <c r="C26" s="39" t="s">
        <v>400</v>
      </c>
      <c r="D26" s="6" t="s">
        <v>401</v>
      </c>
      <c r="E26" s="7" t="s">
        <v>8</v>
      </c>
      <c r="F26" s="8"/>
      <c r="G26" s="8" t="s">
        <v>793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E26" s="15" t="s">
        <v>726</v>
      </c>
      <c r="AF26" t="s">
        <v>655</v>
      </c>
      <c r="AG26">
        <v>20527193</v>
      </c>
      <c r="AH26" t="s">
        <v>656</v>
      </c>
      <c r="AI26" t="s">
        <v>7</v>
      </c>
      <c r="AJ26" t="str">
        <f t="shared" si="0"/>
        <v>GUNTUR PRASTYO WIBOWO</v>
      </c>
      <c r="AY26" s="4">
        <v>17</v>
      </c>
      <c r="AZ26" s="4">
        <v>14709</v>
      </c>
      <c r="BA26" s="5" t="s">
        <v>722</v>
      </c>
      <c r="BB26" s="6" t="s">
        <v>723</v>
      </c>
      <c r="BC26" s="7" t="s">
        <v>8</v>
      </c>
      <c r="BD26" t="s">
        <v>793</v>
      </c>
    </row>
    <row r="27" spans="1:56" ht="20.100000000000001" customHeight="1" x14ac:dyDescent="0.25">
      <c r="A27" s="4">
        <v>17</v>
      </c>
      <c r="B27" s="4">
        <v>14743</v>
      </c>
      <c r="C27" s="39" t="s">
        <v>208</v>
      </c>
      <c r="D27" s="6" t="s">
        <v>209</v>
      </c>
      <c r="E27" s="7" t="s">
        <v>7</v>
      </c>
      <c r="F27" s="8"/>
      <c r="G27" s="8" t="s">
        <v>793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E27" s="13" t="s">
        <v>50</v>
      </c>
      <c r="AF27" t="s">
        <v>18</v>
      </c>
      <c r="AG27">
        <v>20527202</v>
      </c>
      <c r="AH27" t="s">
        <v>19</v>
      </c>
      <c r="AI27" t="s">
        <v>7</v>
      </c>
      <c r="AJ27" t="str">
        <f t="shared" si="0"/>
        <v>KAYLA AIKO MARITZA</v>
      </c>
      <c r="AY27" s="4">
        <v>18</v>
      </c>
      <c r="AZ27" s="4">
        <v>14713</v>
      </c>
      <c r="BA27" s="5" t="s">
        <v>338</v>
      </c>
      <c r="BB27" s="6" t="s">
        <v>339</v>
      </c>
      <c r="BC27" s="7" t="s">
        <v>7</v>
      </c>
      <c r="BD27" t="s">
        <v>793</v>
      </c>
    </row>
    <row r="28" spans="1:56" ht="20.100000000000001" customHeight="1" x14ac:dyDescent="0.25">
      <c r="A28" s="4">
        <v>12</v>
      </c>
      <c r="B28" s="4">
        <v>14764</v>
      </c>
      <c r="C28" s="39" t="s">
        <v>214</v>
      </c>
      <c r="D28" s="6" t="s">
        <v>215</v>
      </c>
      <c r="E28" s="7" t="s">
        <v>7</v>
      </c>
      <c r="F28" s="8"/>
      <c r="G28" s="8" t="s">
        <v>793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E28" s="18" t="s">
        <v>371</v>
      </c>
      <c r="AF28">
        <v>3081834782</v>
      </c>
      <c r="AG28">
        <v>20528625</v>
      </c>
      <c r="AH28" t="s">
        <v>346</v>
      </c>
      <c r="AI28" t="s">
        <v>7</v>
      </c>
      <c r="AJ28" t="str">
        <f t="shared" si="0"/>
        <v>MALIKA ALFATIA PUTRI</v>
      </c>
      <c r="AY28" s="4">
        <v>19</v>
      </c>
      <c r="AZ28" s="4">
        <v>14728</v>
      </c>
      <c r="BA28" s="5" t="s">
        <v>105</v>
      </c>
      <c r="BB28" s="6" t="s">
        <v>106</v>
      </c>
      <c r="BC28" s="7" t="s">
        <v>8</v>
      </c>
      <c r="BD28" t="s">
        <v>793</v>
      </c>
    </row>
    <row r="29" spans="1:56" ht="20.100000000000001" customHeight="1" x14ac:dyDescent="0.25">
      <c r="A29" s="4">
        <v>20</v>
      </c>
      <c r="B29" s="4">
        <v>14767</v>
      </c>
      <c r="C29" s="39" t="s">
        <v>260</v>
      </c>
      <c r="D29" s="6" t="s">
        <v>749</v>
      </c>
      <c r="E29" s="24" t="s">
        <v>8</v>
      </c>
      <c r="F29" s="8"/>
      <c r="G29" s="8" t="s">
        <v>793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E29" s="15" t="s">
        <v>726</v>
      </c>
      <c r="AF29" t="s">
        <v>481</v>
      </c>
      <c r="AG29">
        <v>20527180</v>
      </c>
      <c r="AH29" t="s">
        <v>482</v>
      </c>
      <c r="AI29" t="s">
        <v>7</v>
      </c>
      <c r="AJ29" t="str">
        <f t="shared" si="0"/>
        <v>MARVEL GILBERT VILIANTO</v>
      </c>
      <c r="AY29" s="4">
        <v>20</v>
      </c>
      <c r="AZ29" s="4">
        <v>14746</v>
      </c>
      <c r="BA29" s="5" t="s">
        <v>763</v>
      </c>
      <c r="BB29" s="6" t="s">
        <v>741</v>
      </c>
      <c r="BC29" s="7" t="s">
        <v>7</v>
      </c>
      <c r="BD29" t="s">
        <v>793</v>
      </c>
    </row>
    <row r="30" spans="1:56" ht="20.100000000000001" customHeight="1" x14ac:dyDescent="0.25">
      <c r="A30" s="4">
        <v>21</v>
      </c>
      <c r="B30" s="4">
        <v>14790</v>
      </c>
      <c r="C30" s="39" t="s">
        <v>545</v>
      </c>
      <c r="D30" s="6" t="s">
        <v>546</v>
      </c>
      <c r="E30" s="7" t="s">
        <v>8</v>
      </c>
      <c r="F30" s="8"/>
      <c r="G30" s="8" t="s">
        <v>793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E30" s="17" t="s">
        <v>197</v>
      </c>
      <c r="AF30" t="s">
        <v>155</v>
      </c>
      <c r="AG30">
        <v>20527193</v>
      </c>
      <c r="AH30" t="s">
        <v>156</v>
      </c>
      <c r="AI30" t="s">
        <v>7</v>
      </c>
      <c r="AJ30" t="str">
        <f t="shared" si="0"/>
        <v>MOH RIZKY ADITIANSYAH</v>
      </c>
      <c r="AY30" s="4">
        <v>21</v>
      </c>
      <c r="AZ30" s="4">
        <v>14765</v>
      </c>
      <c r="BA30" s="5" t="s">
        <v>20</v>
      </c>
      <c r="BB30" s="6" t="s">
        <v>21</v>
      </c>
      <c r="BC30" s="7" t="s">
        <v>7</v>
      </c>
      <c r="BD30" t="s">
        <v>793</v>
      </c>
    </row>
    <row r="31" spans="1:56" ht="20.100000000000001" customHeight="1" x14ac:dyDescent="0.25">
      <c r="A31" s="4">
        <v>22</v>
      </c>
      <c r="B31" s="4">
        <v>14793</v>
      </c>
      <c r="C31" s="39" t="s">
        <v>303</v>
      </c>
      <c r="D31" s="5" t="s">
        <v>304</v>
      </c>
      <c r="E31" s="7" t="s">
        <v>8</v>
      </c>
      <c r="F31" s="8"/>
      <c r="G31" s="8" t="s">
        <v>793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E31" s="14" t="s">
        <v>141</v>
      </c>
      <c r="AF31" t="s">
        <v>113</v>
      </c>
      <c r="AG31">
        <v>20527180</v>
      </c>
      <c r="AH31" t="s">
        <v>114</v>
      </c>
      <c r="AI31" t="s">
        <v>7</v>
      </c>
      <c r="AJ31" t="str">
        <f t="shared" si="0"/>
        <v>MOH ZACKY MAULANA FIRDAUSI</v>
      </c>
      <c r="AY31" s="4">
        <v>22</v>
      </c>
      <c r="AZ31" s="4">
        <v>14768</v>
      </c>
      <c r="BA31" s="5" t="s">
        <v>679</v>
      </c>
      <c r="BB31" s="5" t="s">
        <v>680</v>
      </c>
      <c r="BC31" s="7" t="s">
        <v>8</v>
      </c>
      <c r="BD31" t="s">
        <v>793</v>
      </c>
    </row>
    <row r="32" spans="1:56" ht="20.100000000000001" customHeight="1" x14ac:dyDescent="0.25">
      <c r="A32" s="4">
        <v>27</v>
      </c>
      <c r="B32" s="4">
        <v>14796</v>
      </c>
      <c r="C32" s="39" t="s">
        <v>99</v>
      </c>
      <c r="D32" s="5" t="s">
        <v>100</v>
      </c>
      <c r="E32" s="7" t="s">
        <v>8</v>
      </c>
      <c r="F32" s="8"/>
      <c r="G32" s="8" t="s">
        <v>793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E32" s="15" t="s">
        <v>726</v>
      </c>
      <c r="AF32" t="s">
        <v>432</v>
      </c>
      <c r="AG32">
        <v>20527197</v>
      </c>
      <c r="AH32" t="s">
        <v>433</v>
      </c>
      <c r="AI32" t="s">
        <v>7</v>
      </c>
      <c r="AJ32" t="str">
        <f t="shared" si="0"/>
        <v>MOHAMMAD ALVI SYAHRIN</v>
      </c>
      <c r="AY32" s="4">
        <v>23</v>
      </c>
      <c r="AZ32" s="4">
        <v>14772</v>
      </c>
      <c r="BA32" s="5" t="s">
        <v>228</v>
      </c>
      <c r="BB32" s="6" t="s">
        <v>229</v>
      </c>
      <c r="BC32" s="7" t="s">
        <v>7</v>
      </c>
      <c r="BD32" t="s">
        <v>793</v>
      </c>
    </row>
    <row r="33" spans="1:56" ht="20.100000000000001" customHeight="1" x14ac:dyDescent="0.25">
      <c r="A33" s="4">
        <v>19</v>
      </c>
      <c r="B33" s="4">
        <v>14820</v>
      </c>
      <c r="C33" s="39" t="s">
        <v>677</v>
      </c>
      <c r="D33" s="23" t="s">
        <v>745</v>
      </c>
      <c r="E33" s="7" t="s">
        <v>8</v>
      </c>
      <c r="F33" s="8"/>
      <c r="G33" s="8" t="s">
        <v>793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E33" s="18" t="s">
        <v>371</v>
      </c>
      <c r="AF33" t="s">
        <v>200</v>
      </c>
      <c r="AG33">
        <v>20583367</v>
      </c>
      <c r="AH33" t="s">
        <v>201</v>
      </c>
      <c r="AI33" t="s">
        <v>7</v>
      </c>
      <c r="AJ33" t="str">
        <f t="shared" si="0"/>
        <v>MUHAMMAD NADHIF AZARIA PUTRA</v>
      </c>
      <c r="AY33" s="4">
        <v>24</v>
      </c>
      <c r="AZ33" s="4">
        <v>14799</v>
      </c>
      <c r="BA33" s="5" t="s">
        <v>706</v>
      </c>
      <c r="BB33" s="23" t="s">
        <v>707</v>
      </c>
      <c r="BC33" s="7" t="s">
        <v>8</v>
      </c>
      <c r="BD33" t="s">
        <v>793</v>
      </c>
    </row>
    <row r="34" spans="1:56" ht="20.100000000000001" customHeight="1" x14ac:dyDescent="0.25">
      <c r="A34" s="4">
        <v>20</v>
      </c>
      <c r="B34" s="4">
        <v>14824</v>
      </c>
      <c r="C34" s="39" t="s">
        <v>357</v>
      </c>
      <c r="D34" s="6" t="s">
        <v>358</v>
      </c>
      <c r="E34" s="24" t="s">
        <v>8</v>
      </c>
      <c r="F34" s="8"/>
      <c r="G34" s="8" t="s">
        <v>793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E34" s="18" t="s">
        <v>371</v>
      </c>
      <c r="AF34" t="s">
        <v>305</v>
      </c>
      <c r="AG34">
        <v>20527197</v>
      </c>
      <c r="AH34" t="s">
        <v>306</v>
      </c>
      <c r="AI34" t="s">
        <v>7</v>
      </c>
      <c r="AJ34" t="str">
        <f t="shared" si="0"/>
        <v>MUHAMMAD RIZQI MAULIDI</v>
      </c>
      <c r="AY34" s="4">
        <v>25</v>
      </c>
      <c r="AZ34" s="4">
        <v>14809</v>
      </c>
      <c r="BA34" s="5" t="s">
        <v>256</v>
      </c>
      <c r="BB34" s="6" t="s">
        <v>257</v>
      </c>
      <c r="BC34" s="7" t="s">
        <v>8</v>
      </c>
      <c r="BD34" t="s">
        <v>793</v>
      </c>
    </row>
    <row r="35" spans="1:56" ht="20.100000000000001" customHeight="1" x14ac:dyDescent="0.25">
      <c r="A35" s="4">
        <v>29</v>
      </c>
      <c r="B35" s="4">
        <v>14836</v>
      </c>
      <c r="C35" s="39" t="s">
        <v>628</v>
      </c>
      <c r="D35" s="5" t="s">
        <v>629</v>
      </c>
      <c r="E35" s="24" t="s">
        <v>7</v>
      </c>
      <c r="F35" s="8"/>
      <c r="G35" s="8" t="s">
        <v>793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E35" s="15" t="s">
        <v>726</v>
      </c>
      <c r="AF35" t="s">
        <v>687</v>
      </c>
      <c r="AG35">
        <v>20527180</v>
      </c>
      <c r="AH35" t="s">
        <v>688</v>
      </c>
      <c r="AI35" t="s">
        <v>7</v>
      </c>
      <c r="AJ35" t="str">
        <f t="shared" si="0"/>
        <v>NALANDA SYAHBANIA ARDHIANSYAH</v>
      </c>
      <c r="AY35" s="4">
        <v>26</v>
      </c>
      <c r="AZ35" s="4">
        <v>14821</v>
      </c>
      <c r="BA35" s="5" t="s">
        <v>555</v>
      </c>
      <c r="BB35" s="5" t="s">
        <v>750</v>
      </c>
      <c r="BC35" s="7" t="s">
        <v>8</v>
      </c>
      <c r="BD35" t="s">
        <v>793</v>
      </c>
    </row>
    <row r="36" spans="1:56" ht="20.100000000000001" customHeight="1" x14ac:dyDescent="0.25">
      <c r="A36" s="4">
        <v>31</v>
      </c>
      <c r="B36" s="4">
        <v>14855</v>
      </c>
      <c r="C36" s="39" t="s">
        <v>665</v>
      </c>
      <c r="D36" s="6" t="s">
        <v>666</v>
      </c>
      <c r="E36" s="7" t="s">
        <v>7</v>
      </c>
      <c r="F36" s="8"/>
      <c r="G36" s="8" t="s">
        <v>793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E36" s="17" t="s">
        <v>197</v>
      </c>
      <c r="AF36" t="s">
        <v>142</v>
      </c>
      <c r="AG36">
        <v>20527197</v>
      </c>
      <c r="AH36" t="s">
        <v>143</v>
      </c>
      <c r="AI36" t="s">
        <v>8</v>
      </c>
      <c r="AJ36" t="str">
        <f t="shared" si="0"/>
        <v>NUR RIZQA ZANJABILA</v>
      </c>
      <c r="AY36" s="4">
        <v>27</v>
      </c>
      <c r="AZ36" s="4">
        <v>14839</v>
      </c>
      <c r="BA36" s="5" t="s">
        <v>174</v>
      </c>
      <c r="BB36" s="5" t="s">
        <v>175</v>
      </c>
      <c r="BC36" s="7" t="s">
        <v>8</v>
      </c>
      <c r="BD36" t="s">
        <v>793</v>
      </c>
    </row>
    <row r="37" spans="1:56" ht="20.100000000000001" customHeight="1" x14ac:dyDescent="0.25">
      <c r="A37" s="4">
        <v>29</v>
      </c>
      <c r="B37" s="4">
        <v>14858</v>
      </c>
      <c r="C37" s="39" t="s">
        <v>95</v>
      </c>
      <c r="D37" s="6" t="s">
        <v>96</v>
      </c>
      <c r="E37" s="7" t="s">
        <v>7</v>
      </c>
      <c r="F37" s="8"/>
      <c r="G37" s="8" t="s">
        <v>793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J37" t="str">
        <f t="shared" si="0"/>
        <v>NURINDA NOVIANTI</v>
      </c>
      <c r="AY37" s="4">
        <v>28</v>
      </c>
      <c r="AZ37" s="4">
        <v>14843</v>
      </c>
      <c r="BA37" s="5" t="s">
        <v>24</v>
      </c>
      <c r="BB37" s="6" t="s">
        <v>739</v>
      </c>
      <c r="BC37" s="7" t="s">
        <v>7</v>
      </c>
      <c r="BD37" t="s">
        <v>793</v>
      </c>
    </row>
    <row r="38" spans="1:56" ht="20.100000000000001" customHeight="1" x14ac:dyDescent="0.25">
      <c r="A38" s="4">
        <v>29</v>
      </c>
      <c r="B38" s="4">
        <v>14866</v>
      </c>
      <c r="C38" s="39" t="s">
        <v>458</v>
      </c>
      <c r="D38" s="6" t="s">
        <v>459</v>
      </c>
      <c r="E38" s="7" t="s">
        <v>8</v>
      </c>
      <c r="F38" s="8"/>
      <c r="G38" s="8" t="s">
        <v>793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J38" t="str">
        <f t="shared" si="0"/>
        <v>PATO ALTHAF MULYAWAN</v>
      </c>
      <c r="AY38" s="4">
        <v>29</v>
      </c>
      <c r="AZ38" s="4">
        <v>14847</v>
      </c>
      <c r="BA38" s="5" t="s">
        <v>133</v>
      </c>
      <c r="BB38" s="6" t="s">
        <v>752</v>
      </c>
      <c r="BC38" s="7" t="s">
        <v>7</v>
      </c>
      <c r="BD38" t="s">
        <v>793</v>
      </c>
    </row>
    <row r="39" spans="1:56" ht="20.100000000000001" customHeight="1" x14ac:dyDescent="0.25">
      <c r="A39" s="4">
        <v>25</v>
      </c>
      <c r="B39" s="4">
        <v>14870</v>
      </c>
      <c r="C39" s="39" t="s">
        <v>412</v>
      </c>
      <c r="D39" s="6" t="s">
        <v>413</v>
      </c>
      <c r="E39" s="7" t="s">
        <v>7</v>
      </c>
      <c r="F39" s="8"/>
      <c r="G39" s="8" t="s">
        <v>793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J39" t="str">
        <f t="shared" si="0"/>
        <v>PUTRI RIZKI FAMADANI</v>
      </c>
      <c r="AY39" s="4">
        <v>30</v>
      </c>
      <c r="AZ39" s="4">
        <v>14848</v>
      </c>
      <c r="BA39" s="5" t="s">
        <v>349</v>
      </c>
      <c r="BB39" s="6" t="s">
        <v>350</v>
      </c>
      <c r="BC39" s="7" t="s">
        <v>7</v>
      </c>
      <c r="BD39" t="s">
        <v>793</v>
      </c>
    </row>
    <row r="40" spans="1:56" ht="20.100000000000001" customHeight="1" x14ac:dyDescent="0.25">
      <c r="A40" s="4">
        <v>30</v>
      </c>
      <c r="B40" s="4">
        <v>14871</v>
      </c>
      <c r="C40" s="39" t="s">
        <v>634</v>
      </c>
      <c r="D40" s="5" t="s">
        <v>635</v>
      </c>
      <c r="E40" s="7" t="s">
        <v>7</v>
      </c>
      <c r="F40" s="8"/>
      <c r="G40" s="8" t="s">
        <v>793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J40" t="str">
        <f t="shared" si="0"/>
        <v>R RAIHANUN FEBRIYANA SUGIHARTO</v>
      </c>
      <c r="AY40" s="4">
        <v>31</v>
      </c>
      <c r="AZ40" s="4">
        <v>14850</v>
      </c>
      <c r="BA40" s="5" t="s">
        <v>74</v>
      </c>
      <c r="BB40" s="6" t="s">
        <v>75</v>
      </c>
      <c r="BC40" s="7" t="s">
        <v>7</v>
      </c>
      <c r="BD40" t="s">
        <v>793</v>
      </c>
    </row>
    <row r="41" spans="1:56" ht="20.100000000000001" customHeight="1" x14ac:dyDescent="0.25">
      <c r="A41" s="4">
        <v>30</v>
      </c>
      <c r="B41" s="4">
        <v>14881</v>
      </c>
      <c r="C41" s="39" t="s">
        <v>178</v>
      </c>
      <c r="D41" s="6" t="s">
        <v>179</v>
      </c>
      <c r="E41" s="7" t="s">
        <v>8</v>
      </c>
      <c r="F41" s="8"/>
      <c r="G41" s="8" t="s">
        <v>793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J41" t="str">
        <f t="shared" si="0"/>
        <v>RAIS AULIA ATTAMIMY WIJAYA</v>
      </c>
      <c r="AY41" s="4">
        <v>32</v>
      </c>
      <c r="AZ41" s="4">
        <v>14863</v>
      </c>
      <c r="BA41" s="5" t="s">
        <v>372</v>
      </c>
      <c r="BB41" s="6" t="s">
        <v>373</v>
      </c>
      <c r="BC41" s="7" t="s">
        <v>8</v>
      </c>
      <c r="BD41" t="s">
        <v>793</v>
      </c>
    </row>
    <row r="42" spans="1:56" ht="20.100000000000001" customHeight="1" x14ac:dyDescent="0.25">
      <c r="A42" s="4">
        <v>29</v>
      </c>
      <c r="B42" s="4">
        <v>14886</v>
      </c>
      <c r="C42" s="39" t="s">
        <v>768</v>
      </c>
      <c r="D42" s="6" t="s">
        <v>346</v>
      </c>
      <c r="E42" s="7" t="s">
        <v>7</v>
      </c>
      <c r="F42" s="8"/>
      <c r="G42" s="8" t="s">
        <v>793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J42" t="str">
        <f t="shared" si="0"/>
        <v>RARA QONITA ROYHANI</v>
      </c>
      <c r="AY42" s="4">
        <v>33</v>
      </c>
      <c r="AZ42" s="4">
        <v>14901</v>
      </c>
      <c r="BA42" s="5" t="s">
        <v>135</v>
      </c>
      <c r="BB42" s="5" t="s">
        <v>136</v>
      </c>
      <c r="BC42" s="7" t="s">
        <v>7</v>
      </c>
      <c r="BD42" t="s">
        <v>793</v>
      </c>
    </row>
    <row r="43" spans="1:56" ht="20.100000000000001" customHeight="1" x14ac:dyDescent="0.25">
      <c r="A43" s="4">
        <v>34</v>
      </c>
      <c r="B43" s="4">
        <v>14894</v>
      </c>
      <c r="C43" s="39" t="s">
        <v>497</v>
      </c>
      <c r="D43" s="6" t="s">
        <v>498</v>
      </c>
      <c r="E43" s="24" t="s">
        <v>7</v>
      </c>
      <c r="F43" s="8"/>
      <c r="G43" s="8" t="s">
        <v>793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J43" t="str">
        <f t="shared" si="0"/>
        <v>RIANA MAULIDIA</v>
      </c>
      <c r="AY43" s="4">
        <v>34</v>
      </c>
      <c r="AZ43" s="4">
        <v>14908</v>
      </c>
      <c r="BA43" s="5" t="s">
        <v>495</v>
      </c>
      <c r="BB43" s="6" t="s">
        <v>496</v>
      </c>
      <c r="BC43" s="7" t="s">
        <v>7</v>
      </c>
      <c r="BD43" t="s">
        <v>793</v>
      </c>
    </row>
    <row r="44" spans="1:56" ht="20.100000000000001" customHeight="1" x14ac:dyDescent="0.25">
      <c r="A44" s="4">
        <v>36</v>
      </c>
      <c r="B44" s="4">
        <v>14934</v>
      </c>
      <c r="C44" s="39" t="s">
        <v>171</v>
      </c>
      <c r="D44" s="6" t="s">
        <v>172</v>
      </c>
      <c r="E44" s="7" t="s">
        <v>7</v>
      </c>
      <c r="F44" s="8"/>
      <c r="G44" s="8" t="s">
        <v>793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J44" t="str">
        <f t="shared" si="0"/>
        <v>UMI KULSUM WARDANI</v>
      </c>
      <c r="AY44" s="4">
        <v>35</v>
      </c>
      <c r="AZ44" s="4">
        <v>14937</v>
      </c>
      <c r="BA44" s="5" t="s">
        <v>204</v>
      </c>
      <c r="BB44" s="6" t="s">
        <v>736</v>
      </c>
      <c r="BC44" s="7" t="s">
        <v>7</v>
      </c>
      <c r="BD44" t="s">
        <v>793</v>
      </c>
    </row>
    <row r="45" spans="1:56" ht="20.100000000000001" customHeight="1" x14ac:dyDescent="0.25">
      <c r="A45" s="4">
        <v>4</v>
      </c>
      <c r="B45" s="4">
        <v>14940</v>
      </c>
      <c r="C45" s="39" t="s">
        <v>78</v>
      </c>
      <c r="D45" s="6" t="s">
        <v>79</v>
      </c>
      <c r="E45" s="7" t="s">
        <v>7</v>
      </c>
      <c r="F45" s="8"/>
      <c r="G45" s="8" t="s">
        <v>793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J45" t="str">
        <f t="shared" si="0"/>
        <v>VIRGI AZMI YUSSININGTYAS</v>
      </c>
      <c r="AY45" s="4">
        <v>36</v>
      </c>
      <c r="AZ45" s="4">
        <v>14947</v>
      </c>
      <c r="BA45" s="5" t="s">
        <v>521</v>
      </c>
      <c r="BB45" s="5" t="s">
        <v>522</v>
      </c>
      <c r="BC45" s="7" t="s">
        <v>8</v>
      </c>
      <c r="BD45" t="s">
        <v>793</v>
      </c>
    </row>
    <row r="46" spans="1:56" ht="20.100000000000001" customHeight="1" x14ac:dyDescent="0.25">
      <c r="A46" s="4">
        <v>2</v>
      </c>
      <c r="B46" s="32">
        <v>14601</v>
      </c>
      <c r="C46" s="39" t="s">
        <v>570</v>
      </c>
      <c r="D46" s="6" t="s">
        <v>727</v>
      </c>
      <c r="E46" s="7" t="s">
        <v>7</v>
      </c>
      <c r="G46" t="s">
        <v>794</v>
      </c>
    </row>
    <row r="47" spans="1:56" ht="15.75" x14ac:dyDescent="0.25">
      <c r="A47" s="4">
        <v>4</v>
      </c>
      <c r="B47" s="4">
        <v>14624</v>
      </c>
      <c r="C47" s="39" t="s">
        <v>720</v>
      </c>
      <c r="D47" s="6" t="s">
        <v>721</v>
      </c>
      <c r="E47" s="7" t="s">
        <v>7</v>
      </c>
      <c r="G47" t="s">
        <v>794</v>
      </c>
    </row>
    <row r="48" spans="1:56" ht="15.75" x14ac:dyDescent="0.25">
      <c r="A48" s="4">
        <v>4</v>
      </c>
      <c r="B48" s="4">
        <v>14641</v>
      </c>
      <c r="C48" s="39" t="s">
        <v>176</v>
      </c>
      <c r="D48" s="6" t="s">
        <v>177</v>
      </c>
      <c r="E48" s="7" t="s">
        <v>8</v>
      </c>
      <c r="G48" t="s">
        <v>794</v>
      </c>
    </row>
    <row r="49" spans="1:7" ht="15.75" x14ac:dyDescent="0.25">
      <c r="A49" s="4">
        <v>7</v>
      </c>
      <c r="B49" s="4">
        <v>14649</v>
      </c>
      <c r="C49" s="39" t="s">
        <v>309</v>
      </c>
      <c r="D49" s="6" t="s">
        <v>737</v>
      </c>
      <c r="E49" s="7" t="s">
        <v>7</v>
      </c>
      <c r="G49" t="s">
        <v>794</v>
      </c>
    </row>
    <row r="50" spans="1:7" ht="15.75" x14ac:dyDescent="0.25">
      <c r="A50" s="4">
        <v>8</v>
      </c>
      <c r="B50" s="4">
        <v>14651</v>
      </c>
      <c r="C50" s="39" t="s">
        <v>315</v>
      </c>
      <c r="D50" s="6" t="s">
        <v>316</v>
      </c>
      <c r="E50" s="7" t="s">
        <v>7</v>
      </c>
      <c r="G50" t="s">
        <v>794</v>
      </c>
    </row>
    <row r="51" spans="1:7" ht="15.75" x14ac:dyDescent="0.25">
      <c r="A51" s="4">
        <v>13</v>
      </c>
      <c r="B51" s="4">
        <v>14668</v>
      </c>
      <c r="C51" s="39" t="s">
        <v>182</v>
      </c>
      <c r="D51" s="6" t="s">
        <v>183</v>
      </c>
      <c r="E51" s="7" t="s">
        <v>8</v>
      </c>
      <c r="G51" t="s">
        <v>794</v>
      </c>
    </row>
    <row r="52" spans="1:7" ht="15.75" x14ac:dyDescent="0.25">
      <c r="A52" s="4">
        <v>6</v>
      </c>
      <c r="B52" s="4">
        <v>14672</v>
      </c>
      <c r="C52" s="39" t="s">
        <v>773</v>
      </c>
      <c r="D52" s="6" t="s">
        <v>280</v>
      </c>
      <c r="E52" s="7" t="s">
        <v>7</v>
      </c>
      <c r="G52" t="s">
        <v>794</v>
      </c>
    </row>
    <row r="53" spans="1:7" ht="15.75" x14ac:dyDescent="0.25">
      <c r="A53" s="4">
        <v>14</v>
      </c>
      <c r="B53" s="4">
        <v>14681</v>
      </c>
      <c r="C53" s="39" t="s">
        <v>236</v>
      </c>
      <c r="D53" s="5" t="s">
        <v>237</v>
      </c>
      <c r="E53" s="7" t="s">
        <v>8</v>
      </c>
      <c r="G53" t="s">
        <v>794</v>
      </c>
    </row>
    <row r="54" spans="1:7" ht="15.75" x14ac:dyDescent="0.25">
      <c r="A54" s="4">
        <v>5</v>
      </c>
      <c r="B54" s="4">
        <v>14684</v>
      </c>
      <c r="C54" s="39" t="s">
        <v>42</v>
      </c>
      <c r="D54" s="6" t="s">
        <v>729</v>
      </c>
      <c r="E54" s="7" t="s">
        <v>7</v>
      </c>
      <c r="G54" t="s">
        <v>794</v>
      </c>
    </row>
    <row r="55" spans="1:7" ht="15.75" x14ac:dyDescent="0.25">
      <c r="A55" s="4">
        <v>9</v>
      </c>
      <c r="B55" s="4">
        <v>14685</v>
      </c>
      <c r="C55" s="39" t="s">
        <v>485</v>
      </c>
      <c r="D55" s="6" t="s">
        <v>486</v>
      </c>
      <c r="E55" s="24" t="s">
        <v>8</v>
      </c>
      <c r="G55" t="s">
        <v>794</v>
      </c>
    </row>
    <row r="56" spans="1:7" ht="15.75" x14ac:dyDescent="0.25">
      <c r="A56" s="4">
        <v>10</v>
      </c>
      <c r="B56" s="4">
        <v>14702</v>
      </c>
      <c r="C56" s="39" t="s">
        <v>111</v>
      </c>
      <c r="D56" s="6" t="s">
        <v>112</v>
      </c>
      <c r="E56" s="7" t="s">
        <v>8</v>
      </c>
      <c r="G56" t="s">
        <v>794</v>
      </c>
    </row>
    <row r="57" spans="1:7" ht="15.75" x14ac:dyDescent="0.25">
      <c r="A57" s="4">
        <v>11</v>
      </c>
      <c r="B57" s="4">
        <v>14724</v>
      </c>
      <c r="C57" s="39" t="s">
        <v>691</v>
      </c>
      <c r="D57" s="6" t="s">
        <v>692</v>
      </c>
      <c r="E57" s="7" t="s">
        <v>7</v>
      </c>
      <c r="G57" t="s">
        <v>794</v>
      </c>
    </row>
    <row r="58" spans="1:7" ht="15.75" x14ac:dyDescent="0.25">
      <c r="A58" s="4">
        <v>12</v>
      </c>
      <c r="B58" s="4">
        <v>14730</v>
      </c>
      <c r="C58" s="39" t="s">
        <v>559</v>
      </c>
      <c r="D58" s="6" t="s">
        <v>560</v>
      </c>
      <c r="E58" s="7" t="s">
        <v>7</v>
      </c>
      <c r="G58" t="s">
        <v>794</v>
      </c>
    </row>
    <row r="59" spans="1:7" ht="15.75" x14ac:dyDescent="0.25">
      <c r="A59" s="4">
        <v>16</v>
      </c>
      <c r="B59" s="4">
        <v>14731</v>
      </c>
      <c r="C59" s="39" t="s">
        <v>588</v>
      </c>
      <c r="D59" s="6" t="s">
        <v>589</v>
      </c>
      <c r="E59" s="7" t="s">
        <v>8</v>
      </c>
      <c r="G59" t="s">
        <v>794</v>
      </c>
    </row>
    <row r="60" spans="1:7" ht="15.75" x14ac:dyDescent="0.25">
      <c r="A60" s="4">
        <v>18</v>
      </c>
      <c r="B60" s="4">
        <v>14739</v>
      </c>
      <c r="C60" s="39" t="s">
        <v>14</v>
      </c>
      <c r="D60" s="6" t="s">
        <v>15</v>
      </c>
      <c r="E60" s="7" t="s">
        <v>8</v>
      </c>
      <c r="G60" t="s">
        <v>794</v>
      </c>
    </row>
    <row r="61" spans="1:7" ht="15.75" x14ac:dyDescent="0.25">
      <c r="A61" s="4">
        <v>16</v>
      </c>
      <c r="B61" s="4">
        <v>14752</v>
      </c>
      <c r="C61" s="39" t="s">
        <v>622</v>
      </c>
      <c r="D61" s="6" t="s">
        <v>623</v>
      </c>
      <c r="E61" s="7" t="s">
        <v>7</v>
      </c>
      <c r="G61" t="s">
        <v>794</v>
      </c>
    </row>
    <row r="62" spans="1:7" ht="15.75" x14ac:dyDescent="0.25">
      <c r="A62" s="4">
        <v>19</v>
      </c>
      <c r="B62" s="4">
        <v>14763</v>
      </c>
      <c r="C62" s="39" t="s">
        <v>244</v>
      </c>
      <c r="D62" s="5" t="s">
        <v>245</v>
      </c>
      <c r="E62" s="7" t="s">
        <v>8</v>
      </c>
      <c r="G62" t="s">
        <v>794</v>
      </c>
    </row>
    <row r="63" spans="1:7" ht="15.75" x14ac:dyDescent="0.25">
      <c r="A63" s="4">
        <v>19</v>
      </c>
      <c r="B63" s="4">
        <v>14784</v>
      </c>
      <c r="C63" s="39" t="s">
        <v>89</v>
      </c>
      <c r="D63" s="6" t="s">
        <v>90</v>
      </c>
      <c r="E63" s="7" t="s">
        <v>8</v>
      </c>
      <c r="G63" t="s">
        <v>794</v>
      </c>
    </row>
    <row r="64" spans="1:7" ht="15.75" x14ac:dyDescent="0.25">
      <c r="A64" s="4">
        <v>20</v>
      </c>
      <c r="B64" s="4">
        <v>14789</v>
      </c>
      <c r="C64" s="39" t="s">
        <v>580</v>
      </c>
      <c r="D64" s="6" t="s">
        <v>581</v>
      </c>
      <c r="E64" s="7" t="s">
        <v>8</v>
      </c>
      <c r="G64" t="s">
        <v>794</v>
      </c>
    </row>
    <row r="65" spans="1:7" ht="15.75" x14ac:dyDescent="0.25">
      <c r="A65" s="4">
        <v>26</v>
      </c>
      <c r="B65" s="4">
        <v>14806</v>
      </c>
      <c r="C65" s="39" t="s">
        <v>311</v>
      </c>
      <c r="D65" s="6" t="s">
        <v>789</v>
      </c>
      <c r="E65" s="7" t="s">
        <v>8</v>
      </c>
      <c r="G65" t="s">
        <v>794</v>
      </c>
    </row>
    <row r="66" spans="1:7" ht="15.75" x14ac:dyDescent="0.25">
      <c r="A66" s="4">
        <v>21</v>
      </c>
      <c r="B66" s="4">
        <v>14817</v>
      </c>
      <c r="C66" s="39" t="s">
        <v>653</v>
      </c>
      <c r="D66" s="6" t="s">
        <v>654</v>
      </c>
      <c r="E66" s="7" t="s">
        <v>8</v>
      </c>
      <c r="G66" t="s">
        <v>794</v>
      </c>
    </row>
    <row r="67" spans="1:7" ht="15.75" x14ac:dyDescent="0.25">
      <c r="A67" s="4">
        <v>25</v>
      </c>
      <c r="B67" s="4">
        <v>14822</v>
      </c>
      <c r="C67" s="39" t="s">
        <v>101</v>
      </c>
      <c r="D67" s="5" t="s">
        <v>102</v>
      </c>
      <c r="E67" s="7" t="s">
        <v>8</v>
      </c>
      <c r="G67" t="s">
        <v>794</v>
      </c>
    </row>
    <row r="68" spans="1:7" ht="15.75" x14ac:dyDescent="0.25">
      <c r="A68" s="4">
        <v>26</v>
      </c>
      <c r="B68" s="4">
        <v>14827</v>
      </c>
      <c r="C68" s="39" t="s">
        <v>410</v>
      </c>
      <c r="D68" s="5" t="s">
        <v>411</v>
      </c>
      <c r="E68" s="7" t="s">
        <v>7</v>
      </c>
      <c r="G68" t="s">
        <v>794</v>
      </c>
    </row>
    <row r="69" spans="1:7" ht="15.75" x14ac:dyDescent="0.25">
      <c r="A69" s="4">
        <v>28</v>
      </c>
      <c r="B69" s="4">
        <v>14829</v>
      </c>
      <c r="C69" s="40" t="s">
        <v>163</v>
      </c>
      <c r="D69" s="6" t="s">
        <v>164</v>
      </c>
      <c r="E69" s="7" t="s">
        <v>7</v>
      </c>
      <c r="G69" t="s">
        <v>794</v>
      </c>
    </row>
    <row r="70" spans="1:7" ht="15.75" x14ac:dyDescent="0.25">
      <c r="A70" s="4">
        <v>22</v>
      </c>
      <c r="B70" s="4">
        <v>14851</v>
      </c>
      <c r="C70" s="39" t="s">
        <v>266</v>
      </c>
      <c r="D70" s="6" t="s">
        <v>267</v>
      </c>
      <c r="E70" s="7" t="s">
        <v>7</v>
      </c>
      <c r="G70" t="s">
        <v>794</v>
      </c>
    </row>
    <row r="71" spans="1:7" ht="15.75" x14ac:dyDescent="0.25">
      <c r="A71" s="4">
        <v>30</v>
      </c>
      <c r="B71" s="4">
        <v>14861</v>
      </c>
      <c r="C71" s="39" t="s">
        <v>18</v>
      </c>
      <c r="D71" s="6" t="s">
        <v>731</v>
      </c>
      <c r="E71" s="24" t="s">
        <v>7</v>
      </c>
      <c r="G71" t="s">
        <v>794</v>
      </c>
    </row>
    <row r="72" spans="1:7" ht="15.75" x14ac:dyDescent="0.25">
      <c r="A72" s="4">
        <v>26</v>
      </c>
      <c r="B72" s="4">
        <v>14862</v>
      </c>
      <c r="C72" s="39" t="s">
        <v>657</v>
      </c>
      <c r="D72" s="6" t="s">
        <v>658</v>
      </c>
      <c r="E72" s="7" t="s">
        <v>7</v>
      </c>
      <c r="G72" t="s">
        <v>794</v>
      </c>
    </row>
    <row r="73" spans="1:7" ht="15.75" x14ac:dyDescent="0.25">
      <c r="A73" s="4">
        <v>24</v>
      </c>
      <c r="B73" s="4">
        <v>14865</v>
      </c>
      <c r="C73" s="39" t="s">
        <v>270</v>
      </c>
      <c r="D73" s="5" t="s">
        <v>271</v>
      </c>
      <c r="E73" s="7" t="s">
        <v>8</v>
      </c>
      <c r="G73" t="s">
        <v>794</v>
      </c>
    </row>
    <row r="74" spans="1:7" ht="15.75" x14ac:dyDescent="0.25">
      <c r="A74" s="4">
        <v>27</v>
      </c>
      <c r="B74" s="4">
        <v>14868</v>
      </c>
      <c r="C74" s="39" t="s">
        <v>499</v>
      </c>
      <c r="D74" s="6" t="s">
        <v>500</v>
      </c>
      <c r="E74" s="7" t="s">
        <v>8</v>
      </c>
      <c r="G74" t="s">
        <v>794</v>
      </c>
    </row>
    <row r="75" spans="1:7" ht="15.75" x14ac:dyDescent="0.25">
      <c r="A75" s="4">
        <v>33</v>
      </c>
      <c r="B75" s="4">
        <v>14885</v>
      </c>
      <c r="C75" s="39" t="s">
        <v>264</v>
      </c>
      <c r="D75" s="6" t="s">
        <v>265</v>
      </c>
      <c r="E75" s="24" t="s">
        <v>8</v>
      </c>
      <c r="G75" t="s">
        <v>794</v>
      </c>
    </row>
    <row r="76" spans="1:7" ht="15.75" x14ac:dyDescent="0.25">
      <c r="A76" s="4">
        <v>30</v>
      </c>
      <c r="B76" s="4">
        <v>14905</v>
      </c>
      <c r="C76" s="39" t="s">
        <v>192</v>
      </c>
      <c r="D76" s="6" t="s">
        <v>193</v>
      </c>
      <c r="E76" s="7" t="s">
        <v>8</v>
      </c>
      <c r="G76" t="s">
        <v>794</v>
      </c>
    </row>
    <row r="77" spans="1:7" ht="15.75" x14ac:dyDescent="0.25">
      <c r="A77" s="4">
        <v>32</v>
      </c>
      <c r="B77" s="4">
        <v>14911</v>
      </c>
      <c r="C77" s="39" t="s">
        <v>26</v>
      </c>
      <c r="D77" s="6" t="s">
        <v>742</v>
      </c>
      <c r="E77" s="7" t="s">
        <v>7</v>
      </c>
      <c r="G77" t="s">
        <v>794</v>
      </c>
    </row>
    <row r="78" spans="1:7" ht="15.75" x14ac:dyDescent="0.25">
      <c r="A78" s="4">
        <v>34</v>
      </c>
      <c r="B78" s="4">
        <v>14915</v>
      </c>
      <c r="C78" s="39" t="s">
        <v>574</v>
      </c>
      <c r="D78" s="6" t="s">
        <v>575</v>
      </c>
      <c r="E78" s="7" t="s">
        <v>7</v>
      </c>
      <c r="G78" t="s">
        <v>794</v>
      </c>
    </row>
    <row r="79" spans="1:7" ht="15.75" x14ac:dyDescent="0.25">
      <c r="A79" s="4">
        <v>35</v>
      </c>
      <c r="B79" s="4">
        <v>14920</v>
      </c>
      <c r="C79" s="39" t="s">
        <v>44</v>
      </c>
      <c r="D79" s="6" t="s">
        <v>735</v>
      </c>
      <c r="E79" s="7" t="s">
        <v>7</v>
      </c>
      <c r="G79" t="s">
        <v>794</v>
      </c>
    </row>
    <row r="80" spans="1:7" ht="15.75" x14ac:dyDescent="0.25">
      <c r="A80" s="4">
        <v>36</v>
      </c>
      <c r="B80" s="4">
        <v>14927</v>
      </c>
      <c r="C80" s="39" t="s">
        <v>667</v>
      </c>
      <c r="D80" s="6" t="s">
        <v>668</v>
      </c>
      <c r="E80" s="7" t="s">
        <v>7</v>
      </c>
      <c r="G80" t="s">
        <v>794</v>
      </c>
    </row>
    <row r="81" spans="1:7" ht="15.75" x14ac:dyDescent="0.25">
      <c r="A81" s="4">
        <v>6</v>
      </c>
      <c r="B81" s="32">
        <v>14947</v>
      </c>
      <c r="C81" s="39" t="s">
        <v>521</v>
      </c>
      <c r="D81" s="5" t="s">
        <v>522</v>
      </c>
      <c r="E81" s="7" t="s">
        <v>8</v>
      </c>
      <c r="G81" t="s">
        <v>794</v>
      </c>
    </row>
    <row r="82" spans="1:7" ht="15.75" x14ac:dyDescent="0.25">
      <c r="A82" s="4">
        <v>1</v>
      </c>
      <c r="B82" s="4">
        <v>14618</v>
      </c>
      <c r="C82" s="40" t="s">
        <v>448</v>
      </c>
      <c r="D82" s="6" t="s">
        <v>449</v>
      </c>
      <c r="E82" s="7" t="s">
        <v>8</v>
      </c>
      <c r="G82" t="s">
        <v>795</v>
      </c>
    </row>
    <row r="83" spans="1:7" ht="15.75" x14ac:dyDescent="0.25">
      <c r="A83" s="4">
        <v>5</v>
      </c>
      <c r="B83" s="4">
        <v>14633</v>
      </c>
      <c r="C83" s="39" t="s">
        <v>509</v>
      </c>
      <c r="D83" s="6" t="s">
        <v>510</v>
      </c>
      <c r="E83" s="7" t="s">
        <v>8</v>
      </c>
      <c r="G83" t="s">
        <v>795</v>
      </c>
    </row>
    <row r="84" spans="1:7" ht="15.75" x14ac:dyDescent="0.25">
      <c r="A84" s="4">
        <v>3</v>
      </c>
      <c r="B84" s="4">
        <v>14642</v>
      </c>
      <c r="C84" s="39" t="s">
        <v>109</v>
      </c>
      <c r="D84" s="6" t="s">
        <v>760</v>
      </c>
      <c r="E84" s="7" t="s">
        <v>7</v>
      </c>
      <c r="G84" t="s">
        <v>795</v>
      </c>
    </row>
    <row r="85" spans="1:7" ht="15.75" x14ac:dyDescent="0.25">
      <c r="A85" s="4">
        <v>11</v>
      </c>
      <c r="B85" s="4">
        <v>14654</v>
      </c>
      <c r="C85" s="39" t="s">
        <v>661</v>
      </c>
      <c r="D85" s="5" t="s">
        <v>662</v>
      </c>
      <c r="E85" s="7" t="s">
        <v>7</v>
      </c>
      <c r="G85" t="s">
        <v>795</v>
      </c>
    </row>
    <row r="86" spans="1:7" ht="15.75" x14ac:dyDescent="0.25">
      <c r="A86" s="4">
        <v>5</v>
      </c>
      <c r="B86" s="4">
        <v>14680</v>
      </c>
      <c r="C86" s="39" t="s">
        <v>422</v>
      </c>
      <c r="D86" s="6" t="s">
        <v>423</v>
      </c>
      <c r="E86" s="7" t="s">
        <v>7</v>
      </c>
      <c r="G86" t="s">
        <v>795</v>
      </c>
    </row>
    <row r="87" spans="1:7" ht="15.75" x14ac:dyDescent="0.25">
      <c r="A87" s="4">
        <v>13</v>
      </c>
      <c r="B87" s="4">
        <v>14683</v>
      </c>
      <c r="C87" s="39" t="s">
        <v>59</v>
      </c>
      <c r="D87" s="5" t="s">
        <v>60</v>
      </c>
      <c r="E87" s="7" t="s">
        <v>8</v>
      </c>
      <c r="G87" t="s">
        <v>795</v>
      </c>
    </row>
    <row r="88" spans="1:7" ht="15.75" x14ac:dyDescent="0.25">
      <c r="A88" s="4">
        <v>13</v>
      </c>
      <c r="B88" s="4">
        <v>14705</v>
      </c>
      <c r="C88" s="39" t="s">
        <v>226</v>
      </c>
      <c r="D88" s="6" t="s">
        <v>227</v>
      </c>
      <c r="E88" s="7" t="s">
        <v>8</v>
      </c>
      <c r="G88" t="s">
        <v>795</v>
      </c>
    </row>
    <row r="89" spans="1:7" ht="15.75" x14ac:dyDescent="0.25">
      <c r="A89" s="4">
        <v>9</v>
      </c>
      <c r="B89" s="4">
        <v>14707</v>
      </c>
      <c r="C89" s="39" t="s">
        <v>444</v>
      </c>
      <c r="D89" s="6" t="s">
        <v>445</v>
      </c>
      <c r="E89" s="7" t="s">
        <v>7</v>
      </c>
      <c r="G89" t="s">
        <v>795</v>
      </c>
    </row>
    <row r="90" spans="1:7" x14ac:dyDescent="0.25">
      <c r="A90" s="4">
        <v>9</v>
      </c>
      <c r="B90" s="4">
        <v>14717</v>
      </c>
      <c r="C90" s="39" t="s">
        <v>517</v>
      </c>
      <c r="D90" s="5" t="s">
        <v>518</v>
      </c>
      <c r="E90" s="24" t="s">
        <v>8</v>
      </c>
      <c r="G90" t="s">
        <v>795</v>
      </c>
    </row>
    <row r="91" spans="1:7" ht="15.75" x14ac:dyDescent="0.25">
      <c r="A91" s="4">
        <v>19</v>
      </c>
      <c r="B91" s="32">
        <v>14728</v>
      </c>
      <c r="C91" s="39" t="s">
        <v>105</v>
      </c>
      <c r="D91" s="6" t="s">
        <v>106</v>
      </c>
      <c r="E91" s="7" t="s">
        <v>8</v>
      </c>
      <c r="G91" t="s">
        <v>795</v>
      </c>
    </row>
    <row r="92" spans="1:7" ht="15.75" x14ac:dyDescent="0.25">
      <c r="A92" s="4">
        <v>14</v>
      </c>
      <c r="B92" s="4">
        <v>14740</v>
      </c>
      <c r="C92" s="39" t="s">
        <v>572</v>
      </c>
      <c r="D92" s="6" t="s">
        <v>573</v>
      </c>
      <c r="E92" s="7" t="s">
        <v>8</v>
      </c>
      <c r="G92" t="s">
        <v>795</v>
      </c>
    </row>
    <row r="93" spans="1:7" ht="15.75" x14ac:dyDescent="0.25">
      <c r="A93" s="4">
        <v>14</v>
      </c>
      <c r="B93" s="4">
        <v>14750</v>
      </c>
      <c r="C93" s="39" t="s">
        <v>55</v>
      </c>
      <c r="D93" s="5" t="s">
        <v>744</v>
      </c>
      <c r="E93" s="7" t="s">
        <v>7</v>
      </c>
      <c r="G93" t="s">
        <v>795</v>
      </c>
    </row>
    <row r="94" spans="1:7" ht="15.75" x14ac:dyDescent="0.25">
      <c r="A94" s="4">
        <v>21</v>
      </c>
      <c r="B94" s="4">
        <v>14751</v>
      </c>
      <c r="C94" s="39" t="s">
        <v>584</v>
      </c>
      <c r="D94" s="6" t="s">
        <v>585</v>
      </c>
      <c r="E94" s="7" t="s">
        <v>7</v>
      </c>
      <c r="G94" t="s">
        <v>795</v>
      </c>
    </row>
    <row r="95" spans="1:7" ht="15.75" x14ac:dyDescent="0.25">
      <c r="A95" s="4">
        <v>18</v>
      </c>
      <c r="B95" s="4">
        <v>14759</v>
      </c>
      <c r="C95" s="40" t="s">
        <v>248</v>
      </c>
      <c r="D95" s="6" t="s">
        <v>249</v>
      </c>
      <c r="E95" s="7" t="s">
        <v>8</v>
      </c>
      <c r="G95" t="s">
        <v>795</v>
      </c>
    </row>
    <row r="96" spans="1:7" ht="15.75" x14ac:dyDescent="0.25">
      <c r="A96" s="4">
        <v>21</v>
      </c>
      <c r="B96" s="32">
        <v>14765</v>
      </c>
      <c r="C96" s="39" t="s">
        <v>20</v>
      </c>
      <c r="D96" s="6" t="s">
        <v>21</v>
      </c>
      <c r="E96" s="7" t="s">
        <v>7</v>
      </c>
      <c r="G96" t="s">
        <v>795</v>
      </c>
    </row>
    <row r="97" spans="1:7" ht="15.75" x14ac:dyDescent="0.25">
      <c r="A97" s="4">
        <v>16</v>
      </c>
      <c r="B97" s="4">
        <v>14771</v>
      </c>
      <c r="C97" s="39" t="s">
        <v>291</v>
      </c>
      <c r="D97" s="6" t="s">
        <v>292</v>
      </c>
      <c r="E97" s="7" t="s">
        <v>8</v>
      </c>
      <c r="G97" t="s">
        <v>795</v>
      </c>
    </row>
    <row r="98" spans="1:7" ht="15.75" x14ac:dyDescent="0.25">
      <c r="A98" s="4">
        <v>18</v>
      </c>
      <c r="B98" s="4">
        <v>14775</v>
      </c>
      <c r="C98" s="39" t="s">
        <v>323</v>
      </c>
      <c r="D98" s="6" t="s">
        <v>324</v>
      </c>
      <c r="E98" s="7" t="s">
        <v>8</v>
      </c>
      <c r="G98" t="s">
        <v>795</v>
      </c>
    </row>
    <row r="99" spans="1:7" ht="15.75" x14ac:dyDescent="0.25">
      <c r="A99" s="4">
        <v>19</v>
      </c>
      <c r="B99" s="4">
        <v>14777</v>
      </c>
      <c r="C99" s="39" t="s">
        <v>704</v>
      </c>
      <c r="D99" s="5" t="s">
        <v>705</v>
      </c>
      <c r="E99" s="7" t="s">
        <v>7</v>
      </c>
      <c r="G99" t="s">
        <v>795</v>
      </c>
    </row>
    <row r="100" spans="1:7" ht="15.75" x14ac:dyDescent="0.25">
      <c r="A100" s="4">
        <v>22</v>
      </c>
      <c r="B100" s="4">
        <v>14794</v>
      </c>
      <c r="C100" s="39" t="s">
        <v>428</v>
      </c>
      <c r="D100" s="6" t="s">
        <v>429</v>
      </c>
      <c r="E100" s="7" t="s">
        <v>8</v>
      </c>
      <c r="G100" t="s">
        <v>795</v>
      </c>
    </row>
    <row r="101" spans="1:7" ht="15.75" x14ac:dyDescent="0.25">
      <c r="A101" s="4">
        <v>24</v>
      </c>
      <c r="B101" s="4">
        <v>14798</v>
      </c>
      <c r="C101" s="39" t="s">
        <v>471</v>
      </c>
      <c r="D101" s="5" t="s">
        <v>472</v>
      </c>
      <c r="E101" s="7" t="s">
        <v>8</v>
      </c>
      <c r="G101" t="s">
        <v>795</v>
      </c>
    </row>
    <row r="102" spans="1:7" ht="15.75" x14ac:dyDescent="0.25">
      <c r="A102" s="4">
        <v>24</v>
      </c>
      <c r="B102" s="32">
        <v>14799</v>
      </c>
      <c r="C102" s="39" t="s">
        <v>706</v>
      </c>
      <c r="D102" s="23" t="s">
        <v>707</v>
      </c>
      <c r="E102" s="7" t="s">
        <v>8</v>
      </c>
      <c r="G102" t="s">
        <v>795</v>
      </c>
    </row>
    <row r="103" spans="1:7" ht="15.75" x14ac:dyDescent="0.25">
      <c r="A103" s="4">
        <v>25</v>
      </c>
      <c r="B103" s="32">
        <v>14809</v>
      </c>
      <c r="C103" s="39" t="s">
        <v>256</v>
      </c>
      <c r="D103" s="6" t="s">
        <v>257</v>
      </c>
      <c r="E103" s="7" t="s">
        <v>8</v>
      </c>
      <c r="G103" t="s">
        <v>795</v>
      </c>
    </row>
    <row r="104" spans="1:7" ht="15.75" x14ac:dyDescent="0.25">
      <c r="A104" s="4">
        <v>25</v>
      </c>
      <c r="B104" s="4">
        <v>14823</v>
      </c>
      <c r="C104" s="39" t="s">
        <v>129</v>
      </c>
      <c r="D104" s="5" t="s">
        <v>130</v>
      </c>
      <c r="E104" s="7" t="s">
        <v>8</v>
      </c>
      <c r="G104" t="s">
        <v>795</v>
      </c>
    </row>
    <row r="105" spans="1:7" ht="15.75" x14ac:dyDescent="0.25">
      <c r="A105" s="4">
        <v>27</v>
      </c>
      <c r="B105" s="4">
        <v>14826</v>
      </c>
      <c r="C105" s="39" t="s">
        <v>771</v>
      </c>
      <c r="D105" s="6" t="s">
        <v>252</v>
      </c>
      <c r="E105" s="7" t="s">
        <v>7</v>
      </c>
      <c r="G105" t="s">
        <v>795</v>
      </c>
    </row>
    <row r="106" spans="1:7" ht="15.75" x14ac:dyDescent="0.25">
      <c r="A106" s="4">
        <v>35</v>
      </c>
      <c r="B106" s="4">
        <v>14831</v>
      </c>
      <c r="C106" s="39" t="s">
        <v>355</v>
      </c>
      <c r="D106" s="6" t="s">
        <v>356</v>
      </c>
      <c r="E106" s="7" t="s">
        <v>7</v>
      </c>
      <c r="G106" t="s">
        <v>795</v>
      </c>
    </row>
    <row r="107" spans="1:7" ht="15.75" x14ac:dyDescent="0.25">
      <c r="A107" s="4">
        <v>33</v>
      </c>
      <c r="B107" s="4">
        <v>14838</v>
      </c>
      <c r="C107" s="39" t="s">
        <v>72</v>
      </c>
      <c r="D107" s="5" t="s">
        <v>73</v>
      </c>
      <c r="E107" s="7" t="s">
        <v>8</v>
      </c>
      <c r="G107" t="s">
        <v>795</v>
      </c>
    </row>
    <row r="108" spans="1:7" ht="15.75" x14ac:dyDescent="0.25">
      <c r="A108" s="4">
        <v>36</v>
      </c>
      <c r="B108" s="4">
        <v>14841</v>
      </c>
      <c r="C108" s="39" t="s">
        <v>507</v>
      </c>
      <c r="D108" s="6" t="s">
        <v>508</v>
      </c>
      <c r="E108" s="24" t="s">
        <v>8</v>
      </c>
      <c r="G108" t="s">
        <v>795</v>
      </c>
    </row>
    <row r="109" spans="1:7" ht="15.75" x14ac:dyDescent="0.25">
      <c r="A109" s="4">
        <v>27</v>
      </c>
      <c r="B109" s="4">
        <v>14853</v>
      </c>
      <c r="C109" s="39" t="s">
        <v>673</v>
      </c>
      <c r="D109" s="6" t="s">
        <v>674</v>
      </c>
      <c r="E109" s="7" t="s">
        <v>7</v>
      </c>
      <c r="G109" t="s">
        <v>795</v>
      </c>
    </row>
    <row r="110" spans="1:7" ht="15.75" x14ac:dyDescent="0.25">
      <c r="A110" s="4">
        <v>27</v>
      </c>
      <c r="B110" s="4">
        <v>14872</v>
      </c>
      <c r="C110" s="39" t="s">
        <v>53</v>
      </c>
      <c r="D110" s="6" t="s">
        <v>790</v>
      </c>
      <c r="E110" s="7" t="s">
        <v>7</v>
      </c>
      <c r="G110" t="s">
        <v>795</v>
      </c>
    </row>
    <row r="111" spans="1:7" ht="15.75" x14ac:dyDescent="0.25">
      <c r="A111" s="4">
        <v>21</v>
      </c>
      <c r="B111" s="32">
        <v>14901</v>
      </c>
      <c r="C111" s="39" t="s">
        <v>135</v>
      </c>
      <c r="D111" s="5" t="s">
        <v>136</v>
      </c>
      <c r="E111" s="7" t="s">
        <v>7</v>
      </c>
      <c r="G111" t="s">
        <v>795</v>
      </c>
    </row>
    <row r="112" spans="1:7" ht="15.75" x14ac:dyDescent="0.25">
      <c r="A112" s="4">
        <v>28</v>
      </c>
      <c r="B112" s="32">
        <v>14908</v>
      </c>
      <c r="C112" s="39" t="s">
        <v>495</v>
      </c>
      <c r="D112" s="6" t="s">
        <v>496</v>
      </c>
      <c r="E112" s="7" t="s">
        <v>7</v>
      </c>
      <c r="G112" t="s">
        <v>795</v>
      </c>
    </row>
    <row r="113" spans="1:7" ht="15.75" x14ac:dyDescent="0.25">
      <c r="A113" s="4">
        <v>27</v>
      </c>
      <c r="B113" s="4">
        <v>14914</v>
      </c>
      <c r="C113" s="39" t="s">
        <v>689</v>
      </c>
      <c r="D113" s="6" t="s">
        <v>690</v>
      </c>
      <c r="E113" s="24" t="s">
        <v>7</v>
      </c>
      <c r="G113" t="s">
        <v>795</v>
      </c>
    </row>
    <row r="114" spans="1:7" ht="15.75" x14ac:dyDescent="0.25">
      <c r="A114" s="4">
        <v>33</v>
      </c>
      <c r="B114" s="4">
        <v>14928</v>
      </c>
      <c r="C114" s="39" t="s">
        <v>687</v>
      </c>
      <c r="D114" s="23" t="s">
        <v>688</v>
      </c>
      <c r="E114" s="7" t="s">
        <v>7</v>
      </c>
      <c r="G114" t="s">
        <v>795</v>
      </c>
    </row>
    <row r="115" spans="1:7" ht="15.75" x14ac:dyDescent="0.25">
      <c r="A115" s="4">
        <v>34</v>
      </c>
      <c r="B115" s="32">
        <v>14937</v>
      </c>
      <c r="C115" s="39" t="s">
        <v>204</v>
      </c>
      <c r="D115" s="6" t="s">
        <v>736</v>
      </c>
      <c r="E115" s="7" t="s">
        <v>7</v>
      </c>
      <c r="G115" t="s">
        <v>795</v>
      </c>
    </row>
    <row r="116" spans="1:7" ht="15.75" x14ac:dyDescent="0.25">
      <c r="A116" s="4">
        <v>32</v>
      </c>
      <c r="B116" s="4">
        <v>14939</v>
      </c>
      <c r="C116" s="39" t="s">
        <v>180</v>
      </c>
      <c r="D116" s="6" t="s">
        <v>743</v>
      </c>
      <c r="E116" s="7" t="s">
        <v>8</v>
      </c>
      <c r="G116" t="s">
        <v>795</v>
      </c>
    </row>
    <row r="117" spans="1:7" ht="15.75" x14ac:dyDescent="0.25">
      <c r="A117" s="4">
        <v>35</v>
      </c>
      <c r="B117" s="4">
        <v>14945</v>
      </c>
      <c r="C117" s="39" t="s">
        <v>469</v>
      </c>
      <c r="D117" s="6" t="s">
        <v>470</v>
      </c>
      <c r="E117" s="7" t="s">
        <v>7</v>
      </c>
      <c r="G117" t="s">
        <v>795</v>
      </c>
    </row>
    <row r="118" spans="1:7" ht="15.75" x14ac:dyDescent="0.25">
      <c r="A118" s="4">
        <v>1</v>
      </c>
      <c r="B118" s="4">
        <v>14595</v>
      </c>
      <c r="C118" s="39" t="s">
        <v>602</v>
      </c>
      <c r="D118" s="6" t="s">
        <v>603</v>
      </c>
      <c r="E118" s="7" t="s">
        <v>8</v>
      </c>
      <c r="G118" t="s">
        <v>796</v>
      </c>
    </row>
    <row r="119" spans="1:7" ht="15.75" x14ac:dyDescent="0.25">
      <c r="A119" s="4">
        <v>2</v>
      </c>
      <c r="B119" s="4">
        <v>14597</v>
      </c>
      <c r="C119" s="39" t="s">
        <v>119</v>
      </c>
      <c r="D119" s="6" t="s">
        <v>120</v>
      </c>
      <c r="E119" s="7" t="s">
        <v>7</v>
      </c>
      <c r="G119" t="s">
        <v>796</v>
      </c>
    </row>
    <row r="120" spans="1:7" ht="15.75" x14ac:dyDescent="0.25">
      <c r="A120" s="4">
        <v>4</v>
      </c>
      <c r="B120" s="4">
        <v>14613</v>
      </c>
      <c r="C120" s="39" t="s">
        <v>416</v>
      </c>
      <c r="D120" s="5" t="s">
        <v>417</v>
      </c>
      <c r="E120" s="7" t="s">
        <v>8</v>
      </c>
      <c r="G120" t="s">
        <v>796</v>
      </c>
    </row>
    <row r="121" spans="1:7" ht="15.75" x14ac:dyDescent="0.25">
      <c r="A121" s="4">
        <v>5</v>
      </c>
      <c r="B121" s="32">
        <v>14614</v>
      </c>
      <c r="C121" s="39" t="s">
        <v>614</v>
      </c>
      <c r="D121" s="5" t="s">
        <v>615</v>
      </c>
      <c r="E121" s="7" t="s">
        <v>8</v>
      </c>
      <c r="G121" t="s">
        <v>796</v>
      </c>
    </row>
    <row r="122" spans="1:7" ht="15.75" x14ac:dyDescent="0.25">
      <c r="A122" s="4">
        <v>2</v>
      </c>
      <c r="B122" s="4">
        <v>14638</v>
      </c>
      <c r="C122" s="40" t="s">
        <v>85</v>
      </c>
      <c r="D122" s="6" t="s">
        <v>86</v>
      </c>
      <c r="E122" s="7" t="s">
        <v>7</v>
      </c>
      <c r="G122" t="s">
        <v>796</v>
      </c>
    </row>
    <row r="123" spans="1:7" ht="15.75" x14ac:dyDescent="0.25">
      <c r="A123" s="4">
        <v>10</v>
      </c>
      <c r="B123" s="32">
        <v>14660</v>
      </c>
      <c r="C123" s="39" t="s">
        <v>537</v>
      </c>
      <c r="D123" s="6" t="s">
        <v>538</v>
      </c>
      <c r="E123" s="7" t="s">
        <v>7</v>
      </c>
      <c r="G123" t="s">
        <v>796</v>
      </c>
    </row>
    <row r="124" spans="1:7" ht="15.75" x14ac:dyDescent="0.25">
      <c r="A124" s="4">
        <v>11</v>
      </c>
      <c r="B124" s="4">
        <v>14665</v>
      </c>
      <c r="C124" s="39" t="s">
        <v>137</v>
      </c>
      <c r="D124" s="6" t="s">
        <v>138</v>
      </c>
      <c r="E124" s="7" t="s">
        <v>7</v>
      </c>
      <c r="G124" t="s">
        <v>796</v>
      </c>
    </row>
    <row r="125" spans="1:7" ht="15.75" x14ac:dyDescent="0.25">
      <c r="A125" s="4">
        <v>11</v>
      </c>
      <c r="B125" s="4">
        <v>14676</v>
      </c>
      <c r="C125" s="39" t="s">
        <v>325</v>
      </c>
      <c r="D125" s="6" t="s">
        <v>746</v>
      </c>
      <c r="E125" s="7" t="s">
        <v>7</v>
      </c>
      <c r="G125" t="s">
        <v>796</v>
      </c>
    </row>
    <row r="126" spans="1:7" ht="15.75" x14ac:dyDescent="0.25">
      <c r="A126" s="4">
        <v>4</v>
      </c>
      <c r="B126" s="4">
        <v>14678</v>
      </c>
      <c r="C126" s="39" t="s">
        <v>440</v>
      </c>
      <c r="D126" s="6" t="s">
        <v>441</v>
      </c>
      <c r="E126" s="7" t="s">
        <v>8</v>
      </c>
      <c r="G126" t="s">
        <v>796</v>
      </c>
    </row>
    <row r="127" spans="1:7" ht="15.75" x14ac:dyDescent="0.25">
      <c r="A127" s="4">
        <v>14</v>
      </c>
      <c r="B127" s="4">
        <v>14690</v>
      </c>
      <c r="C127" s="39" t="s">
        <v>169</v>
      </c>
      <c r="D127" s="6" t="s">
        <v>170</v>
      </c>
      <c r="E127" s="7" t="s">
        <v>7</v>
      </c>
      <c r="G127" t="s">
        <v>796</v>
      </c>
    </row>
    <row r="128" spans="1:7" ht="15.75" x14ac:dyDescent="0.25">
      <c r="A128" s="4">
        <v>7</v>
      </c>
      <c r="B128" s="4">
        <v>14696</v>
      </c>
      <c r="C128" s="39" t="s">
        <v>582</v>
      </c>
      <c r="D128" s="6" t="s">
        <v>583</v>
      </c>
      <c r="E128" s="7" t="s">
        <v>8</v>
      </c>
      <c r="G128" t="s">
        <v>796</v>
      </c>
    </row>
    <row r="129" spans="1:7" ht="15.75" x14ac:dyDescent="0.25">
      <c r="A129" s="4">
        <v>7</v>
      </c>
      <c r="B129" s="4">
        <v>14706</v>
      </c>
      <c r="C129" s="39" t="s">
        <v>307</v>
      </c>
      <c r="D129" s="6" t="s">
        <v>308</v>
      </c>
      <c r="E129" s="24" t="s">
        <v>7</v>
      </c>
      <c r="G129" t="s">
        <v>796</v>
      </c>
    </row>
    <row r="130" spans="1:7" ht="15.75" x14ac:dyDescent="0.25">
      <c r="A130" s="4">
        <v>15</v>
      </c>
      <c r="B130" s="4">
        <v>14719</v>
      </c>
      <c r="C130" s="39" t="s">
        <v>127</v>
      </c>
      <c r="D130" s="6" t="s">
        <v>128</v>
      </c>
      <c r="E130" s="7" t="s">
        <v>8</v>
      </c>
      <c r="G130" t="s">
        <v>796</v>
      </c>
    </row>
    <row r="131" spans="1:7" ht="15.75" x14ac:dyDescent="0.25">
      <c r="A131" s="4">
        <v>15</v>
      </c>
      <c r="B131" s="4">
        <v>14723</v>
      </c>
      <c r="C131" s="39" t="s">
        <v>592</v>
      </c>
      <c r="D131" s="6" t="s">
        <v>593</v>
      </c>
      <c r="E131" s="7" t="s">
        <v>8</v>
      </c>
      <c r="G131" t="s">
        <v>796</v>
      </c>
    </row>
    <row r="132" spans="1:7" ht="15.75" x14ac:dyDescent="0.25">
      <c r="A132" s="4">
        <v>18</v>
      </c>
      <c r="B132" s="4">
        <v>14729</v>
      </c>
      <c r="C132" s="39" t="s">
        <v>81</v>
      </c>
      <c r="D132" s="6" t="s">
        <v>82</v>
      </c>
      <c r="E132" s="7" t="s">
        <v>8</v>
      </c>
      <c r="G132" t="s">
        <v>796</v>
      </c>
    </row>
    <row r="133" spans="1:7" ht="15.75" x14ac:dyDescent="0.25">
      <c r="A133" s="4">
        <v>13</v>
      </c>
      <c r="B133" s="4">
        <v>14733</v>
      </c>
      <c r="C133" s="39" t="s">
        <v>714</v>
      </c>
      <c r="D133" s="6" t="s">
        <v>715</v>
      </c>
      <c r="E133" s="7" t="s">
        <v>8</v>
      </c>
      <c r="G133" t="s">
        <v>796</v>
      </c>
    </row>
    <row r="134" spans="1:7" ht="15.75" x14ac:dyDescent="0.25">
      <c r="A134" s="4">
        <v>13</v>
      </c>
      <c r="B134" s="4">
        <v>14737</v>
      </c>
      <c r="C134" s="39" t="s">
        <v>608</v>
      </c>
      <c r="D134" s="6" t="s">
        <v>791</v>
      </c>
      <c r="E134" s="7" t="s">
        <v>7</v>
      </c>
      <c r="G134" t="s">
        <v>796</v>
      </c>
    </row>
    <row r="135" spans="1:7" ht="15.75" x14ac:dyDescent="0.25">
      <c r="A135" s="4">
        <v>20</v>
      </c>
      <c r="B135" s="4">
        <v>14749</v>
      </c>
      <c r="C135" s="39" t="s">
        <v>62</v>
      </c>
      <c r="D135" s="6" t="s">
        <v>63</v>
      </c>
      <c r="E135" s="7" t="s">
        <v>7</v>
      </c>
      <c r="G135" t="s">
        <v>796</v>
      </c>
    </row>
    <row r="136" spans="1:7" ht="15.75" x14ac:dyDescent="0.25">
      <c r="A136" s="4">
        <v>17</v>
      </c>
      <c r="B136" s="4">
        <v>14756</v>
      </c>
      <c r="C136" s="39" t="s">
        <v>212</v>
      </c>
      <c r="D136" s="6" t="s">
        <v>213</v>
      </c>
      <c r="E136" s="7" t="s">
        <v>7</v>
      </c>
      <c r="G136" t="s">
        <v>796</v>
      </c>
    </row>
    <row r="137" spans="1:7" ht="15.75" x14ac:dyDescent="0.25">
      <c r="A137" s="4">
        <v>11</v>
      </c>
      <c r="B137" s="4">
        <v>14757</v>
      </c>
      <c r="C137" s="39" t="s">
        <v>365</v>
      </c>
      <c r="D137" s="6" t="s">
        <v>366</v>
      </c>
      <c r="E137" s="24" t="s">
        <v>7</v>
      </c>
      <c r="G137" t="s">
        <v>796</v>
      </c>
    </row>
    <row r="138" spans="1:7" ht="15.75" x14ac:dyDescent="0.25">
      <c r="A138" s="4">
        <v>18</v>
      </c>
      <c r="B138" s="4">
        <v>14758</v>
      </c>
      <c r="C138" s="39" t="s">
        <v>295</v>
      </c>
      <c r="D138" s="6" t="s">
        <v>296</v>
      </c>
      <c r="E138" s="7" t="s">
        <v>7</v>
      </c>
      <c r="G138" t="s">
        <v>796</v>
      </c>
    </row>
    <row r="139" spans="1:7" ht="15.75" x14ac:dyDescent="0.25">
      <c r="A139" s="4">
        <v>15</v>
      </c>
      <c r="B139" s="4">
        <v>14762</v>
      </c>
      <c r="C139" s="39" t="s">
        <v>250</v>
      </c>
      <c r="D139" s="6" t="s">
        <v>251</v>
      </c>
      <c r="E139" s="7" t="s">
        <v>7</v>
      </c>
      <c r="G139" t="s">
        <v>796</v>
      </c>
    </row>
    <row r="140" spans="1:7" ht="15.75" x14ac:dyDescent="0.25">
      <c r="A140" s="4">
        <v>22</v>
      </c>
      <c r="B140" s="4">
        <v>14776</v>
      </c>
      <c r="C140" s="39" t="s">
        <v>438</v>
      </c>
      <c r="D140" s="6" t="s">
        <v>439</v>
      </c>
      <c r="E140" s="7" t="s">
        <v>7</v>
      </c>
      <c r="G140" t="s">
        <v>796</v>
      </c>
    </row>
    <row r="141" spans="1:7" ht="15.75" x14ac:dyDescent="0.25">
      <c r="A141" s="4">
        <v>19</v>
      </c>
      <c r="B141" s="4">
        <v>14781</v>
      </c>
      <c r="C141" s="39" t="s">
        <v>525</v>
      </c>
      <c r="D141" s="6" t="s">
        <v>526</v>
      </c>
      <c r="E141" s="7" t="s">
        <v>8</v>
      </c>
      <c r="G141" t="s">
        <v>796</v>
      </c>
    </row>
    <row r="142" spans="1:7" ht="15.75" x14ac:dyDescent="0.25">
      <c r="A142" s="4">
        <v>18</v>
      </c>
      <c r="B142" s="4">
        <v>14792</v>
      </c>
      <c r="C142" s="39" t="s">
        <v>317</v>
      </c>
      <c r="D142" s="6" t="s">
        <v>318</v>
      </c>
      <c r="E142" s="7" t="s">
        <v>8</v>
      </c>
      <c r="G142" t="s">
        <v>796</v>
      </c>
    </row>
    <row r="143" spans="1:7" ht="15.75" x14ac:dyDescent="0.25">
      <c r="A143" s="4">
        <v>21</v>
      </c>
      <c r="B143" s="4">
        <v>14801</v>
      </c>
      <c r="C143" s="39" t="s">
        <v>586</v>
      </c>
      <c r="D143" s="6" t="s">
        <v>587</v>
      </c>
      <c r="E143" s="7" t="s">
        <v>8</v>
      </c>
      <c r="G143" t="s">
        <v>796</v>
      </c>
    </row>
    <row r="144" spans="1:7" ht="15.75" x14ac:dyDescent="0.25">
      <c r="A144" s="4">
        <v>35</v>
      </c>
      <c r="B144" s="4">
        <v>14933</v>
      </c>
      <c r="C144" s="39" t="s">
        <v>142</v>
      </c>
      <c r="D144" s="6" t="s">
        <v>732</v>
      </c>
      <c r="E144" s="7" t="s">
        <v>8</v>
      </c>
      <c r="G144" t="s">
        <v>796</v>
      </c>
    </row>
    <row r="145" spans="1:7" ht="15.75" x14ac:dyDescent="0.25">
      <c r="A145" s="4">
        <v>25</v>
      </c>
      <c r="B145" s="4">
        <v>14835</v>
      </c>
      <c r="C145" s="39" t="s">
        <v>242</v>
      </c>
      <c r="D145" s="5" t="s">
        <v>243</v>
      </c>
      <c r="E145" s="7" t="s">
        <v>7</v>
      </c>
      <c r="G145" t="s">
        <v>796</v>
      </c>
    </row>
    <row r="146" spans="1:7" ht="15.75" x14ac:dyDescent="0.25">
      <c r="A146" s="4">
        <v>28</v>
      </c>
      <c r="B146" s="32">
        <v>14843</v>
      </c>
      <c r="C146" s="39" t="s">
        <v>24</v>
      </c>
      <c r="D146" s="6" t="s">
        <v>739</v>
      </c>
      <c r="E146" s="7" t="s">
        <v>7</v>
      </c>
      <c r="G146" t="s">
        <v>796</v>
      </c>
    </row>
    <row r="147" spans="1:7" ht="15.75" x14ac:dyDescent="0.25">
      <c r="A147" s="4">
        <v>30</v>
      </c>
      <c r="B147" s="32">
        <v>14848</v>
      </c>
      <c r="C147" s="39" t="s">
        <v>349</v>
      </c>
      <c r="D147" s="6" t="s">
        <v>350</v>
      </c>
      <c r="E147" s="7" t="s">
        <v>7</v>
      </c>
      <c r="G147" t="s">
        <v>796</v>
      </c>
    </row>
    <row r="148" spans="1:7" ht="15.75" x14ac:dyDescent="0.25">
      <c r="A148" s="4">
        <v>23</v>
      </c>
      <c r="B148" s="4">
        <v>14849</v>
      </c>
      <c r="C148" s="39" t="s">
        <v>313</v>
      </c>
      <c r="D148" s="5" t="s">
        <v>314</v>
      </c>
      <c r="E148" s="7" t="s">
        <v>7</v>
      </c>
      <c r="G148" t="s">
        <v>796</v>
      </c>
    </row>
    <row r="149" spans="1:7" ht="15.75" x14ac:dyDescent="0.25">
      <c r="A149" s="4">
        <v>28</v>
      </c>
      <c r="B149" s="4">
        <v>14874</v>
      </c>
      <c r="C149" s="39" t="s">
        <v>167</v>
      </c>
      <c r="D149" s="6" t="s">
        <v>168</v>
      </c>
      <c r="E149" s="7" t="s">
        <v>8</v>
      </c>
      <c r="G149" t="s">
        <v>796</v>
      </c>
    </row>
    <row r="150" spans="1:7" ht="15.75" x14ac:dyDescent="0.25">
      <c r="A150" s="4">
        <v>32</v>
      </c>
      <c r="B150" s="4">
        <v>14877</v>
      </c>
      <c r="C150" s="39" t="s">
        <v>430</v>
      </c>
      <c r="D150" s="6" t="s">
        <v>431</v>
      </c>
      <c r="E150" s="7" t="s">
        <v>8</v>
      </c>
      <c r="G150" t="s">
        <v>796</v>
      </c>
    </row>
    <row r="151" spans="1:7" ht="15.75" x14ac:dyDescent="0.25">
      <c r="A151" s="4">
        <v>28</v>
      </c>
      <c r="B151" s="4">
        <v>14899</v>
      </c>
      <c r="C151" s="39" t="s">
        <v>113</v>
      </c>
      <c r="D151" s="5" t="s">
        <v>114</v>
      </c>
      <c r="E151" s="7" t="s">
        <v>7</v>
      </c>
      <c r="G151" t="s">
        <v>796</v>
      </c>
    </row>
    <row r="152" spans="1:7" ht="15.75" x14ac:dyDescent="0.25">
      <c r="A152" s="4">
        <v>29</v>
      </c>
      <c r="B152" s="4">
        <v>14907</v>
      </c>
      <c r="C152" s="39" t="s">
        <v>220</v>
      </c>
      <c r="D152" s="5" t="s">
        <v>221</v>
      </c>
      <c r="E152" s="7" t="s">
        <v>8</v>
      </c>
      <c r="G152" t="s">
        <v>796</v>
      </c>
    </row>
    <row r="153" spans="1:7" ht="15.75" x14ac:dyDescent="0.25">
      <c r="A153" s="4">
        <v>32</v>
      </c>
      <c r="B153" s="4">
        <v>14916</v>
      </c>
      <c r="C153" s="39" t="s">
        <v>477</v>
      </c>
      <c r="D153" s="6" t="s">
        <v>478</v>
      </c>
      <c r="E153" s="7" t="s">
        <v>7</v>
      </c>
      <c r="G153" t="s">
        <v>796</v>
      </c>
    </row>
    <row r="154" spans="1:7" ht="15.75" x14ac:dyDescent="0.25">
      <c r="A154" s="4">
        <v>1</v>
      </c>
      <c r="B154" s="4">
        <v>14593</v>
      </c>
      <c r="C154" s="39" t="s">
        <v>388</v>
      </c>
      <c r="D154" s="6" t="s">
        <v>389</v>
      </c>
      <c r="E154" s="7" t="s">
        <v>8</v>
      </c>
      <c r="G154" t="s">
        <v>797</v>
      </c>
    </row>
    <row r="155" spans="1:7" ht="15.75" x14ac:dyDescent="0.25">
      <c r="A155" s="4">
        <v>1</v>
      </c>
      <c r="B155" s="4">
        <v>14605</v>
      </c>
      <c r="C155" s="39" t="s">
        <v>649</v>
      </c>
      <c r="D155" s="6" t="s">
        <v>650</v>
      </c>
      <c r="E155" s="7" t="s">
        <v>8</v>
      </c>
      <c r="G155" t="s">
        <v>797</v>
      </c>
    </row>
    <row r="156" spans="1:7" ht="15.75" x14ac:dyDescent="0.25">
      <c r="A156" s="4">
        <v>2</v>
      </c>
      <c r="B156" s="4">
        <v>14608</v>
      </c>
      <c r="C156" s="39" t="s">
        <v>22</v>
      </c>
      <c r="D156" s="6" t="s">
        <v>23</v>
      </c>
      <c r="E156" s="7" t="s">
        <v>8</v>
      </c>
      <c r="G156" t="s">
        <v>797</v>
      </c>
    </row>
    <row r="157" spans="1:7" ht="15.75" x14ac:dyDescent="0.25">
      <c r="A157" s="4">
        <v>3</v>
      </c>
      <c r="B157" s="4">
        <v>14610</v>
      </c>
      <c r="C157" s="40" t="s">
        <v>283</v>
      </c>
      <c r="D157" s="6" t="s">
        <v>284</v>
      </c>
      <c r="E157" s="7" t="s">
        <v>7</v>
      </c>
      <c r="G157" t="s">
        <v>797</v>
      </c>
    </row>
    <row r="158" spans="1:7" ht="15.75" x14ac:dyDescent="0.25">
      <c r="A158" s="4">
        <v>5</v>
      </c>
      <c r="B158" s="4">
        <v>14620</v>
      </c>
      <c r="C158" s="39" t="s">
        <v>198</v>
      </c>
      <c r="D158" s="6" t="s">
        <v>759</v>
      </c>
      <c r="E158" s="7" t="s">
        <v>7</v>
      </c>
      <c r="G158" t="s">
        <v>797</v>
      </c>
    </row>
    <row r="159" spans="1:7" ht="15.75" x14ac:dyDescent="0.25">
      <c r="A159" s="4">
        <v>2</v>
      </c>
      <c r="B159" s="4">
        <v>14622</v>
      </c>
      <c r="C159" s="39" t="s">
        <v>293</v>
      </c>
      <c r="D159" s="23" t="s">
        <v>294</v>
      </c>
      <c r="E159" s="7" t="s">
        <v>8</v>
      </c>
      <c r="G159" t="s">
        <v>797</v>
      </c>
    </row>
    <row r="160" spans="1:7" ht="15.75" x14ac:dyDescent="0.25">
      <c r="A160" s="4">
        <v>7</v>
      </c>
      <c r="B160" s="4">
        <v>14634</v>
      </c>
      <c r="C160" s="39" t="s">
        <v>28</v>
      </c>
      <c r="D160" s="6" t="s">
        <v>29</v>
      </c>
      <c r="E160" s="7" t="s">
        <v>7</v>
      </c>
      <c r="G160" t="s">
        <v>797</v>
      </c>
    </row>
    <row r="161" spans="1:7" ht="15.75" x14ac:dyDescent="0.25">
      <c r="A161" s="4">
        <v>10</v>
      </c>
      <c r="B161" s="4">
        <v>14647</v>
      </c>
      <c r="C161" s="39" t="s">
        <v>724</v>
      </c>
      <c r="D161" s="6" t="s">
        <v>725</v>
      </c>
      <c r="E161" s="7" t="s">
        <v>8</v>
      </c>
      <c r="G161" t="s">
        <v>797</v>
      </c>
    </row>
    <row r="162" spans="1:7" ht="15.75" x14ac:dyDescent="0.25">
      <c r="A162" s="4">
        <v>12</v>
      </c>
      <c r="B162" s="32">
        <v>14664</v>
      </c>
      <c r="C162" s="39" t="s">
        <v>683</v>
      </c>
      <c r="D162" s="6" t="s">
        <v>747</v>
      </c>
      <c r="E162" s="7" t="s">
        <v>8</v>
      </c>
      <c r="G162" t="s">
        <v>797</v>
      </c>
    </row>
    <row r="163" spans="1:7" ht="15.75" x14ac:dyDescent="0.25">
      <c r="A163" s="4">
        <v>9</v>
      </c>
      <c r="B163" s="4">
        <v>14688</v>
      </c>
      <c r="C163" s="39" t="s">
        <v>361</v>
      </c>
      <c r="D163" s="6" t="s">
        <v>730</v>
      </c>
      <c r="E163" s="7" t="s">
        <v>8</v>
      </c>
      <c r="G163" t="s">
        <v>797</v>
      </c>
    </row>
    <row r="164" spans="1:7" ht="15.75" x14ac:dyDescent="0.25">
      <c r="A164" s="4">
        <v>15</v>
      </c>
      <c r="B164" s="32">
        <v>14691</v>
      </c>
      <c r="C164" s="39" t="s">
        <v>762</v>
      </c>
      <c r="D164" s="6" t="s">
        <v>255</v>
      </c>
      <c r="E164" s="7" t="s">
        <v>7</v>
      </c>
      <c r="G164" t="s">
        <v>797</v>
      </c>
    </row>
    <row r="165" spans="1:7" ht="15.75" x14ac:dyDescent="0.25">
      <c r="A165" s="4">
        <v>17</v>
      </c>
      <c r="B165" s="4">
        <v>14698</v>
      </c>
      <c r="C165" s="39" t="s">
        <v>188</v>
      </c>
      <c r="D165" s="6" t="s">
        <v>748</v>
      </c>
      <c r="E165" s="7" t="s">
        <v>8</v>
      </c>
      <c r="G165" t="s">
        <v>797</v>
      </c>
    </row>
    <row r="166" spans="1:7" ht="15.75" x14ac:dyDescent="0.25">
      <c r="A166" s="4">
        <v>18</v>
      </c>
      <c r="B166" s="32">
        <v>14713</v>
      </c>
      <c r="C166" s="39" t="s">
        <v>338</v>
      </c>
      <c r="D166" s="6" t="s">
        <v>339</v>
      </c>
      <c r="E166" s="7" t="s">
        <v>7</v>
      </c>
      <c r="G166" t="s">
        <v>797</v>
      </c>
    </row>
    <row r="167" spans="1:7" ht="15.75" x14ac:dyDescent="0.25">
      <c r="A167" s="4">
        <v>15</v>
      </c>
      <c r="B167" s="4">
        <v>14714</v>
      </c>
      <c r="C167" s="39" t="s">
        <v>272</v>
      </c>
      <c r="D167" s="6" t="s">
        <v>273</v>
      </c>
      <c r="E167" s="7" t="s">
        <v>7</v>
      </c>
      <c r="G167" t="s">
        <v>797</v>
      </c>
    </row>
    <row r="168" spans="1:7" ht="15.75" x14ac:dyDescent="0.25">
      <c r="A168" s="4">
        <v>12</v>
      </c>
      <c r="B168" s="4">
        <v>14718</v>
      </c>
      <c r="C168" s="39" t="s">
        <v>483</v>
      </c>
      <c r="D168" s="6" t="s">
        <v>484</v>
      </c>
      <c r="E168" s="7" t="s">
        <v>8</v>
      </c>
      <c r="G168" t="s">
        <v>797</v>
      </c>
    </row>
    <row r="169" spans="1:7" ht="15.75" x14ac:dyDescent="0.25">
      <c r="A169" s="4">
        <v>19</v>
      </c>
      <c r="B169" s="4">
        <v>14732</v>
      </c>
      <c r="C169" s="39" t="s">
        <v>97</v>
      </c>
      <c r="D169" s="6" t="s">
        <v>98</v>
      </c>
      <c r="E169" s="7" t="s">
        <v>7</v>
      </c>
      <c r="G169" t="s">
        <v>797</v>
      </c>
    </row>
    <row r="170" spans="1:7" ht="15.75" x14ac:dyDescent="0.25">
      <c r="A170" s="4">
        <v>13</v>
      </c>
      <c r="B170" s="4">
        <v>14742</v>
      </c>
      <c r="C170" s="39" t="s">
        <v>347</v>
      </c>
      <c r="D170" s="6" t="s">
        <v>734</v>
      </c>
      <c r="E170" s="7" t="s">
        <v>7</v>
      </c>
      <c r="G170" t="s">
        <v>797</v>
      </c>
    </row>
    <row r="171" spans="1:7" ht="15.75" x14ac:dyDescent="0.25">
      <c r="A171" s="4">
        <v>16</v>
      </c>
      <c r="B171" s="4">
        <v>14770</v>
      </c>
      <c r="C171" s="39" t="s">
        <v>557</v>
      </c>
      <c r="D171" s="6" t="s">
        <v>558</v>
      </c>
      <c r="E171" s="7" t="s">
        <v>7</v>
      </c>
      <c r="G171" t="s">
        <v>797</v>
      </c>
    </row>
    <row r="172" spans="1:7" ht="15.75" x14ac:dyDescent="0.25">
      <c r="A172" s="4">
        <v>23</v>
      </c>
      <c r="B172" s="32">
        <v>14772</v>
      </c>
      <c r="C172" s="39" t="s">
        <v>228</v>
      </c>
      <c r="D172" s="6" t="s">
        <v>229</v>
      </c>
      <c r="E172" s="7" t="s">
        <v>7</v>
      </c>
      <c r="G172" t="s">
        <v>797</v>
      </c>
    </row>
    <row r="173" spans="1:7" ht="15.75" x14ac:dyDescent="0.25">
      <c r="A173" s="4">
        <v>20</v>
      </c>
      <c r="B173" s="4">
        <v>14774</v>
      </c>
      <c r="C173" s="39" t="s">
        <v>51</v>
      </c>
      <c r="D173" s="6" t="s">
        <v>738</v>
      </c>
      <c r="E173" s="7" t="s">
        <v>7</v>
      </c>
      <c r="G173" t="s">
        <v>797</v>
      </c>
    </row>
    <row r="174" spans="1:7" ht="15.75" x14ac:dyDescent="0.25">
      <c r="A174" s="4">
        <v>20</v>
      </c>
      <c r="B174" s="4">
        <v>14787</v>
      </c>
      <c r="C174" s="39" t="s">
        <v>501</v>
      </c>
      <c r="D174" s="6" t="s">
        <v>502</v>
      </c>
      <c r="E174" s="7" t="s">
        <v>8</v>
      </c>
      <c r="G174" t="s">
        <v>797</v>
      </c>
    </row>
    <row r="175" spans="1:7" ht="15.75" x14ac:dyDescent="0.25">
      <c r="A175" s="4">
        <v>24</v>
      </c>
      <c r="B175" s="4">
        <v>14804</v>
      </c>
      <c r="C175" s="39" t="s">
        <v>216</v>
      </c>
      <c r="D175" s="6" t="s">
        <v>217</v>
      </c>
      <c r="E175" s="7" t="s">
        <v>8</v>
      </c>
      <c r="G175" t="s">
        <v>797</v>
      </c>
    </row>
    <row r="176" spans="1:7" ht="15.75" x14ac:dyDescent="0.25">
      <c r="A176" s="4">
        <v>26</v>
      </c>
      <c r="B176" s="4">
        <v>14825</v>
      </c>
      <c r="C176" s="39" t="s">
        <v>473</v>
      </c>
      <c r="D176" s="5" t="s">
        <v>474</v>
      </c>
      <c r="E176" s="7" t="s">
        <v>8</v>
      </c>
      <c r="G176" t="s">
        <v>797</v>
      </c>
    </row>
    <row r="177" spans="1:7" ht="15.75" x14ac:dyDescent="0.25">
      <c r="A177" s="4">
        <v>36</v>
      </c>
      <c r="B177" s="4">
        <v>14938</v>
      </c>
      <c r="C177" s="39" t="s">
        <v>452</v>
      </c>
      <c r="D177" s="6" t="s">
        <v>453</v>
      </c>
      <c r="E177" s="24" t="s">
        <v>7</v>
      </c>
      <c r="G177" t="s">
        <v>797</v>
      </c>
    </row>
    <row r="178" spans="1:7" ht="15.75" x14ac:dyDescent="0.25">
      <c r="A178" s="4">
        <v>35</v>
      </c>
      <c r="B178" s="4">
        <v>14942</v>
      </c>
      <c r="C178" s="39" t="s">
        <v>454</v>
      </c>
      <c r="D178" s="6" t="s">
        <v>455</v>
      </c>
      <c r="E178" s="7" t="s">
        <v>7</v>
      </c>
      <c r="G178" t="s">
        <v>797</v>
      </c>
    </row>
    <row r="179" spans="1:7" ht="15.75" x14ac:dyDescent="0.25">
      <c r="A179" s="4">
        <v>28</v>
      </c>
      <c r="B179" s="4">
        <v>14828</v>
      </c>
      <c r="C179" s="39" t="s">
        <v>336</v>
      </c>
      <c r="D179" s="6" t="s">
        <v>755</v>
      </c>
      <c r="E179" s="7" t="s">
        <v>7</v>
      </c>
      <c r="G179" t="s">
        <v>797</v>
      </c>
    </row>
    <row r="180" spans="1:7" ht="15.75" x14ac:dyDescent="0.25">
      <c r="A180" s="4">
        <v>24</v>
      </c>
      <c r="B180" s="4">
        <v>14830</v>
      </c>
      <c r="C180" s="39" t="s">
        <v>234</v>
      </c>
      <c r="D180" s="6" t="s">
        <v>235</v>
      </c>
      <c r="E180" s="7" t="s">
        <v>7</v>
      </c>
      <c r="G180" t="s">
        <v>797</v>
      </c>
    </row>
    <row r="181" spans="1:7" ht="15.75" x14ac:dyDescent="0.25">
      <c r="A181" s="4">
        <v>27</v>
      </c>
      <c r="B181" s="32">
        <v>14839</v>
      </c>
      <c r="C181" s="39" t="s">
        <v>174</v>
      </c>
      <c r="D181" s="6" t="s">
        <v>175</v>
      </c>
      <c r="E181" s="7" t="s">
        <v>8</v>
      </c>
      <c r="G181" t="s">
        <v>797</v>
      </c>
    </row>
    <row r="182" spans="1:7" ht="15.75" x14ac:dyDescent="0.25">
      <c r="A182" s="4">
        <v>29</v>
      </c>
      <c r="B182" s="32">
        <v>14847</v>
      </c>
      <c r="C182" s="39" t="s">
        <v>133</v>
      </c>
      <c r="D182" s="6" t="s">
        <v>752</v>
      </c>
      <c r="E182" s="7" t="s">
        <v>7</v>
      </c>
      <c r="G182" t="s">
        <v>797</v>
      </c>
    </row>
    <row r="183" spans="1:7" x14ac:dyDescent="0.25">
      <c r="A183" s="4">
        <v>24</v>
      </c>
      <c r="B183" s="4">
        <v>14869</v>
      </c>
      <c r="C183" s="39" t="s">
        <v>568</v>
      </c>
      <c r="D183" s="5" t="s">
        <v>569</v>
      </c>
      <c r="E183" s="24" t="s">
        <v>7</v>
      </c>
      <c r="G183" t="s">
        <v>797</v>
      </c>
    </row>
    <row r="184" spans="1:7" ht="15.75" x14ac:dyDescent="0.25">
      <c r="A184" s="4">
        <v>31</v>
      </c>
      <c r="B184" s="4">
        <v>14884</v>
      </c>
      <c r="C184" s="39" t="s">
        <v>598</v>
      </c>
      <c r="D184" s="5" t="s">
        <v>599</v>
      </c>
      <c r="E184" s="7" t="s">
        <v>8</v>
      </c>
      <c r="G184" t="s">
        <v>797</v>
      </c>
    </row>
    <row r="185" spans="1:7" ht="15.75" x14ac:dyDescent="0.25">
      <c r="A185" s="4">
        <v>30</v>
      </c>
      <c r="B185" s="4">
        <v>14890</v>
      </c>
      <c r="C185" s="39" t="s">
        <v>123</v>
      </c>
      <c r="D185" s="5" t="s">
        <v>124</v>
      </c>
      <c r="E185" s="7" t="s">
        <v>7</v>
      </c>
      <c r="G185" t="s">
        <v>797</v>
      </c>
    </row>
    <row r="186" spans="1:7" ht="15.75" x14ac:dyDescent="0.25">
      <c r="A186" s="4">
        <v>27</v>
      </c>
      <c r="B186" s="4">
        <v>14895</v>
      </c>
      <c r="C186" s="39" t="s">
        <v>340</v>
      </c>
      <c r="D186" s="6" t="s">
        <v>341</v>
      </c>
      <c r="E186" s="7" t="s">
        <v>8</v>
      </c>
      <c r="G186" t="s">
        <v>797</v>
      </c>
    </row>
    <row r="187" spans="1:7" ht="15.75" x14ac:dyDescent="0.25">
      <c r="A187" s="4">
        <v>33</v>
      </c>
      <c r="B187" s="4">
        <v>14897</v>
      </c>
      <c r="C187" s="39" t="s">
        <v>155</v>
      </c>
      <c r="D187" s="6" t="s">
        <v>156</v>
      </c>
      <c r="E187" s="7" t="s">
        <v>7</v>
      </c>
      <c r="G187" t="s">
        <v>797</v>
      </c>
    </row>
    <row r="188" spans="1:7" ht="15.75" x14ac:dyDescent="0.25">
      <c r="A188" s="4">
        <v>33</v>
      </c>
      <c r="B188" s="4">
        <v>14906</v>
      </c>
      <c r="C188" s="39" t="s">
        <v>200</v>
      </c>
      <c r="D188" s="6" t="s">
        <v>201</v>
      </c>
      <c r="E188" s="7" t="s">
        <v>7</v>
      </c>
      <c r="G188" t="s">
        <v>797</v>
      </c>
    </row>
    <row r="189" spans="1:7" ht="15.75" x14ac:dyDescent="0.25">
      <c r="A189" s="4">
        <v>9</v>
      </c>
      <c r="B189" s="32">
        <v>14628</v>
      </c>
      <c r="C189" s="39" t="s">
        <v>299</v>
      </c>
      <c r="D189" s="5" t="s">
        <v>300</v>
      </c>
      <c r="E189" s="7" t="s">
        <v>7</v>
      </c>
      <c r="G189" t="s">
        <v>798</v>
      </c>
    </row>
    <row r="190" spans="1:7" ht="15.75" x14ac:dyDescent="0.25">
      <c r="A190" s="4">
        <v>6</v>
      </c>
      <c r="B190" s="4">
        <v>14629</v>
      </c>
      <c r="C190" s="39" t="s">
        <v>465</v>
      </c>
      <c r="D190" s="6" t="s">
        <v>466</v>
      </c>
      <c r="E190" s="7" t="s">
        <v>8</v>
      </c>
      <c r="G190" t="s">
        <v>798</v>
      </c>
    </row>
    <row r="191" spans="1:7" ht="15.75" x14ac:dyDescent="0.25">
      <c r="A191" s="4">
        <v>6</v>
      </c>
      <c r="B191" s="4">
        <v>14645</v>
      </c>
      <c r="C191" s="39" t="s">
        <v>157</v>
      </c>
      <c r="D191" s="6" t="s">
        <v>158</v>
      </c>
      <c r="E191" s="7" t="s">
        <v>8</v>
      </c>
      <c r="G191" t="s">
        <v>798</v>
      </c>
    </row>
    <row r="192" spans="1:7" ht="15.75" x14ac:dyDescent="0.25">
      <c r="A192" s="4">
        <v>6</v>
      </c>
      <c r="B192" s="4">
        <v>14662</v>
      </c>
      <c r="C192" s="40" t="s">
        <v>206</v>
      </c>
      <c r="D192" s="6" t="s">
        <v>740</v>
      </c>
      <c r="E192" s="7" t="s">
        <v>8</v>
      </c>
      <c r="G192" t="s">
        <v>798</v>
      </c>
    </row>
    <row r="193" spans="1:7" ht="15.75" x14ac:dyDescent="0.25">
      <c r="A193" s="4">
        <v>13</v>
      </c>
      <c r="B193" s="32">
        <v>14669</v>
      </c>
      <c r="C193" s="39" t="s">
        <v>274</v>
      </c>
      <c r="D193" s="6" t="s">
        <v>275</v>
      </c>
      <c r="E193" s="7" t="s">
        <v>8</v>
      </c>
      <c r="G193" t="s">
        <v>798</v>
      </c>
    </row>
    <row r="194" spans="1:7" ht="15.75" x14ac:dyDescent="0.25">
      <c r="A194" s="4">
        <v>9</v>
      </c>
      <c r="B194" s="4">
        <v>14670</v>
      </c>
      <c r="C194" s="39" t="s">
        <v>161</v>
      </c>
      <c r="D194" s="6" t="s">
        <v>162</v>
      </c>
      <c r="E194" s="7" t="s">
        <v>8</v>
      </c>
      <c r="G194" t="s">
        <v>798</v>
      </c>
    </row>
    <row r="195" spans="1:7" ht="15.75" x14ac:dyDescent="0.25">
      <c r="A195" s="4">
        <v>8</v>
      </c>
      <c r="B195" s="4">
        <v>14674</v>
      </c>
      <c r="C195" s="39" t="s">
        <v>327</v>
      </c>
      <c r="D195" s="6" t="s">
        <v>328</v>
      </c>
      <c r="E195" s="7" t="s">
        <v>8</v>
      </c>
      <c r="G195" t="s">
        <v>798</v>
      </c>
    </row>
    <row r="196" spans="1:7" ht="15.75" x14ac:dyDescent="0.25">
      <c r="A196" s="4">
        <v>14</v>
      </c>
      <c r="B196" s="32">
        <v>14675</v>
      </c>
      <c r="C196" s="39" t="s">
        <v>353</v>
      </c>
      <c r="D196" s="6" t="s">
        <v>354</v>
      </c>
      <c r="E196" s="7" t="s">
        <v>7</v>
      </c>
      <c r="G196" t="s">
        <v>798</v>
      </c>
    </row>
    <row r="197" spans="1:7" ht="15.75" x14ac:dyDescent="0.25">
      <c r="A197" s="4">
        <v>4</v>
      </c>
      <c r="B197" s="4">
        <v>14682</v>
      </c>
      <c r="C197" s="39" t="s">
        <v>165</v>
      </c>
      <c r="D197" s="6" t="s">
        <v>166</v>
      </c>
      <c r="E197" s="24" t="s">
        <v>8</v>
      </c>
      <c r="G197" t="s">
        <v>798</v>
      </c>
    </row>
    <row r="198" spans="1:7" ht="15.75" x14ac:dyDescent="0.25">
      <c r="A198" s="4">
        <v>10</v>
      </c>
      <c r="B198" s="4">
        <v>14689</v>
      </c>
      <c r="C198" s="39" t="s">
        <v>258</v>
      </c>
      <c r="D198" s="6" t="s">
        <v>259</v>
      </c>
      <c r="E198" s="7" t="s">
        <v>7</v>
      </c>
      <c r="G198" t="s">
        <v>798</v>
      </c>
    </row>
    <row r="199" spans="1:7" ht="15.75" x14ac:dyDescent="0.25">
      <c r="A199" s="4">
        <v>12</v>
      </c>
      <c r="B199" s="4">
        <v>14695</v>
      </c>
      <c r="C199" s="39" t="s">
        <v>16</v>
      </c>
      <c r="D199" s="6" t="s">
        <v>17</v>
      </c>
      <c r="E199" s="7" t="s">
        <v>7</v>
      </c>
      <c r="G199" t="s">
        <v>798</v>
      </c>
    </row>
    <row r="200" spans="1:7" ht="15.75" x14ac:dyDescent="0.25">
      <c r="A200" s="4">
        <v>14</v>
      </c>
      <c r="B200" s="4">
        <v>14708</v>
      </c>
      <c r="C200" s="39" t="s">
        <v>70</v>
      </c>
      <c r="D200" s="6" t="s">
        <v>71</v>
      </c>
      <c r="E200" s="7" t="s">
        <v>7</v>
      </c>
      <c r="G200" t="s">
        <v>798</v>
      </c>
    </row>
    <row r="201" spans="1:7" ht="15.75" x14ac:dyDescent="0.25">
      <c r="A201" s="4">
        <v>10</v>
      </c>
      <c r="B201" s="4">
        <v>14711</v>
      </c>
      <c r="C201" s="39" t="s">
        <v>491</v>
      </c>
      <c r="D201" s="6" t="s">
        <v>492</v>
      </c>
      <c r="E201" s="7" t="s">
        <v>7</v>
      </c>
      <c r="G201" t="s">
        <v>798</v>
      </c>
    </row>
    <row r="202" spans="1:7" ht="15.75" x14ac:dyDescent="0.25">
      <c r="A202" s="4">
        <v>16</v>
      </c>
      <c r="B202" s="4">
        <v>14715</v>
      </c>
      <c r="C202" s="39" t="s">
        <v>218</v>
      </c>
      <c r="D202" s="6" t="s">
        <v>219</v>
      </c>
      <c r="E202" s="7" t="s">
        <v>8</v>
      </c>
      <c r="G202" t="s">
        <v>798</v>
      </c>
    </row>
    <row r="203" spans="1:7" ht="15.75" x14ac:dyDescent="0.25">
      <c r="A203" s="4">
        <v>14</v>
      </c>
      <c r="B203" s="4">
        <v>14741</v>
      </c>
      <c r="C203" s="39" t="s">
        <v>647</v>
      </c>
      <c r="D203" s="6" t="s">
        <v>648</v>
      </c>
      <c r="E203" s="7" t="s">
        <v>7</v>
      </c>
      <c r="G203" t="s">
        <v>798</v>
      </c>
    </row>
    <row r="204" spans="1:7" ht="15.75" x14ac:dyDescent="0.25">
      <c r="A204" s="4">
        <v>10</v>
      </c>
      <c r="B204" s="4">
        <v>14745</v>
      </c>
      <c r="C204" s="39" t="s">
        <v>529</v>
      </c>
      <c r="D204" s="6" t="s">
        <v>530</v>
      </c>
      <c r="E204" s="24" t="s">
        <v>7</v>
      </c>
      <c r="G204" t="s">
        <v>798</v>
      </c>
    </row>
    <row r="205" spans="1:7" ht="15.75" x14ac:dyDescent="0.25">
      <c r="A205" s="4">
        <v>14</v>
      </c>
      <c r="B205" s="4">
        <v>14788</v>
      </c>
      <c r="C205" s="39" t="s">
        <v>332</v>
      </c>
      <c r="D205" s="6" t="s">
        <v>333</v>
      </c>
      <c r="E205" s="24" t="s">
        <v>8</v>
      </c>
      <c r="G205" t="s">
        <v>798</v>
      </c>
    </row>
    <row r="206" spans="1:7" ht="15.75" x14ac:dyDescent="0.25">
      <c r="A206" s="4">
        <v>23</v>
      </c>
      <c r="B206" s="4">
        <v>14797</v>
      </c>
      <c r="C206" s="39" t="s">
        <v>462</v>
      </c>
      <c r="D206" s="6" t="s">
        <v>463</v>
      </c>
      <c r="E206" s="7" t="s">
        <v>8</v>
      </c>
      <c r="G206" t="s">
        <v>798</v>
      </c>
    </row>
    <row r="207" spans="1:7" ht="15.75" x14ac:dyDescent="0.25">
      <c r="A207" s="4">
        <v>23</v>
      </c>
      <c r="B207" s="4">
        <v>14800</v>
      </c>
      <c r="C207" s="39" t="s">
        <v>551</v>
      </c>
      <c r="D207" s="6" t="s">
        <v>552</v>
      </c>
      <c r="E207" s="7" t="s">
        <v>8</v>
      </c>
      <c r="G207" t="s">
        <v>798</v>
      </c>
    </row>
    <row r="208" spans="1:7" ht="15.75" x14ac:dyDescent="0.25">
      <c r="A208" s="4">
        <v>24</v>
      </c>
      <c r="B208" s="4">
        <v>14815</v>
      </c>
      <c r="C208" s="39" t="s">
        <v>68</v>
      </c>
      <c r="D208" s="6" t="s">
        <v>753</v>
      </c>
      <c r="E208" s="7" t="s">
        <v>8</v>
      </c>
      <c r="G208" t="s">
        <v>798</v>
      </c>
    </row>
    <row r="209" spans="1:7" ht="15.75" x14ac:dyDescent="0.25">
      <c r="A209" s="4">
        <v>20</v>
      </c>
      <c r="B209" s="4">
        <v>14819</v>
      </c>
      <c r="C209" s="39" t="s">
        <v>351</v>
      </c>
      <c r="D209" s="6" t="s">
        <v>754</v>
      </c>
      <c r="E209" s="7" t="s">
        <v>8</v>
      </c>
      <c r="G209" t="s">
        <v>798</v>
      </c>
    </row>
    <row r="210" spans="1:7" ht="15.75" x14ac:dyDescent="0.25">
      <c r="A210" s="4">
        <v>36</v>
      </c>
      <c r="B210" s="4">
        <v>14944</v>
      </c>
      <c r="C210" s="39" t="s">
        <v>578</v>
      </c>
      <c r="D210" s="6" t="s">
        <v>579</v>
      </c>
      <c r="E210" s="7" t="s">
        <v>7</v>
      </c>
      <c r="G210" t="s">
        <v>798</v>
      </c>
    </row>
    <row r="211" spans="1:7" ht="15.75" x14ac:dyDescent="0.25">
      <c r="A211" s="4">
        <v>22</v>
      </c>
      <c r="B211" s="4">
        <v>14837</v>
      </c>
      <c r="C211" s="39" t="s">
        <v>87</v>
      </c>
      <c r="D211" s="6" t="s">
        <v>88</v>
      </c>
      <c r="E211" s="7" t="s">
        <v>7</v>
      </c>
      <c r="G211" t="s">
        <v>798</v>
      </c>
    </row>
    <row r="212" spans="1:7" ht="15.75" x14ac:dyDescent="0.25">
      <c r="A212" s="4">
        <v>29</v>
      </c>
      <c r="B212" s="4">
        <v>14842</v>
      </c>
      <c r="C212" s="39" t="s">
        <v>772</v>
      </c>
      <c r="D212" s="6" t="s">
        <v>331</v>
      </c>
      <c r="E212" s="7" t="s">
        <v>8</v>
      </c>
      <c r="G212" t="s">
        <v>798</v>
      </c>
    </row>
    <row r="213" spans="1:7" ht="15.75" x14ac:dyDescent="0.25">
      <c r="A213" s="4">
        <v>23</v>
      </c>
      <c r="B213" s="4">
        <v>14846</v>
      </c>
      <c r="C213" s="39" t="s">
        <v>186</v>
      </c>
      <c r="D213" s="6" t="s">
        <v>751</v>
      </c>
      <c r="E213" s="7" t="s">
        <v>7</v>
      </c>
      <c r="G213" t="s">
        <v>798</v>
      </c>
    </row>
    <row r="214" spans="1:7" ht="15.75" x14ac:dyDescent="0.25">
      <c r="A214" s="4">
        <v>28</v>
      </c>
      <c r="B214" s="4">
        <v>14859</v>
      </c>
      <c r="C214" s="39" t="s">
        <v>655</v>
      </c>
      <c r="D214" s="6" t="s">
        <v>656</v>
      </c>
      <c r="E214" s="7" t="s">
        <v>7</v>
      </c>
      <c r="G214" t="s">
        <v>798</v>
      </c>
    </row>
    <row r="215" spans="1:7" ht="15.75" x14ac:dyDescent="0.25">
      <c r="A215" s="4">
        <v>29</v>
      </c>
      <c r="B215" s="4">
        <v>14873</v>
      </c>
      <c r="C215" s="39" t="s">
        <v>363</v>
      </c>
      <c r="D215" s="6" t="s">
        <v>788</v>
      </c>
      <c r="E215" s="7" t="s">
        <v>8</v>
      </c>
      <c r="G215" t="s">
        <v>798</v>
      </c>
    </row>
    <row r="216" spans="1:7" ht="15.75" x14ac:dyDescent="0.25">
      <c r="A216" s="4">
        <v>29</v>
      </c>
      <c r="B216" s="4">
        <v>14878</v>
      </c>
      <c r="C216" s="40" t="s">
        <v>831</v>
      </c>
      <c r="D216" s="6" t="s">
        <v>146</v>
      </c>
      <c r="E216" s="7" t="s">
        <v>8</v>
      </c>
      <c r="G216" t="s">
        <v>798</v>
      </c>
    </row>
    <row r="217" spans="1:7" ht="15.75" x14ac:dyDescent="0.25">
      <c r="A217" s="4">
        <v>26</v>
      </c>
      <c r="B217" s="4">
        <v>14880</v>
      </c>
      <c r="C217" s="39" t="s">
        <v>493</v>
      </c>
      <c r="D217" s="6" t="s">
        <v>494</v>
      </c>
      <c r="E217" s="24" t="s">
        <v>7</v>
      </c>
      <c r="G217" t="s">
        <v>798</v>
      </c>
    </row>
    <row r="218" spans="1:7" ht="15.75" x14ac:dyDescent="0.25">
      <c r="A218" s="4">
        <v>32</v>
      </c>
      <c r="B218" s="4">
        <v>14892</v>
      </c>
      <c r="C218" s="39" t="s">
        <v>481</v>
      </c>
      <c r="D218" s="6" t="s">
        <v>482</v>
      </c>
      <c r="E218" s="7" t="s">
        <v>7</v>
      </c>
      <c r="G218" t="s">
        <v>798</v>
      </c>
    </row>
    <row r="219" spans="1:7" ht="15.75" x14ac:dyDescent="0.25">
      <c r="A219" s="4">
        <v>34</v>
      </c>
      <c r="B219" s="4">
        <v>14918</v>
      </c>
      <c r="C219" s="39" t="s">
        <v>190</v>
      </c>
      <c r="D219" s="6" t="s">
        <v>191</v>
      </c>
      <c r="E219" s="7" t="s">
        <v>7</v>
      </c>
      <c r="G219" t="s">
        <v>798</v>
      </c>
    </row>
    <row r="220" spans="1:7" ht="15.75" x14ac:dyDescent="0.25">
      <c r="A220" s="4">
        <v>33</v>
      </c>
      <c r="B220" s="4">
        <v>14922</v>
      </c>
      <c r="C220" s="39" t="s">
        <v>289</v>
      </c>
      <c r="D220" s="6" t="s">
        <v>290</v>
      </c>
      <c r="E220" s="7" t="s">
        <v>7</v>
      </c>
      <c r="G220" t="s">
        <v>798</v>
      </c>
    </row>
    <row r="221" spans="1:7" ht="15.75" x14ac:dyDescent="0.25">
      <c r="A221" s="4">
        <v>34</v>
      </c>
      <c r="B221" s="4">
        <v>14924</v>
      </c>
      <c r="C221" s="39" t="s">
        <v>147</v>
      </c>
      <c r="D221" s="6" t="s">
        <v>9</v>
      </c>
      <c r="E221" s="24" t="s">
        <v>7</v>
      </c>
      <c r="G221" t="s">
        <v>798</v>
      </c>
    </row>
    <row r="222" spans="1:7" ht="15.75" x14ac:dyDescent="0.25">
      <c r="A222" s="4">
        <v>3</v>
      </c>
      <c r="B222" s="4">
        <v>14623</v>
      </c>
      <c r="C222" s="40" t="s">
        <v>531</v>
      </c>
      <c r="D222" s="6" t="s">
        <v>532</v>
      </c>
      <c r="E222" s="7" t="s">
        <v>7</v>
      </c>
      <c r="G222" t="s">
        <v>798</v>
      </c>
    </row>
    <row r="223" spans="1:7" ht="15.75" x14ac:dyDescent="0.25">
      <c r="A223" s="4">
        <v>3</v>
      </c>
      <c r="B223" s="4">
        <v>14592</v>
      </c>
      <c r="C223" s="40" t="s">
        <v>487</v>
      </c>
      <c r="D223" s="6" t="s">
        <v>488</v>
      </c>
      <c r="E223" s="7" t="s">
        <v>8</v>
      </c>
      <c r="G223" t="s">
        <v>799</v>
      </c>
    </row>
    <row r="224" spans="1:7" ht="15.75" x14ac:dyDescent="0.25">
      <c r="A224" s="4">
        <v>3</v>
      </c>
      <c r="B224" s="4">
        <v>14598</v>
      </c>
      <c r="C224" s="40" t="s">
        <v>519</v>
      </c>
      <c r="D224" s="6" t="s">
        <v>520</v>
      </c>
      <c r="E224" s="7" t="s">
        <v>7</v>
      </c>
      <c r="G224" t="s">
        <v>799</v>
      </c>
    </row>
    <row r="225" spans="1:7" ht="15.75" x14ac:dyDescent="0.25">
      <c r="A225" s="4">
        <v>4</v>
      </c>
      <c r="B225" s="4">
        <v>14599</v>
      </c>
      <c r="C225" s="39" t="s">
        <v>374</v>
      </c>
      <c r="D225" s="6" t="s">
        <v>375</v>
      </c>
      <c r="E225" s="7" t="s">
        <v>7</v>
      </c>
      <c r="G225" t="s">
        <v>799</v>
      </c>
    </row>
    <row r="226" spans="1:7" ht="15.75" x14ac:dyDescent="0.25">
      <c r="A226" s="4">
        <v>2</v>
      </c>
      <c r="B226" s="4">
        <v>14604</v>
      </c>
      <c r="C226" s="39" t="s">
        <v>202</v>
      </c>
      <c r="D226" s="6" t="s">
        <v>203</v>
      </c>
      <c r="E226" s="7" t="s">
        <v>8</v>
      </c>
      <c r="G226" t="s">
        <v>799</v>
      </c>
    </row>
    <row r="227" spans="1:7" ht="15.75" x14ac:dyDescent="0.25">
      <c r="A227" s="4">
        <v>2</v>
      </c>
      <c r="B227" s="4">
        <v>14607</v>
      </c>
      <c r="C227" s="39" t="s">
        <v>285</v>
      </c>
      <c r="D227" s="6" t="s">
        <v>733</v>
      </c>
      <c r="E227" s="7" t="s">
        <v>8</v>
      </c>
      <c r="G227" t="s">
        <v>799</v>
      </c>
    </row>
    <row r="228" spans="1:7" ht="15.75" x14ac:dyDescent="0.25">
      <c r="A228" s="4">
        <v>4</v>
      </c>
      <c r="B228" s="4">
        <v>14615</v>
      </c>
      <c r="C228" s="39" t="s">
        <v>334</v>
      </c>
      <c r="D228" s="6" t="s">
        <v>786</v>
      </c>
      <c r="E228" s="7" t="s">
        <v>8</v>
      </c>
      <c r="G228" t="s">
        <v>799</v>
      </c>
    </row>
    <row r="229" spans="1:7" ht="15.75" x14ac:dyDescent="0.25">
      <c r="A229" s="4">
        <v>7</v>
      </c>
      <c r="B229" s="32">
        <v>14619</v>
      </c>
      <c r="C229" s="39" t="s">
        <v>606</v>
      </c>
      <c r="D229" s="6" t="s">
        <v>607</v>
      </c>
      <c r="E229" s="7" t="s">
        <v>8</v>
      </c>
      <c r="G229" t="s">
        <v>799</v>
      </c>
    </row>
    <row r="230" spans="1:7" ht="15.75" x14ac:dyDescent="0.25">
      <c r="A230" s="4">
        <v>8</v>
      </c>
      <c r="B230" s="32">
        <v>14621</v>
      </c>
      <c r="C230" s="39" t="s">
        <v>681</v>
      </c>
      <c r="D230" s="6" t="s">
        <v>682</v>
      </c>
      <c r="E230" s="7" t="s">
        <v>7</v>
      </c>
      <c r="G230" t="s">
        <v>799</v>
      </c>
    </row>
    <row r="231" spans="1:7" ht="15.75" x14ac:dyDescent="0.25">
      <c r="A231" s="4">
        <v>7</v>
      </c>
      <c r="B231" s="4">
        <v>14648</v>
      </c>
      <c r="C231" s="39" t="s">
        <v>376</v>
      </c>
      <c r="D231" s="6" t="s">
        <v>377</v>
      </c>
      <c r="E231" s="7" t="s">
        <v>7</v>
      </c>
      <c r="G231" t="s">
        <v>799</v>
      </c>
    </row>
    <row r="232" spans="1:7" ht="15.75" x14ac:dyDescent="0.25">
      <c r="A232" s="4">
        <v>7</v>
      </c>
      <c r="B232" s="4">
        <v>14650</v>
      </c>
      <c r="C232" s="39" t="s">
        <v>276</v>
      </c>
      <c r="D232" s="6" t="s">
        <v>277</v>
      </c>
      <c r="E232" s="7" t="s">
        <v>8</v>
      </c>
      <c r="G232" t="s">
        <v>799</v>
      </c>
    </row>
    <row r="233" spans="1:7" ht="15.75" x14ac:dyDescent="0.25">
      <c r="A233" s="4">
        <v>9</v>
      </c>
      <c r="B233" s="4">
        <v>14658</v>
      </c>
      <c r="C233" s="39" t="s">
        <v>232</v>
      </c>
      <c r="D233" s="6" t="s">
        <v>233</v>
      </c>
      <c r="E233" s="7" t="s">
        <v>8</v>
      </c>
      <c r="G233" t="s">
        <v>799</v>
      </c>
    </row>
    <row r="234" spans="1:7" ht="15.75" x14ac:dyDescent="0.25">
      <c r="A234" s="4">
        <v>12</v>
      </c>
      <c r="B234" s="4">
        <v>14666</v>
      </c>
      <c r="C234" s="39" t="s">
        <v>344</v>
      </c>
      <c r="D234" s="6" t="s">
        <v>345</v>
      </c>
      <c r="E234" s="7" t="s">
        <v>7</v>
      </c>
      <c r="G234" t="s">
        <v>799</v>
      </c>
    </row>
    <row r="235" spans="1:7" ht="15.75" x14ac:dyDescent="0.25">
      <c r="A235" s="4">
        <v>13</v>
      </c>
      <c r="B235" s="4">
        <v>14667</v>
      </c>
      <c r="C235" s="39" t="s">
        <v>262</v>
      </c>
      <c r="D235" s="6" t="s">
        <v>263</v>
      </c>
      <c r="E235" s="7" t="s">
        <v>7</v>
      </c>
      <c r="G235" t="s">
        <v>799</v>
      </c>
    </row>
    <row r="236" spans="1:7" ht="15.75" x14ac:dyDescent="0.25">
      <c r="A236" s="4">
        <v>16</v>
      </c>
      <c r="B236" s="4">
        <v>14725</v>
      </c>
      <c r="C236" s="39" t="s">
        <v>34</v>
      </c>
      <c r="D236" s="6" t="s">
        <v>35</v>
      </c>
      <c r="E236" s="7" t="s">
        <v>7</v>
      </c>
      <c r="G236" t="s">
        <v>799</v>
      </c>
    </row>
    <row r="237" spans="1:7" ht="15.75" x14ac:dyDescent="0.25">
      <c r="A237" s="4">
        <v>14</v>
      </c>
      <c r="B237" s="4">
        <v>14738</v>
      </c>
      <c r="C237" s="39" t="s">
        <v>503</v>
      </c>
      <c r="D237" s="6" t="s">
        <v>504</v>
      </c>
      <c r="E237" s="7" t="s">
        <v>7</v>
      </c>
      <c r="G237" t="s">
        <v>799</v>
      </c>
    </row>
    <row r="238" spans="1:7" ht="15.75" x14ac:dyDescent="0.25">
      <c r="A238" s="4">
        <v>17</v>
      </c>
      <c r="B238" s="4">
        <v>14748</v>
      </c>
      <c r="C238" s="39" t="s">
        <v>222</v>
      </c>
      <c r="D238" s="6" t="s">
        <v>223</v>
      </c>
      <c r="E238" s="7" t="s">
        <v>7</v>
      </c>
      <c r="G238" t="s">
        <v>799</v>
      </c>
    </row>
    <row r="239" spans="1:7" ht="15.75" x14ac:dyDescent="0.25">
      <c r="A239" s="4">
        <v>18</v>
      </c>
      <c r="B239" s="4">
        <v>14766</v>
      </c>
      <c r="C239" s="39" t="s">
        <v>240</v>
      </c>
      <c r="D239" s="6" t="s">
        <v>241</v>
      </c>
      <c r="E239" s="7" t="s">
        <v>7</v>
      </c>
      <c r="G239" t="s">
        <v>799</v>
      </c>
    </row>
    <row r="240" spans="1:7" ht="15.75" x14ac:dyDescent="0.25">
      <c r="A240" s="4">
        <v>17</v>
      </c>
      <c r="B240" s="4">
        <v>14773</v>
      </c>
      <c r="C240" s="39" t="s">
        <v>91</v>
      </c>
      <c r="D240" s="6" t="s">
        <v>92</v>
      </c>
      <c r="E240" s="7" t="s">
        <v>7</v>
      </c>
      <c r="G240" t="s">
        <v>799</v>
      </c>
    </row>
    <row r="241" spans="1:7" ht="15.75" x14ac:dyDescent="0.25">
      <c r="A241" s="4">
        <v>23</v>
      </c>
      <c r="B241" s="4">
        <v>14786</v>
      </c>
      <c r="C241" s="39" t="s">
        <v>434</v>
      </c>
      <c r="D241" s="6" t="s">
        <v>435</v>
      </c>
      <c r="E241" s="7" t="s">
        <v>8</v>
      </c>
      <c r="G241" t="s">
        <v>799</v>
      </c>
    </row>
    <row r="242" spans="1:7" ht="15.75" x14ac:dyDescent="0.25">
      <c r="A242" s="4">
        <v>17</v>
      </c>
      <c r="B242" s="4">
        <v>14810</v>
      </c>
      <c r="C242" s="39" t="s">
        <v>398</v>
      </c>
      <c r="D242" s="6" t="s">
        <v>399</v>
      </c>
      <c r="E242" s="24" t="s">
        <v>8</v>
      </c>
      <c r="G242" t="s">
        <v>799</v>
      </c>
    </row>
    <row r="243" spans="1:7" ht="15.75" x14ac:dyDescent="0.25">
      <c r="A243" s="4">
        <v>25</v>
      </c>
      <c r="B243" s="4">
        <v>14811</v>
      </c>
      <c r="C243" s="39" t="s">
        <v>460</v>
      </c>
      <c r="D243" s="5" t="s">
        <v>461</v>
      </c>
      <c r="E243" s="7" t="s">
        <v>8</v>
      </c>
      <c r="G243" t="s">
        <v>799</v>
      </c>
    </row>
    <row r="244" spans="1:7" ht="15.75" x14ac:dyDescent="0.25">
      <c r="A244" s="4">
        <v>23</v>
      </c>
      <c r="B244" s="4">
        <v>14812</v>
      </c>
      <c r="C244" s="39" t="s">
        <v>115</v>
      </c>
      <c r="D244" s="5" t="s">
        <v>116</v>
      </c>
      <c r="E244" s="7" t="s">
        <v>8</v>
      </c>
      <c r="G244" t="s">
        <v>799</v>
      </c>
    </row>
    <row r="245" spans="1:7" ht="15.75" x14ac:dyDescent="0.25">
      <c r="A245" s="4">
        <v>19</v>
      </c>
      <c r="B245" s="4">
        <v>14814</v>
      </c>
      <c r="C245" s="39" t="s">
        <v>342</v>
      </c>
      <c r="D245" s="5" t="s">
        <v>343</v>
      </c>
      <c r="E245" s="7" t="s">
        <v>8</v>
      </c>
      <c r="G245" t="s">
        <v>799</v>
      </c>
    </row>
    <row r="246" spans="1:7" ht="15.75" x14ac:dyDescent="0.25">
      <c r="A246" s="4">
        <v>24</v>
      </c>
      <c r="B246" s="4">
        <v>14816</v>
      </c>
      <c r="C246" s="39" t="s">
        <v>675</v>
      </c>
      <c r="D246" s="6" t="s">
        <v>676</v>
      </c>
      <c r="E246" s="7" t="s">
        <v>8</v>
      </c>
      <c r="G246" t="s">
        <v>799</v>
      </c>
    </row>
    <row r="247" spans="1:7" ht="15.75" x14ac:dyDescent="0.25">
      <c r="A247" s="4">
        <v>35</v>
      </c>
      <c r="B247" s="4">
        <v>14935</v>
      </c>
      <c r="C247" s="39" t="s">
        <v>268</v>
      </c>
      <c r="D247" s="6" t="s">
        <v>269</v>
      </c>
      <c r="E247" s="7" t="s">
        <v>7</v>
      </c>
      <c r="G247" t="s">
        <v>799</v>
      </c>
    </row>
    <row r="248" spans="1:7" ht="15.75" x14ac:dyDescent="0.25">
      <c r="A248" s="4">
        <v>1</v>
      </c>
      <c r="B248" s="4">
        <v>14617</v>
      </c>
      <c r="C248" s="39" t="s">
        <v>230</v>
      </c>
      <c r="D248" s="6" t="s">
        <v>758</v>
      </c>
      <c r="E248" s="7" t="s">
        <v>8</v>
      </c>
      <c r="G248" t="s">
        <v>799</v>
      </c>
    </row>
    <row r="249" spans="1:7" ht="15.75" x14ac:dyDescent="0.25">
      <c r="A249" s="4">
        <v>5</v>
      </c>
      <c r="B249" s="4">
        <v>14636</v>
      </c>
      <c r="C249" s="39" t="s">
        <v>224</v>
      </c>
      <c r="D249" s="23" t="s">
        <v>225</v>
      </c>
      <c r="E249" s="7" t="s">
        <v>7</v>
      </c>
      <c r="G249" t="s">
        <v>799</v>
      </c>
    </row>
    <row r="250" spans="1:7" ht="15.75" x14ac:dyDescent="0.25">
      <c r="A250" s="4">
        <v>26</v>
      </c>
      <c r="B250" s="4">
        <v>14844</v>
      </c>
      <c r="C250" s="39" t="s">
        <v>446</v>
      </c>
      <c r="D250" s="5" t="s">
        <v>447</v>
      </c>
      <c r="E250" s="7" t="s">
        <v>7</v>
      </c>
      <c r="G250" t="s">
        <v>799</v>
      </c>
    </row>
    <row r="251" spans="1:7" ht="15.75" x14ac:dyDescent="0.25">
      <c r="A251" s="4">
        <v>30</v>
      </c>
      <c r="B251" s="4">
        <v>14845</v>
      </c>
      <c r="C251" s="39" t="s">
        <v>210</v>
      </c>
      <c r="D251" s="6" t="s">
        <v>785</v>
      </c>
      <c r="E251" s="7" t="s">
        <v>8</v>
      </c>
      <c r="G251" t="s">
        <v>799</v>
      </c>
    </row>
    <row r="252" spans="1:7" ht="15.75" x14ac:dyDescent="0.25">
      <c r="A252" s="4">
        <v>27</v>
      </c>
      <c r="B252" s="4">
        <v>14856</v>
      </c>
      <c r="C252" s="39" t="s">
        <v>549</v>
      </c>
      <c r="D252" s="6" t="s">
        <v>550</v>
      </c>
      <c r="E252" s="7" t="s">
        <v>8</v>
      </c>
      <c r="G252" t="s">
        <v>799</v>
      </c>
    </row>
    <row r="253" spans="1:7" ht="15.75" x14ac:dyDescent="0.25">
      <c r="A253" s="4">
        <v>28</v>
      </c>
      <c r="B253" s="4">
        <v>14860</v>
      </c>
      <c r="C253" s="39" t="s">
        <v>32</v>
      </c>
      <c r="D253" s="6" t="s">
        <v>33</v>
      </c>
      <c r="E253" s="7" t="s">
        <v>7</v>
      </c>
      <c r="G253" t="s">
        <v>799</v>
      </c>
    </row>
    <row r="254" spans="1:7" x14ac:dyDescent="0.25">
      <c r="A254" s="4">
        <v>30</v>
      </c>
      <c r="B254" s="4">
        <v>14902</v>
      </c>
      <c r="C254" s="39" t="s">
        <v>329</v>
      </c>
      <c r="D254" s="5" t="s">
        <v>330</v>
      </c>
      <c r="E254" s="24" t="s">
        <v>7</v>
      </c>
      <c r="G254" t="s">
        <v>799</v>
      </c>
    </row>
    <row r="255" spans="1:7" ht="15.75" x14ac:dyDescent="0.25">
      <c r="A255" s="4">
        <v>31</v>
      </c>
      <c r="B255" s="4">
        <v>14913</v>
      </c>
      <c r="C255" s="39" t="s">
        <v>402</v>
      </c>
      <c r="D255" s="5" t="s">
        <v>403</v>
      </c>
      <c r="E255" s="7" t="s">
        <v>8</v>
      </c>
      <c r="G255" t="s">
        <v>799</v>
      </c>
    </row>
    <row r="256" spans="1:7" ht="15.75" x14ac:dyDescent="0.25">
      <c r="A256" s="4">
        <v>34</v>
      </c>
      <c r="B256" s="4">
        <v>14929</v>
      </c>
      <c r="C256" s="39" t="s">
        <v>238</v>
      </c>
      <c r="D256" s="6" t="s">
        <v>239</v>
      </c>
      <c r="E256" s="7" t="s">
        <v>8</v>
      </c>
      <c r="G256" t="s">
        <v>799</v>
      </c>
    </row>
    <row r="257" spans="1:7" ht="15.75" x14ac:dyDescent="0.25">
      <c r="A257" s="4">
        <v>25</v>
      </c>
      <c r="B257" s="4">
        <v>14857</v>
      </c>
      <c r="C257" s="39" t="s">
        <v>131</v>
      </c>
      <c r="D257" s="6" t="s">
        <v>132</v>
      </c>
      <c r="E257" s="7" t="s">
        <v>7</v>
      </c>
      <c r="G257" t="s">
        <v>799</v>
      </c>
    </row>
    <row r="258" spans="1:7" ht="15.75" x14ac:dyDescent="0.25">
      <c r="A258" s="4">
        <v>37</v>
      </c>
      <c r="B258" s="8">
        <v>14949</v>
      </c>
      <c r="C258" s="41" t="s">
        <v>804</v>
      </c>
      <c r="D258" s="8" t="s">
        <v>807</v>
      </c>
      <c r="E258" s="7" t="s">
        <v>8</v>
      </c>
      <c r="G258" t="s">
        <v>800</v>
      </c>
    </row>
    <row r="259" spans="1:7" ht="15.75" x14ac:dyDescent="0.25">
      <c r="A259" s="4">
        <v>6</v>
      </c>
      <c r="B259" s="32">
        <v>14616</v>
      </c>
      <c r="C259" s="39" t="s">
        <v>511</v>
      </c>
      <c r="D259" s="6" t="s">
        <v>512</v>
      </c>
      <c r="E259" s="7" t="s">
        <v>8</v>
      </c>
      <c r="G259" t="s">
        <v>800</v>
      </c>
    </row>
    <row r="260" spans="1:7" ht="15.75" x14ac:dyDescent="0.25">
      <c r="A260" s="4">
        <v>6</v>
      </c>
      <c r="B260" s="4">
        <v>14625</v>
      </c>
      <c r="C260" s="39" t="s">
        <v>36</v>
      </c>
      <c r="D260" s="6" t="s">
        <v>37</v>
      </c>
      <c r="E260" s="35" t="s">
        <v>7</v>
      </c>
      <c r="G260" t="s">
        <v>800</v>
      </c>
    </row>
    <row r="261" spans="1:7" ht="15.75" x14ac:dyDescent="0.25">
      <c r="A261" s="34">
        <v>4</v>
      </c>
      <c r="B261" s="4">
        <v>14626</v>
      </c>
      <c r="C261" s="39" t="s">
        <v>246</v>
      </c>
      <c r="D261" s="6" t="s">
        <v>247</v>
      </c>
      <c r="E261" s="37" t="s">
        <v>7</v>
      </c>
      <c r="G261" t="s">
        <v>800</v>
      </c>
    </row>
    <row r="262" spans="1:7" ht="15.75" x14ac:dyDescent="0.25">
      <c r="A262" s="4">
        <v>5</v>
      </c>
      <c r="B262" s="4">
        <v>14630</v>
      </c>
      <c r="C262" s="39" t="s">
        <v>418</v>
      </c>
      <c r="D262" s="6" t="s">
        <v>419</v>
      </c>
      <c r="E262" s="7" t="s">
        <v>7</v>
      </c>
      <c r="G262" t="s">
        <v>800</v>
      </c>
    </row>
    <row r="263" spans="1:7" ht="15.75" x14ac:dyDescent="0.25">
      <c r="A263" s="4">
        <v>6</v>
      </c>
      <c r="B263" s="4">
        <v>14639</v>
      </c>
      <c r="C263" s="39" t="s">
        <v>456</v>
      </c>
      <c r="D263" s="6" t="s">
        <v>457</v>
      </c>
      <c r="E263" s="7" t="s">
        <v>8</v>
      </c>
      <c r="G263" t="s">
        <v>800</v>
      </c>
    </row>
    <row r="264" spans="1:7" ht="15.75" x14ac:dyDescent="0.25">
      <c r="A264" s="4">
        <v>12</v>
      </c>
      <c r="B264" s="4">
        <v>14655</v>
      </c>
      <c r="C264" s="39" t="s">
        <v>663</v>
      </c>
      <c r="D264" s="5" t="s">
        <v>664</v>
      </c>
      <c r="E264" s="7" t="s">
        <v>7</v>
      </c>
      <c r="G264" t="s">
        <v>800</v>
      </c>
    </row>
    <row r="265" spans="1:7" ht="15.75" x14ac:dyDescent="0.25">
      <c r="A265" s="4">
        <v>7</v>
      </c>
      <c r="B265" s="4">
        <v>14687</v>
      </c>
      <c r="C265" s="39" t="s">
        <v>671</v>
      </c>
      <c r="D265" s="6" t="s">
        <v>672</v>
      </c>
      <c r="E265" s="7" t="s">
        <v>8</v>
      </c>
      <c r="G265" t="s">
        <v>800</v>
      </c>
    </row>
    <row r="266" spans="1:7" ht="15.75" x14ac:dyDescent="0.25">
      <c r="A266" s="4">
        <v>8</v>
      </c>
      <c r="B266" s="4">
        <v>14699</v>
      </c>
      <c r="C266" s="39" t="s">
        <v>436</v>
      </c>
      <c r="D266" s="6" t="s">
        <v>437</v>
      </c>
      <c r="E266" s="7" t="s">
        <v>7</v>
      </c>
      <c r="G266" t="s">
        <v>800</v>
      </c>
    </row>
    <row r="267" spans="1:7" ht="15.75" x14ac:dyDescent="0.25">
      <c r="A267" s="4">
        <v>11</v>
      </c>
      <c r="B267" s="4">
        <v>14720</v>
      </c>
      <c r="C267" s="39" t="s">
        <v>596</v>
      </c>
      <c r="D267" s="6" t="s">
        <v>597</v>
      </c>
      <c r="E267" s="7" t="s">
        <v>8</v>
      </c>
      <c r="G267" t="s">
        <v>800</v>
      </c>
    </row>
    <row r="268" spans="1:7" ht="15.75" x14ac:dyDescent="0.25">
      <c r="A268" s="4">
        <v>18</v>
      </c>
      <c r="B268" s="4">
        <v>14727</v>
      </c>
      <c r="C268" s="39" t="s">
        <v>103</v>
      </c>
      <c r="D268" s="6" t="s">
        <v>104</v>
      </c>
      <c r="E268" s="7" t="s">
        <v>8</v>
      </c>
      <c r="G268" t="s">
        <v>800</v>
      </c>
    </row>
    <row r="269" spans="1:7" ht="15.75" x14ac:dyDescent="0.25">
      <c r="A269" s="4">
        <v>15</v>
      </c>
      <c r="B269" s="4">
        <v>14744</v>
      </c>
      <c r="C269" s="39" t="s">
        <v>712</v>
      </c>
      <c r="D269" s="6" t="s">
        <v>713</v>
      </c>
      <c r="E269" s="7" t="s">
        <v>8</v>
      </c>
      <c r="G269" t="s">
        <v>800</v>
      </c>
    </row>
    <row r="270" spans="1:7" ht="15.75" x14ac:dyDescent="0.25">
      <c r="A270" s="4">
        <v>19</v>
      </c>
      <c r="B270" s="4">
        <v>14761</v>
      </c>
      <c r="C270" s="39" t="s">
        <v>384</v>
      </c>
      <c r="D270" s="6" t="s">
        <v>385</v>
      </c>
      <c r="E270" s="7" t="s">
        <v>8</v>
      </c>
      <c r="G270" t="s">
        <v>800</v>
      </c>
    </row>
    <row r="271" spans="1:7" ht="15.75" x14ac:dyDescent="0.25">
      <c r="A271" s="4">
        <v>22</v>
      </c>
      <c r="B271" s="32">
        <v>14768</v>
      </c>
      <c r="C271" s="39" t="s">
        <v>679</v>
      </c>
      <c r="D271" s="6" t="s">
        <v>680</v>
      </c>
      <c r="E271" s="7" t="s">
        <v>8</v>
      </c>
      <c r="G271" t="s">
        <v>800</v>
      </c>
    </row>
    <row r="272" spans="1:7" ht="15.75" x14ac:dyDescent="0.25">
      <c r="A272" s="4">
        <v>22</v>
      </c>
      <c r="B272" s="4">
        <v>14778</v>
      </c>
      <c r="C272" s="39" t="s">
        <v>616</v>
      </c>
      <c r="D272" s="6" t="s">
        <v>617</v>
      </c>
      <c r="E272" s="7" t="s">
        <v>8</v>
      </c>
      <c r="G272" t="s">
        <v>800</v>
      </c>
    </row>
    <row r="273" spans="1:7" ht="15.75" x14ac:dyDescent="0.25">
      <c r="A273" s="4">
        <v>21</v>
      </c>
      <c r="B273" s="4">
        <v>14779</v>
      </c>
      <c r="C273" s="39" t="s">
        <v>479</v>
      </c>
      <c r="D273" s="6" t="s">
        <v>480</v>
      </c>
      <c r="E273" s="7" t="s">
        <v>8</v>
      </c>
      <c r="G273" t="s">
        <v>800</v>
      </c>
    </row>
    <row r="274" spans="1:7" ht="15.75" x14ac:dyDescent="0.25">
      <c r="A274" s="4">
        <v>15</v>
      </c>
      <c r="B274" s="4">
        <v>14791</v>
      </c>
      <c r="C274" s="39" t="s">
        <v>287</v>
      </c>
      <c r="D274" s="6" t="s">
        <v>288</v>
      </c>
      <c r="E274" s="24" t="s">
        <v>8</v>
      </c>
      <c r="G274" t="s">
        <v>800</v>
      </c>
    </row>
    <row r="275" spans="1:7" ht="15.75" x14ac:dyDescent="0.25">
      <c r="A275" s="4">
        <v>21</v>
      </c>
      <c r="B275" s="4">
        <v>14785</v>
      </c>
      <c r="C275" s="39" t="s">
        <v>626</v>
      </c>
      <c r="D275" s="6" t="s">
        <v>787</v>
      </c>
      <c r="E275" s="7" t="s">
        <v>8</v>
      </c>
      <c r="G275" t="s">
        <v>800</v>
      </c>
    </row>
    <row r="276" spans="1:7" x14ac:dyDescent="0.25">
      <c r="A276" s="4">
        <v>16</v>
      </c>
      <c r="B276" s="4">
        <v>14805</v>
      </c>
      <c r="C276" s="39" t="s">
        <v>535</v>
      </c>
      <c r="D276" s="23" t="s">
        <v>536</v>
      </c>
      <c r="E276" s="24" t="s">
        <v>8</v>
      </c>
      <c r="G276" t="s">
        <v>800</v>
      </c>
    </row>
    <row r="277" spans="1:7" ht="15.75" x14ac:dyDescent="0.25">
      <c r="A277" s="4">
        <v>36</v>
      </c>
      <c r="B277" s="4">
        <v>14936</v>
      </c>
      <c r="C277" s="39" t="s">
        <v>297</v>
      </c>
      <c r="D277" s="6" t="s">
        <v>298</v>
      </c>
      <c r="E277" s="7" t="s">
        <v>7</v>
      </c>
      <c r="G277" t="s">
        <v>800</v>
      </c>
    </row>
    <row r="278" spans="1:7" ht="15.75" x14ac:dyDescent="0.25">
      <c r="A278" s="4">
        <v>34</v>
      </c>
      <c r="B278" s="4">
        <v>14943</v>
      </c>
      <c r="C278" s="39" t="s">
        <v>620</v>
      </c>
      <c r="D278" s="6" t="s">
        <v>621</v>
      </c>
      <c r="E278" s="7" t="s">
        <v>7</v>
      </c>
      <c r="G278" t="s">
        <v>800</v>
      </c>
    </row>
    <row r="279" spans="1:7" ht="15.75" x14ac:dyDescent="0.25">
      <c r="A279" s="4">
        <v>1</v>
      </c>
      <c r="B279" s="4">
        <v>14594</v>
      </c>
      <c r="C279" s="39" t="s">
        <v>394</v>
      </c>
      <c r="D279" s="6" t="s">
        <v>395</v>
      </c>
      <c r="E279" s="7" t="s">
        <v>8</v>
      </c>
      <c r="G279" t="s">
        <v>800</v>
      </c>
    </row>
    <row r="280" spans="1:7" ht="15.75" x14ac:dyDescent="0.25">
      <c r="A280" s="4">
        <v>23</v>
      </c>
      <c r="B280" s="4">
        <v>14808</v>
      </c>
      <c r="C280" s="39" t="s">
        <v>541</v>
      </c>
      <c r="D280" s="6" t="s">
        <v>542</v>
      </c>
      <c r="E280" s="7" t="s">
        <v>8</v>
      </c>
      <c r="G280" t="s">
        <v>800</v>
      </c>
    </row>
    <row r="281" spans="1:7" ht="15.75" x14ac:dyDescent="0.25">
      <c r="A281" s="4">
        <v>26</v>
      </c>
      <c r="B281" s="4">
        <v>14818</v>
      </c>
      <c r="C281" s="42" t="s">
        <v>426</v>
      </c>
      <c r="D281" s="6" t="s">
        <v>427</v>
      </c>
      <c r="E281" s="7" t="s">
        <v>8</v>
      </c>
      <c r="G281" t="s">
        <v>800</v>
      </c>
    </row>
    <row r="282" spans="1:7" ht="15.75" x14ac:dyDescent="0.25">
      <c r="A282" s="4">
        <v>22</v>
      </c>
      <c r="B282" s="4">
        <v>14832</v>
      </c>
      <c r="C282" s="39" t="s">
        <v>386</v>
      </c>
      <c r="D282" s="6" t="s">
        <v>387</v>
      </c>
      <c r="E282" s="7" t="s">
        <v>7</v>
      </c>
      <c r="G282" t="s">
        <v>800</v>
      </c>
    </row>
    <row r="283" spans="1:7" ht="15.75" x14ac:dyDescent="0.25">
      <c r="A283" s="4">
        <v>28</v>
      </c>
      <c r="B283" s="4">
        <v>14864</v>
      </c>
      <c r="C283" s="39" t="s">
        <v>30</v>
      </c>
      <c r="D283" s="5" t="s">
        <v>31</v>
      </c>
      <c r="E283" s="7" t="s">
        <v>7</v>
      </c>
      <c r="G283" t="s">
        <v>800</v>
      </c>
    </row>
    <row r="284" spans="1:7" ht="15.75" x14ac:dyDescent="0.25">
      <c r="A284" s="4">
        <v>26</v>
      </c>
      <c r="B284" s="4">
        <v>14875</v>
      </c>
      <c r="C284" s="39" t="s">
        <v>645</v>
      </c>
      <c r="D284" s="6" t="s">
        <v>646</v>
      </c>
      <c r="E284" s="7" t="s">
        <v>7</v>
      </c>
      <c r="G284" t="s">
        <v>800</v>
      </c>
    </row>
    <row r="285" spans="1:7" ht="15.75" x14ac:dyDescent="0.25">
      <c r="A285" s="4">
        <v>31</v>
      </c>
      <c r="B285" s="4">
        <v>14883</v>
      </c>
      <c r="C285" s="39" t="s">
        <v>424</v>
      </c>
      <c r="D285" s="6" t="s">
        <v>425</v>
      </c>
      <c r="E285" s="7" t="s">
        <v>8</v>
      </c>
      <c r="G285" t="s">
        <v>800</v>
      </c>
    </row>
    <row r="286" spans="1:7" ht="15.75" x14ac:dyDescent="0.25">
      <c r="A286" s="4">
        <v>31</v>
      </c>
      <c r="B286" s="4">
        <v>14896</v>
      </c>
      <c r="C286" s="39" t="s">
        <v>553</v>
      </c>
      <c r="D286" s="6" t="s">
        <v>554</v>
      </c>
      <c r="E286" s="7" t="s">
        <v>7</v>
      </c>
      <c r="G286" t="s">
        <v>800</v>
      </c>
    </row>
    <row r="287" spans="1:7" ht="15.75" x14ac:dyDescent="0.25">
      <c r="A287" s="4">
        <v>33</v>
      </c>
      <c r="B287" s="4">
        <v>14898</v>
      </c>
      <c r="C287" s="39" t="s">
        <v>643</v>
      </c>
      <c r="D287" s="6" t="s">
        <v>756</v>
      </c>
      <c r="E287" s="7" t="s">
        <v>7</v>
      </c>
      <c r="G287" t="s">
        <v>800</v>
      </c>
    </row>
    <row r="288" spans="1:7" ht="15.75" x14ac:dyDescent="0.25">
      <c r="A288" s="4">
        <v>31</v>
      </c>
      <c r="B288" s="4">
        <v>14900</v>
      </c>
      <c r="C288" s="39" t="s">
        <v>396</v>
      </c>
      <c r="D288" s="5" t="s">
        <v>397</v>
      </c>
      <c r="E288" s="7" t="s">
        <v>7</v>
      </c>
      <c r="G288" t="s">
        <v>800</v>
      </c>
    </row>
    <row r="289" spans="1:7" ht="15.75" x14ac:dyDescent="0.25">
      <c r="A289" s="4">
        <v>31</v>
      </c>
      <c r="B289" s="4">
        <v>14912</v>
      </c>
      <c r="C289" s="39" t="s">
        <v>305</v>
      </c>
      <c r="D289" s="6" t="s">
        <v>306</v>
      </c>
      <c r="E289" s="24" t="s">
        <v>7</v>
      </c>
      <c r="G289" t="s">
        <v>800</v>
      </c>
    </row>
    <row r="290" spans="1:7" ht="15.75" x14ac:dyDescent="0.25">
      <c r="A290" s="4">
        <v>33</v>
      </c>
      <c r="B290" s="4">
        <v>14917</v>
      </c>
      <c r="C290" s="39" t="s">
        <v>659</v>
      </c>
      <c r="D290" s="6" t="s">
        <v>660</v>
      </c>
      <c r="E290" s="24" t="s">
        <v>7</v>
      </c>
      <c r="G290" t="s">
        <v>800</v>
      </c>
    </row>
    <row r="291" spans="1:7" ht="15.75" x14ac:dyDescent="0.25">
      <c r="A291" s="4">
        <v>33</v>
      </c>
      <c r="B291" s="4">
        <v>14925</v>
      </c>
      <c r="C291" s="39" t="s">
        <v>64</v>
      </c>
      <c r="D291" s="6" t="s">
        <v>65</v>
      </c>
      <c r="E291" s="7" t="s">
        <v>7</v>
      </c>
      <c r="G291" t="s">
        <v>800</v>
      </c>
    </row>
    <row r="292" spans="1:7" ht="15.75" x14ac:dyDescent="0.25">
      <c r="A292" s="4">
        <v>34</v>
      </c>
      <c r="B292" s="4">
        <v>14930</v>
      </c>
      <c r="C292" s="39" t="s">
        <v>40</v>
      </c>
      <c r="D292" s="6" t="s">
        <v>41</v>
      </c>
      <c r="E292" s="7" t="s">
        <v>7</v>
      </c>
      <c r="G292" t="s">
        <v>800</v>
      </c>
    </row>
    <row r="293" spans="1:7" ht="15.75" x14ac:dyDescent="0.25">
      <c r="A293" s="4">
        <v>34</v>
      </c>
      <c r="B293" s="4">
        <v>14921</v>
      </c>
      <c r="C293" s="39" t="s">
        <v>125</v>
      </c>
      <c r="D293" s="6" t="s">
        <v>126</v>
      </c>
      <c r="E293" s="7" t="s">
        <v>7</v>
      </c>
      <c r="G293" t="s">
        <v>800</v>
      </c>
    </row>
    <row r="294" spans="1:7" ht="15.75" x14ac:dyDescent="0.25">
      <c r="A294" s="4">
        <v>2</v>
      </c>
      <c r="B294" s="4">
        <v>14590</v>
      </c>
      <c r="C294" s="39" t="s">
        <v>685</v>
      </c>
      <c r="D294" s="6" t="s">
        <v>686</v>
      </c>
      <c r="E294" s="7" t="s">
        <v>8</v>
      </c>
      <c r="G294" t="s">
        <v>801</v>
      </c>
    </row>
    <row r="295" spans="1:7" ht="15.75" x14ac:dyDescent="0.25">
      <c r="A295" s="4">
        <v>3</v>
      </c>
      <c r="B295" s="32">
        <v>14602</v>
      </c>
      <c r="C295" s="40" t="s">
        <v>693</v>
      </c>
      <c r="D295" s="6" t="s">
        <v>694</v>
      </c>
      <c r="E295" s="7" t="s">
        <v>8</v>
      </c>
      <c r="G295" t="s">
        <v>801</v>
      </c>
    </row>
    <row r="296" spans="1:7" ht="15.75" x14ac:dyDescent="0.25">
      <c r="A296" s="4">
        <v>1</v>
      </c>
      <c r="B296" s="4">
        <v>14632</v>
      </c>
      <c r="C296" s="40" t="s">
        <v>392</v>
      </c>
      <c r="D296" s="6" t="s">
        <v>393</v>
      </c>
      <c r="E296" s="24" t="s">
        <v>8</v>
      </c>
      <c r="G296" t="s">
        <v>801</v>
      </c>
    </row>
    <row r="297" spans="1:7" ht="15.75" x14ac:dyDescent="0.25">
      <c r="A297" s="4">
        <v>8</v>
      </c>
      <c r="B297" s="4">
        <v>14637</v>
      </c>
      <c r="C297" s="39" t="s">
        <v>641</v>
      </c>
      <c r="D297" s="6" t="s">
        <v>642</v>
      </c>
      <c r="E297" s="7" t="s">
        <v>7</v>
      </c>
      <c r="G297" t="s">
        <v>801</v>
      </c>
    </row>
    <row r="298" spans="1:7" ht="15.75" x14ac:dyDescent="0.25">
      <c r="A298" s="4">
        <v>8</v>
      </c>
      <c r="B298" s="4">
        <v>14656</v>
      </c>
      <c r="C298" s="39" t="s">
        <v>450</v>
      </c>
      <c r="D298" s="6" t="s">
        <v>792</v>
      </c>
      <c r="E298" s="7" t="s">
        <v>8</v>
      </c>
      <c r="G298" t="s">
        <v>801</v>
      </c>
    </row>
    <row r="299" spans="1:7" ht="15.75" x14ac:dyDescent="0.25">
      <c r="A299" s="4">
        <v>10</v>
      </c>
      <c r="B299" s="4">
        <v>14659</v>
      </c>
      <c r="C299" s="39" t="s">
        <v>610</v>
      </c>
      <c r="D299" s="6" t="s">
        <v>611</v>
      </c>
      <c r="E299" s="7" t="s">
        <v>7</v>
      </c>
      <c r="G299" t="s">
        <v>801</v>
      </c>
    </row>
    <row r="300" spans="1:7" ht="15.75" x14ac:dyDescent="0.25">
      <c r="A300" s="4">
        <v>11</v>
      </c>
      <c r="B300" s="32">
        <v>14663</v>
      </c>
      <c r="C300" s="39" t="s">
        <v>527</v>
      </c>
      <c r="D300" s="6" t="s">
        <v>528</v>
      </c>
      <c r="E300" s="7" t="s">
        <v>7</v>
      </c>
      <c r="G300" t="s">
        <v>801</v>
      </c>
    </row>
    <row r="301" spans="1:7" ht="15.75" x14ac:dyDescent="0.25">
      <c r="A301" s="4">
        <v>10</v>
      </c>
      <c r="B301" s="4">
        <v>14673</v>
      </c>
      <c r="C301" s="39" t="s">
        <v>278</v>
      </c>
      <c r="D301" s="6" t="s">
        <v>279</v>
      </c>
      <c r="E301" s="7" t="s">
        <v>7</v>
      </c>
      <c r="G301" t="s">
        <v>801</v>
      </c>
    </row>
    <row r="302" spans="1:7" ht="15.75" x14ac:dyDescent="0.25">
      <c r="A302" s="4">
        <v>10</v>
      </c>
      <c r="B302" s="4">
        <v>14677</v>
      </c>
      <c r="C302" s="39" t="s">
        <v>612</v>
      </c>
      <c r="D302" s="6" t="s">
        <v>613</v>
      </c>
      <c r="E302" s="7" t="s">
        <v>7</v>
      </c>
      <c r="G302" t="s">
        <v>801</v>
      </c>
    </row>
    <row r="303" spans="1:7" ht="15.75" x14ac:dyDescent="0.25">
      <c r="A303" s="4">
        <v>6</v>
      </c>
      <c r="B303" s="4">
        <v>14686</v>
      </c>
      <c r="C303" s="39" t="s">
        <v>632</v>
      </c>
      <c r="D303" s="6" t="s">
        <v>633</v>
      </c>
      <c r="E303" s="24" t="s">
        <v>7</v>
      </c>
      <c r="G303" t="s">
        <v>801</v>
      </c>
    </row>
    <row r="304" spans="1:7" ht="15.75" x14ac:dyDescent="0.25">
      <c r="A304" s="4">
        <v>11</v>
      </c>
      <c r="B304" s="4">
        <v>14694</v>
      </c>
      <c r="C304" s="39" t="s">
        <v>764</v>
      </c>
      <c r="D304" s="6" t="s">
        <v>563</v>
      </c>
      <c r="E304" s="7" t="s">
        <v>7</v>
      </c>
      <c r="G304" t="s">
        <v>801</v>
      </c>
    </row>
    <row r="305" spans="1:7" ht="15.75" x14ac:dyDescent="0.25">
      <c r="A305" s="4">
        <v>16</v>
      </c>
      <c r="B305" s="4">
        <v>14697</v>
      </c>
      <c r="C305" s="39" t="s">
        <v>695</v>
      </c>
      <c r="D305" s="6" t="s">
        <v>696</v>
      </c>
      <c r="E305" s="7" t="s">
        <v>8</v>
      </c>
      <c r="G305" t="s">
        <v>801</v>
      </c>
    </row>
    <row r="306" spans="1:7" ht="15.75" x14ac:dyDescent="0.25">
      <c r="A306" s="4">
        <v>14</v>
      </c>
      <c r="B306" s="4">
        <v>14701</v>
      </c>
      <c r="C306" s="39" t="s">
        <v>420</v>
      </c>
      <c r="D306" s="6" t="s">
        <v>421</v>
      </c>
      <c r="E306" s="7" t="s">
        <v>7</v>
      </c>
      <c r="G306" t="s">
        <v>801</v>
      </c>
    </row>
    <row r="307" spans="1:7" ht="15.75" x14ac:dyDescent="0.25">
      <c r="A307" s="4">
        <v>17</v>
      </c>
      <c r="B307" s="4">
        <v>14726</v>
      </c>
      <c r="C307" s="39" t="s">
        <v>467</v>
      </c>
      <c r="D307" s="6" t="s">
        <v>468</v>
      </c>
      <c r="E307" s="7" t="s">
        <v>7</v>
      </c>
      <c r="G307" t="s">
        <v>801</v>
      </c>
    </row>
    <row r="308" spans="1:7" ht="15.75" x14ac:dyDescent="0.25">
      <c r="A308" s="4">
        <v>19</v>
      </c>
      <c r="B308" s="4">
        <v>14734</v>
      </c>
      <c r="C308" s="39" t="s">
        <v>515</v>
      </c>
      <c r="D308" s="6" t="s">
        <v>516</v>
      </c>
      <c r="E308" s="7" t="s">
        <v>7</v>
      </c>
      <c r="G308" t="s">
        <v>801</v>
      </c>
    </row>
    <row r="309" spans="1:7" ht="15.75" x14ac:dyDescent="0.25">
      <c r="A309" s="4">
        <v>12</v>
      </c>
      <c r="B309" s="4">
        <v>14735</v>
      </c>
      <c r="C309" s="39" t="s">
        <v>708</v>
      </c>
      <c r="D309" s="6" t="s">
        <v>709</v>
      </c>
      <c r="E309" s="7" t="s">
        <v>7</v>
      </c>
      <c r="G309" t="s">
        <v>801</v>
      </c>
    </row>
    <row r="310" spans="1:7" ht="15.75" x14ac:dyDescent="0.25">
      <c r="A310" s="4">
        <v>13</v>
      </c>
      <c r="B310" s="4">
        <v>14736</v>
      </c>
      <c r="C310" s="39" t="s">
        <v>600</v>
      </c>
      <c r="D310" s="6" t="s">
        <v>601</v>
      </c>
      <c r="E310" s="7" t="s">
        <v>7</v>
      </c>
      <c r="G310" t="s">
        <v>801</v>
      </c>
    </row>
    <row r="311" spans="1:7" ht="15.75" x14ac:dyDescent="0.25">
      <c r="A311" s="4">
        <v>20</v>
      </c>
      <c r="B311" s="32">
        <v>14746</v>
      </c>
      <c r="C311" s="39" t="s">
        <v>763</v>
      </c>
      <c r="D311" s="6" t="s">
        <v>741</v>
      </c>
      <c r="E311" s="7" t="s">
        <v>7</v>
      </c>
      <c r="G311" t="s">
        <v>801</v>
      </c>
    </row>
    <row r="312" spans="1:7" ht="15.75" x14ac:dyDescent="0.25">
      <c r="A312" s="4">
        <v>15</v>
      </c>
      <c r="B312" s="4">
        <v>14760</v>
      </c>
      <c r="C312" s="39" t="s">
        <v>566</v>
      </c>
      <c r="D312" s="6" t="s">
        <v>567</v>
      </c>
      <c r="E312" s="7" t="s">
        <v>8</v>
      </c>
      <c r="G312" t="s">
        <v>801</v>
      </c>
    </row>
    <row r="313" spans="1:7" ht="15.75" x14ac:dyDescent="0.25">
      <c r="A313" s="4">
        <v>20</v>
      </c>
      <c r="B313" s="4">
        <v>14780</v>
      </c>
      <c r="C313" s="43" t="s">
        <v>149</v>
      </c>
      <c r="D313" s="6" t="s">
        <v>150</v>
      </c>
      <c r="E313" s="7" t="s">
        <v>8</v>
      </c>
      <c r="G313" t="s">
        <v>801</v>
      </c>
    </row>
    <row r="314" spans="1:7" ht="15.75" x14ac:dyDescent="0.25">
      <c r="A314" s="4">
        <v>23</v>
      </c>
      <c r="B314" s="4">
        <v>14783</v>
      </c>
      <c r="C314" s="39" t="s">
        <v>505</v>
      </c>
      <c r="D314" s="6" t="s">
        <v>506</v>
      </c>
      <c r="E314" s="7" t="s">
        <v>8</v>
      </c>
      <c r="G314" t="s">
        <v>801</v>
      </c>
    </row>
    <row r="315" spans="1:7" ht="15.75" x14ac:dyDescent="0.25">
      <c r="A315" s="4">
        <v>22</v>
      </c>
      <c r="B315" s="4">
        <v>14802</v>
      </c>
      <c r="C315" s="39" t="s">
        <v>404</v>
      </c>
      <c r="D315" s="5" t="s">
        <v>405</v>
      </c>
      <c r="E315" s="7" t="s">
        <v>8</v>
      </c>
      <c r="G315" t="s">
        <v>801</v>
      </c>
    </row>
    <row r="316" spans="1:7" ht="15.75" x14ac:dyDescent="0.25">
      <c r="A316" s="4">
        <v>22</v>
      </c>
      <c r="B316" s="4">
        <v>14803</v>
      </c>
      <c r="C316" s="39" t="s">
        <v>651</v>
      </c>
      <c r="D316" s="6" t="s">
        <v>652</v>
      </c>
      <c r="E316" s="7" t="s">
        <v>8</v>
      </c>
      <c r="G316" t="s">
        <v>801</v>
      </c>
    </row>
    <row r="317" spans="1:7" ht="15.75" x14ac:dyDescent="0.25">
      <c r="A317" s="4">
        <v>26</v>
      </c>
      <c r="B317" s="32">
        <v>14821</v>
      </c>
      <c r="C317" s="39" t="s">
        <v>555</v>
      </c>
      <c r="D317" s="5" t="s">
        <v>750</v>
      </c>
      <c r="E317" s="7" t="s">
        <v>8</v>
      </c>
      <c r="G317" t="s">
        <v>801</v>
      </c>
    </row>
    <row r="318" spans="1:7" ht="15.75" x14ac:dyDescent="0.25">
      <c r="A318" s="4">
        <v>21</v>
      </c>
      <c r="B318" s="4">
        <v>14834</v>
      </c>
      <c r="C318" s="39" t="s">
        <v>442</v>
      </c>
      <c r="D318" s="6" t="s">
        <v>443</v>
      </c>
      <c r="E318" s="7" t="s">
        <v>8</v>
      </c>
      <c r="G318" t="s">
        <v>801</v>
      </c>
    </row>
    <row r="319" spans="1:7" ht="15.75" x14ac:dyDescent="0.25">
      <c r="A319" s="4">
        <v>27</v>
      </c>
      <c r="B319" s="4">
        <v>14854</v>
      </c>
      <c r="C319" s="39" t="s">
        <v>543</v>
      </c>
      <c r="D319" s="5" t="s">
        <v>544</v>
      </c>
      <c r="E319" s="7" t="s">
        <v>8</v>
      </c>
      <c r="G319" t="s">
        <v>801</v>
      </c>
    </row>
    <row r="320" spans="1:7" ht="15.75" x14ac:dyDescent="0.25">
      <c r="A320" s="4">
        <v>23</v>
      </c>
      <c r="B320" s="4">
        <v>14867</v>
      </c>
      <c r="C320" s="39" t="s">
        <v>57</v>
      </c>
      <c r="D320" s="6" t="s">
        <v>58</v>
      </c>
      <c r="E320" s="24" t="s">
        <v>8</v>
      </c>
      <c r="G320" t="s">
        <v>801</v>
      </c>
    </row>
    <row r="321" spans="1:7" ht="15.75" x14ac:dyDescent="0.25">
      <c r="A321" s="4">
        <v>25</v>
      </c>
      <c r="B321" s="4">
        <v>14876</v>
      </c>
      <c r="C321" s="39" t="s">
        <v>630</v>
      </c>
      <c r="D321" s="6" t="s">
        <v>631</v>
      </c>
      <c r="E321" s="24" t="s">
        <v>7</v>
      </c>
      <c r="G321" t="s">
        <v>801</v>
      </c>
    </row>
    <row r="322" spans="1:7" ht="15.75" x14ac:dyDescent="0.25">
      <c r="A322" s="4">
        <v>29</v>
      </c>
      <c r="B322" s="4">
        <v>14882</v>
      </c>
      <c r="C322" s="39" t="s">
        <v>408</v>
      </c>
      <c r="D322" s="6" t="s">
        <v>409</v>
      </c>
      <c r="E322" s="7" t="s">
        <v>8</v>
      </c>
      <c r="G322" t="s">
        <v>801</v>
      </c>
    </row>
    <row r="323" spans="1:7" ht="15.75" x14ac:dyDescent="0.25">
      <c r="A323" s="4">
        <v>30</v>
      </c>
      <c r="B323" s="4">
        <v>14903</v>
      </c>
      <c r="C323" s="39" t="s">
        <v>432</v>
      </c>
      <c r="D323" s="6" t="s">
        <v>433</v>
      </c>
      <c r="E323" s="7" t="s">
        <v>7</v>
      </c>
      <c r="G323" t="s">
        <v>801</v>
      </c>
    </row>
    <row r="324" spans="1:7" ht="15.75" x14ac:dyDescent="0.25">
      <c r="A324" s="4">
        <v>32</v>
      </c>
      <c r="B324" s="4">
        <v>14904</v>
      </c>
      <c r="C324" s="39" t="s">
        <v>533</v>
      </c>
      <c r="D324" s="5" t="s">
        <v>534</v>
      </c>
      <c r="E324" s="7" t="s">
        <v>8</v>
      </c>
      <c r="G324" t="s">
        <v>801</v>
      </c>
    </row>
    <row r="325" spans="1:7" ht="15.75" x14ac:dyDescent="0.25">
      <c r="A325" s="4">
        <v>34</v>
      </c>
      <c r="B325" s="4">
        <v>14909</v>
      </c>
      <c r="C325" s="39" t="s">
        <v>770</v>
      </c>
      <c r="D325" s="6" t="s">
        <v>464</v>
      </c>
      <c r="E325" s="7" t="s">
        <v>8</v>
      </c>
      <c r="G325" t="s">
        <v>801</v>
      </c>
    </row>
    <row r="326" spans="1:7" ht="15.75" x14ac:dyDescent="0.25">
      <c r="A326" s="4">
        <v>35</v>
      </c>
      <c r="B326" s="4">
        <v>14926</v>
      </c>
      <c r="C326" s="39" t="s">
        <v>669</v>
      </c>
      <c r="D326" s="6" t="s">
        <v>757</v>
      </c>
      <c r="E326" s="7" t="s">
        <v>8</v>
      </c>
      <c r="G326" t="s">
        <v>801</v>
      </c>
    </row>
    <row r="327" spans="1:7" ht="15.75" x14ac:dyDescent="0.25">
      <c r="A327" s="4">
        <v>36</v>
      </c>
      <c r="B327" s="4">
        <v>14941</v>
      </c>
      <c r="C327" s="39" t="s">
        <v>638</v>
      </c>
      <c r="D327" s="6" t="s">
        <v>639</v>
      </c>
      <c r="E327" s="7" t="s">
        <v>7</v>
      </c>
      <c r="G327" t="s">
        <v>801</v>
      </c>
    </row>
    <row r="328" spans="1:7" ht="15.75" x14ac:dyDescent="0.25">
      <c r="A328" s="4">
        <v>25</v>
      </c>
      <c r="B328" s="4">
        <v>14807</v>
      </c>
      <c r="C328" s="40" t="s">
        <v>151</v>
      </c>
      <c r="D328" s="6" t="s">
        <v>152</v>
      </c>
      <c r="E328" s="7" t="s">
        <v>8</v>
      </c>
      <c r="G328" t="s">
        <v>801</v>
      </c>
    </row>
    <row r="329" spans="1:7" ht="15.75" x14ac:dyDescent="0.25">
      <c r="A329" s="4">
        <v>1</v>
      </c>
      <c r="B329" s="4">
        <v>14589</v>
      </c>
      <c r="C329" s="39" t="s">
        <v>702</v>
      </c>
      <c r="D329" s="6" t="s">
        <v>703</v>
      </c>
      <c r="E329" s="7" t="s">
        <v>8</v>
      </c>
      <c r="G329" t="s">
        <v>802</v>
      </c>
    </row>
    <row r="330" spans="1:7" ht="15.75" x14ac:dyDescent="0.25">
      <c r="A330" s="4">
        <v>1</v>
      </c>
      <c r="B330" s="32">
        <v>14591</v>
      </c>
      <c r="C330" s="40" t="s">
        <v>547</v>
      </c>
      <c r="D330" s="6" t="s">
        <v>548</v>
      </c>
      <c r="E330" s="7" t="s">
        <v>8</v>
      </c>
      <c r="G330" t="s">
        <v>802</v>
      </c>
    </row>
    <row r="331" spans="1:7" ht="15.75" x14ac:dyDescent="0.25">
      <c r="A331" s="4">
        <v>3</v>
      </c>
      <c r="B331" s="4">
        <v>14606</v>
      </c>
      <c r="C331" s="40" t="s">
        <v>769</v>
      </c>
      <c r="D331" s="6" t="s">
        <v>640</v>
      </c>
      <c r="E331" s="7" t="s">
        <v>8</v>
      </c>
      <c r="G331" t="s">
        <v>802</v>
      </c>
    </row>
    <row r="332" spans="1:7" ht="15.75" x14ac:dyDescent="0.25">
      <c r="A332" s="4">
        <v>5</v>
      </c>
      <c r="B332" s="4">
        <v>14612</v>
      </c>
      <c r="C332" s="39" t="s">
        <v>624</v>
      </c>
      <c r="D332" s="6" t="s">
        <v>625</v>
      </c>
      <c r="E332" s="7" t="s">
        <v>7</v>
      </c>
      <c r="G332" t="s">
        <v>802</v>
      </c>
    </row>
    <row r="333" spans="1:7" ht="15.75" x14ac:dyDescent="0.25">
      <c r="A333" s="4">
        <v>5</v>
      </c>
      <c r="B333" s="4">
        <v>14627</v>
      </c>
      <c r="C333" s="39" t="s">
        <v>636</v>
      </c>
      <c r="D333" s="6" t="s">
        <v>637</v>
      </c>
      <c r="E333" s="7" t="s">
        <v>7</v>
      </c>
      <c r="G333" t="s">
        <v>802</v>
      </c>
    </row>
    <row r="334" spans="1:7" ht="15.75" x14ac:dyDescent="0.25">
      <c r="A334" s="4">
        <v>2</v>
      </c>
      <c r="B334" s="4">
        <v>14644</v>
      </c>
      <c r="C334" s="39" t="s">
        <v>710</v>
      </c>
      <c r="D334" s="6" t="s">
        <v>711</v>
      </c>
      <c r="E334" s="24" t="s">
        <v>8</v>
      </c>
      <c r="G334" t="s">
        <v>802</v>
      </c>
    </row>
    <row r="335" spans="1:7" ht="15.75" x14ac:dyDescent="0.25">
      <c r="A335" s="4">
        <v>8</v>
      </c>
      <c r="B335" s="4">
        <v>14652</v>
      </c>
      <c r="C335" s="39" t="s">
        <v>253</v>
      </c>
      <c r="D335" s="6" t="s">
        <v>254</v>
      </c>
      <c r="E335" s="7" t="s">
        <v>7</v>
      </c>
      <c r="G335" t="s">
        <v>802</v>
      </c>
    </row>
    <row r="336" spans="1:7" ht="15.75" x14ac:dyDescent="0.25">
      <c r="A336" s="4">
        <v>8</v>
      </c>
      <c r="B336" s="4">
        <v>14653</v>
      </c>
      <c r="C336" s="39" t="s">
        <v>513</v>
      </c>
      <c r="D336" s="6" t="s">
        <v>514</v>
      </c>
      <c r="E336" s="7" t="s">
        <v>7</v>
      </c>
      <c r="G336" t="s">
        <v>802</v>
      </c>
    </row>
    <row r="337" spans="1:7" ht="15.75" x14ac:dyDescent="0.25">
      <c r="A337" s="4">
        <v>7</v>
      </c>
      <c r="B337" s="4">
        <v>14661</v>
      </c>
      <c r="C337" s="39" t="s">
        <v>697</v>
      </c>
      <c r="D337" s="6" t="s">
        <v>728</v>
      </c>
      <c r="E337" s="7" t="s">
        <v>8</v>
      </c>
      <c r="G337" t="s">
        <v>802</v>
      </c>
    </row>
    <row r="338" spans="1:7" ht="15.75" x14ac:dyDescent="0.25">
      <c r="A338" s="4">
        <v>9</v>
      </c>
      <c r="B338" s="4">
        <v>14671</v>
      </c>
      <c r="C338" s="39" t="s">
        <v>618</v>
      </c>
      <c r="D338" s="6" t="s">
        <v>619</v>
      </c>
      <c r="E338" s="7" t="s">
        <v>8</v>
      </c>
      <c r="G338" t="s">
        <v>802</v>
      </c>
    </row>
    <row r="339" spans="1:7" ht="15.75" x14ac:dyDescent="0.25">
      <c r="A339" s="4">
        <v>15</v>
      </c>
      <c r="B339" s="4">
        <v>14692</v>
      </c>
      <c r="C339" s="39" t="s">
        <v>718</v>
      </c>
      <c r="D339" s="6" t="s">
        <v>719</v>
      </c>
      <c r="E339" s="7" t="s">
        <v>8</v>
      </c>
      <c r="G339" t="s">
        <v>802</v>
      </c>
    </row>
    <row r="340" spans="1:7" ht="15.75" x14ac:dyDescent="0.25">
      <c r="A340" s="4">
        <v>11</v>
      </c>
      <c r="B340" s="4">
        <v>14693</v>
      </c>
      <c r="C340" s="39" t="s">
        <v>184</v>
      </c>
      <c r="D340" s="5" t="s">
        <v>185</v>
      </c>
      <c r="E340" s="7" t="s">
        <v>8</v>
      </c>
      <c r="G340" t="s">
        <v>802</v>
      </c>
    </row>
    <row r="341" spans="1:7" ht="15.75" x14ac:dyDescent="0.25">
      <c r="A341" s="4">
        <v>10</v>
      </c>
      <c r="B341" s="4">
        <v>14704</v>
      </c>
      <c r="C341" s="39" t="s">
        <v>716</v>
      </c>
      <c r="D341" s="6" t="s">
        <v>717</v>
      </c>
      <c r="E341" s="7" t="s">
        <v>8</v>
      </c>
      <c r="G341" t="s">
        <v>802</v>
      </c>
    </row>
    <row r="342" spans="1:7" ht="15.75" x14ac:dyDescent="0.25">
      <c r="A342" s="4">
        <v>17</v>
      </c>
      <c r="B342" s="32">
        <v>14709</v>
      </c>
      <c r="C342" s="39" t="s">
        <v>722</v>
      </c>
      <c r="D342" s="6" t="s">
        <v>723</v>
      </c>
      <c r="E342" s="7" t="s">
        <v>8</v>
      </c>
      <c r="G342" t="s">
        <v>802</v>
      </c>
    </row>
    <row r="343" spans="1:7" ht="15.75" x14ac:dyDescent="0.25">
      <c r="A343" s="4">
        <v>9</v>
      </c>
      <c r="B343" s="4">
        <v>14716</v>
      </c>
      <c r="C343" s="39" t="s">
        <v>564</v>
      </c>
      <c r="D343" s="6" t="s">
        <v>565</v>
      </c>
      <c r="E343" s="7" t="s">
        <v>7</v>
      </c>
      <c r="G343" t="s">
        <v>802</v>
      </c>
    </row>
    <row r="344" spans="1:7" ht="15.75" x14ac:dyDescent="0.25">
      <c r="A344" s="4">
        <v>15</v>
      </c>
      <c r="B344" s="4">
        <v>14753</v>
      </c>
      <c r="C344" s="39" t="s">
        <v>107</v>
      </c>
      <c r="D344" s="6" t="s">
        <v>108</v>
      </c>
      <c r="E344" s="7" t="s">
        <v>7</v>
      </c>
      <c r="G344" t="s">
        <v>802</v>
      </c>
    </row>
    <row r="345" spans="1:7" ht="15.75" x14ac:dyDescent="0.25">
      <c r="A345" s="4">
        <v>21</v>
      </c>
      <c r="B345" s="4">
        <v>14754</v>
      </c>
      <c r="C345" s="39" t="s">
        <v>406</v>
      </c>
      <c r="D345" s="5" t="s">
        <v>407</v>
      </c>
      <c r="E345" s="7" t="s">
        <v>7</v>
      </c>
      <c r="G345" t="s">
        <v>802</v>
      </c>
    </row>
    <row r="346" spans="1:7" ht="15.75" x14ac:dyDescent="0.25">
      <c r="A346" s="4">
        <v>17</v>
      </c>
      <c r="B346" s="4">
        <v>14755</v>
      </c>
      <c r="C346" s="39" t="s">
        <v>319</v>
      </c>
      <c r="D346" s="6" t="s">
        <v>320</v>
      </c>
      <c r="E346" s="7" t="s">
        <v>7</v>
      </c>
      <c r="G346" t="s">
        <v>802</v>
      </c>
    </row>
    <row r="347" spans="1:7" ht="15.75" x14ac:dyDescent="0.25">
      <c r="A347" s="4">
        <v>13</v>
      </c>
      <c r="B347" s="4">
        <v>14769</v>
      </c>
      <c r="C347" s="39" t="s">
        <v>539</v>
      </c>
      <c r="D347" s="6" t="s">
        <v>540</v>
      </c>
      <c r="E347" s="24" t="s">
        <v>7</v>
      </c>
      <c r="G347" t="s">
        <v>802</v>
      </c>
    </row>
    <row r="348" spans="1:7" ht="15.75" x14ac:dyDescent="0.25">
      <c r="A348" s="4">
        <v>17</v>
      </c>
      <c r="B348" s="4">
        <v>14782</v>
      </c>
      <c r="C348" s="39" t="s">
        <v>378</v>
      </c>
      <c r="D348" s="6" t="s">
        <v>379</v>
      </c>
      <c r="E348" s="7" t="s">
        <v>8</v>
      </c>
      <c r="G348" t="s">
        <v>802</v>
      </c>
    </row>
    <row r="349" spans="1:7" ht="15.75" x14ac:dyDescent="0.25">
      <c r="A349" s="4">
        <v>24</v>
      </c>
      <c r="B349" s="4">
        <v>14795</v>
      </c>
      <c r="C349" s="39" t="s">
        <v>382</v>
      </c>
      <c r="D349" s="6" t="s">
        <v>383</v>
      </c>
      <c r="E349" s="7" t="s">
        <v>8</v>
      </c>
      <c r="G349" t="s">
        <v>802</v>
      </c>
    </row>
    <row r="350" spans="1:7" x14ac:dyDescent="0.25">
      <c r="A350" s="4">
        <v>18</v>
      </c>
      <c r="B350" s="4">
        <v>14813</v>
      </c>
      <c r="C350" s="39" t="s">
        <v>380</v>
      </c>
      <c r="D350" s="23" t="s">
        <v>381</v>
      </c>
      <c r="E350" s="24" t="s">
        <v>8</v>
      </c>
      <c r="G350" t="s">
        <v>802</v>
      </c>
    </row>
    <row r="351" spans="1:7" ht="15.75" x14ac:dyDescent="0.25">
      <c r="A351" s="4">
        <v>33</v>
      </c>
      <c r="B351" s="4">
        <v>14932</v>
      </c>
      <c r="C351" s="39" t="s">
        <v>195</v>
      </c>
      <c r="D351" s="6" t="s">
        <v>196</v>
      </c>
      <c r="E351" s="7" t="s">
        <v>7</v>
      </c>
      <c r="G351" t="s">
        <v>802</v>
      </c>
    </row>
    <row r="352" spans="1:7" ht="15.75" x14ac:dyDescent="0.25">
      <c r="A352" s="4">
        <v>36</v>
      </c>
      <c r="B352" s="8">
        <v>14948</v>
      </c>
      <c r="C352" s="41" t="s">
        <v>805</v>
      </c>
      <c r="D352" s="8" t="s">
        <v>806</v>
      </c>
      <c r="E352" s="7" t="s">
        <v>7</v>
      </c>
      <c r="G352" t="s">
        <v>802</v>
      </c>
    </row>
    <row r="353" spans="1:7" ht="15.75" x14ac:dyDescent="0.25">
      <c r="A353" s="4">
        <v>35</v>
      </c>
      <c r="B353" s="4">
        <v>14946</v>
      </c>
      <c r="C353" s="39" t="s">
        <v>38</v>
      </c>
      <c r="D353" s="6" t="s">
        <v>39</v>
      </c>
      <c r="E353" s="7" t="s">
        <v>7</v>
      </c>
      <c r="G353" t="s">
        <v>802</v>
      </c>
    </row>
    <row r="354" spans="1:7" ht="15.75" x14ac:dyDescent="0.25">
      <c r="A354" s="4">
        <v>25</v>
      </c>
      <c r="B354" s="4">
        <v>14833</v>
      </c>
      <c r="C354" s="39" t="s">
        <v>48</v>
      </c>
      <c r="D354" s="6" t="s">
        <v>49</v>
      </c>
      <c r="E354" s="7" t="s">
        <v>8</v>
      </c>
      <c r="G354" t="s">
        <v>802</v>
      </c>
    </row>
    <row r="355" spans="1:7" ht="15.75" x14ac:dyDescent="0.25">
      <c r="A355" s="4">
        <v>26</v>
      </c>
      <c r="B355" s="4">
        <v>14840</v>
      </c>
      <c r="C355" s="39" t="s">
        <v>153</v>
      </c>
      <c r="D355" s="6" t="s">
        <v>154</v>
      </c>
      <c r="E355" s="7" t="s">
        <v>8</v>
      </c>
      <c r="G355" t="s">
        <v>802</v>
      </c>
    </row>
    <row r="356" spans="1:7" ht="15.75" x14ac:dyDescent="0.25">
      <c r="A356" s="4">
        <v>31</v>
      </c>
      <c r="B356" s="32">
        <v>14850</v>
      </c>
      <c r="C356" s="39" t="s">
        <v>74</v>
      </c>
      <c r="D356" s="6" t="s">
        <v>75</v>
      </c>
      <c r="E356" s="7" t="s">
        <v>7</v>
      </c>
      <c r="G356" t="s">
        <v>802</v>
      </c>
    </row>
    <row r="357" spans="1:7" ht="15.75" x14ac:dyDescent="0.25">
      <c r="A357" s="4">
        <v>24</v>
      </c>
      <c r="B357" s="4">
        <v>14852</v>
      </c>
      <c r="C357" s="39" t="s">
        <v>699</v>
      </c>
      <c r="D357" s="6" t="s">
        <v>700</v>
      </c>
      <c r="E357" s="7" t="s">
        <v>8</v>
      </c>
      <c r="G357" t="s">
        <v>802</v>
      </c>
    </row>
    <row r="358" spans="1:7" ht="15.75" x14ac:dyDescent="0.25">
      <c r="A358" s="4">
        <v>32</v>
      </c>
      <c r="B358" s="32">
        <v>14863</v>
      </c>
      <c r="C358" s="39" t="s">
        <v>372</v>
      </c>
      <c r="D358" s="6" t="s">
        <v>373</v>
      </c>
      <c r="E358" s="7" t="s">
        <v>8</v>
      </c>
      <c r="G358" t="s">
        <v>802</v>
      </c>
    </row>
    <row r="359" spans="1:7" ht="15.75" x14ac:dyDescent="0.25">
      <c r="A359" s="4">
        <v>30</v>
      </c>
      <c r="B359" s="4">
        <v>14879</v>
      </c>
      <c r="C359" s="39" t="s">
        <v>390</v>
      </c>
      <c r="D359" s="6" t="s">
        <v>391</v>
      </c>
      <c r="E359" s="7" t="s">
        <v>7</v>
      </c>
      <c r="G359" t="s">
        <v>802</v>
      </c>
    </row>
    <row r="360" spans="1:7" ht="15.75" x14ac:dyDescent="0.25">
      <c r="A360" s="4">
        <v>31</v>
      </c>
      <c r="B360" s="4">
        <v>14887</v>
      </c>
      <c r="C360" s="39" t="s">
        <v>590</v>
      </c>
      <c r="D360" s="6" t="s">
        <v>591</v>
      </c>
      <c r="E360" s="7" t="s">
        <v>8</v>
      </c>
      <c r="G360" t="s">
        <v>802</v>
      </c>
    </row>
    <row r="361" spans="1:7" ht="15.75" x14ac:dyDescent="0.25">
      <c r="A361" s="4">
        <v>32</v>
      </c>
      <c r="B361" s="4">
        <v>14889</v>
      </c>
      <c r="C361" s="39" t="s">
        <v>121</v>
      </c>
      <c r="D361" s="6" t="s">
        <v>122</v>
      </c>
      <c r="E361" s="7" t="s">
        <v>7</v>
      </c>
      <c r="G361" t="s">
        <v>802</v>
      </c>
    </row>
    <row r="362" spans="1:7" ht="15.75" x14ac:dyDescent="0.25">
      <c r="A362" s="4">
        <v>28</v>
      </c>
      <c r="B362" s="4">
        <v>14893</v>
      </c>
      <c r="C362" s="39" t="s">
        <v>489</v>
      </c>
      <c r="D362" s="6" t="s">
        <v>490</v>
      </c>
      <c r="E362" s="24" t="s">
        <v>8</v>
      </c>
      <c r="G362" t="s">
        <v>802</v>
      </c>
    </row>
    <row r="363" spans="1:7" ht="15.75" x14ac:dyDescent="0.25">
      <c r="A363" s="4">
        <v>31</v>
      </c>
      <c r="B363" s="4">
        <v>14919</v>
      </c>
      <c r="C363" s="39" t="s">
        <v>159</v>
      </c>
      <c r="D363" s="6" t="s">
        <v>160</v>
      </c>
      <c r="E363" s="7" t="s">
        <v>7</v>
      </c>
      <c r="G363" t="s">
        <v>802</v>
      </c>
    </row>
    <row r="364" spans="1:7" ht="15.75" x14ac:dyDescent="0.25">
      <c r="A364" s="4">
        <v>35</v>
      </c>
      <c r="B364" s="4">
        <v>14931</v>
      </c>
      <c r="C364" s="39" t="s">
        <v>594</v>
      </c>
      <c r="D364" s="6" t="s">
        <v>595</v>
      </c>
      <c r="E364" s="24" t="s">
        <v>8</v>
      </c>
      <c r="G364" t="s">
        <v>802</v>
      </c>
    </row>
    <row r="365" spans="1:7" ht="15.75" x14ac:dyDescent="0.25">
      <c r="A365" s="4">
        <v>16</v>
      </c>
      <c r="B365" s="4">
        <v>14747</v>
      </c>
      <c r="C365" s="39" t="s">
        <v>767</v>
      </c>
      <c r="D365" s="6" t="s">
        <v>173</v>
      </c>
      <c r="E365" s="7" t="s">
        <v>8</v>
      </c>
    </row>
    <row r="366" spans="1:7" ht="15.75" x14ac:dyDescent="0.25">
      <c r="A366" s="4">
        <v>32</v>
      </c>
      <c r="B366" s="4">
        <v>14910</v>
      </c>
      <c r="C366" s="39" t="s">
        <v>576</v>
      </c>
      <c r="D366" s="6" t="s">
        <v>577</v>
      </c>
      <c r="E366" s="7" t="s">
        <v>8</v>
      </c>
    </row>
  </sheetData>
  <sortState xmlns:xlrd2="http://schemas.microsoft.com/office/spreadsheetml/2017/richdata2" ref="B82:G117">
    <sortCondition ref="D82:D117"/>
  </sortState>
  <mergeCells count="16">
    <mergeCell ref="A1:AC1"/>
    <mergeCell ref="A2:AC2"/>
    <mergeCell ref="A3:AC3"/>
    <mergeCell ref="A4:AC4"/>
    <mergeCell ref="A7:A9"/>
    <mergeCell ref="B7:B9"/>
    <mergeCell ref="C7:C9"/>
    <mergeCell ref="D7:D9"/>
    <mergeCell ref="E7:E9"/>
    <mergeCell ref="F7:H7"/>
    <mergeCell ref="I7:S7"/>
    <mergeCell ref="T7:U7"/>
    <mergeCell ref="V7:AC7"/>
    <mergeCell ref="F8:M8"/>
    <mergeCell ref="N8:U8"/>
    <mergeCell ref="V8:AC8"/>
  </mergeCells>
  <conditionalFormatting sqref="D10:D28 D30:D42">
    <cfRule type="colorScale" priority="111">
      <colorScale>
        <cfvo type="min"/>
        <cfvo type="max"/>
        <color rgb="FFFCFCFF"/>
        <color rgb="FF63BE7B"/>
      </colorScale>
    </cfRule>
    <cfRule type="duplicateValues" dxfId="869" priority="112"/>
  </conditionalFormatting>
  <conditionalFormatting sqref="D29">
    <cfRule type="colorScale" priority="113">
      <colorScale>
        <cfvo type="min"/>
        <cfvo type="max"/>
        <color rgb="FFFCFCFF"/>
        <color rgb="FF63BE7B"/>
      </colorScale>
    </cfRule>
    <cfRule type="duplicateValues" dxfId="868" priority="114"/>
  </conditionalFormatting>
  <conditionalFormatting sqref="D43:D45">
    <cfRule type="colorScale" priority="109">
      <colorScale>
        <cfvo type="min"/>
        <cfvo type="max"/>
        <color rgb="FFFCFCFF"/>
        <color rgb="FF63BE7B"/>
      </colorScale>
    </cfRule>
    <cfRule type="duplicateValues" dxfId="867" priority="110"/>
  </conditionalFormatting>
  <conditionalFormatting sqref="D46:D64 D66:D68 D70:D78">
    <cfRule type="colorScale" priority="99">
      <colorScale>
        <cfvo type="min"/>
        <cfvo type="max"/>
        <color rgb="FFFCFCFF"/>
        <color rgb="FF63BE7B"/>
      </colorScale>
    </cfRule>
    <cfRule type="duplicateValues" dxfId="866" priority="100"/>
  </conditionalFormatting>
  <conditionalFormatting sqref="D65">
    <cfRule type="colorScale" priority="101">
      <colorScale>
        <cfvo type="min"/>
        <cfvo type="max"/>
        <color rgb="FFFCFCFF"/>
        <color rgb="FF63BE7B"/>
      </colorScale>
    </cfRule>
    <cfRule type="duplicateValues" dxfId="865" priority="102"/>
  </conditionalFormatting>
  <conditionalFormatting sqref="D69">
    <cfRule type="colorScale" priority="95">
      <colorScale>
        <cfvo type="min"/>
        <cfvo type="max"/>
        <color rgb="FFFCFCFF"/>
        <color rgb="FF63BE7B"/>
      </colorScale>
    </cfRule>
    <cfRule type="duplicateValues" dxfId="864" priority="96"/>
  </conditionalFormatting>
  <conditionalFormatting sqref="D79:D81">
    <cfRule type="colorScale" priority="97">
      <colorScale>
        <cfvo type="min"/>
        <cfvo type="max"/>
        <color rgb="FFFCFCFF"/>
        <color rgb="FF63BE7B"/>
      </colorScale>
    </cfRule>
    <cfRule type="duplicateValues" dxfId="863" priority="98"/>
  </conditionalFormatting>
  <conditionalFormatting sqref="D82:D98 D102:D114 D100">
    <cfRule type="colorScale" priority="91">
      <colorScale>
        <cfvo type="min"/>
        <cfvo type="max"/>
        <color rgb="FFFCFCFF"/>
        <color rgb="FF63BE7B"/>
      </colorScale>
    </cfRule>
    <cfRule type="duplicateValues" dxfId="862" priority="92"/>
  </conditionalFormatting>
  <conditionalFormatting sqref="D99">
    <cfRule type="colorScale" priority="87">
      <colorScale>
        <cfvo type="min"/>
        <cfvo type="max"/>
        <color rgb="FFFCFCFF"/>
        <color rgb="FF63BE7B"/>
      </colorScale>
    </cfRule>
    <cfRule type="duplicateValues" dxfId="861" priority="88"/>
  </conditionalFormatting>
  <conditionalFormatting sqref="D101">
    <cfRule type="colorScale" priority="93">
      <colorScale>
        <cfvo type="min"/>
        <cfvo type="max"/>
        <color rgb="FFFCFCFF"/>
        <color rgb="FF63BE7B"/>
      </colorScale>
    </cfRule>
    <cfRule type="duplicateValues" dxfId="860" priority="94"/>
  </conditionalFormatting>
  <conditionalFormatting sqref="D115:D117">
    <cfRule type="colorScale" priority="89">
      <colorScale>
        <cfvo type="min"/>
        <cfvo type="max"/>
        <color rgb="FFFCFCFF"/>
        <color rgb="FF63BE7B"/>
      </colorScale>
    </cfRule>
    <cfRule type="duplicateValues" dxfId="859" priority="90"/>
  </conditionalFormatting>
  <conditionalFormatting sqref="D137">
    <cfRule type="colorScale" priority="85">
      <colorScale>
        <cfvo type="min"/>
        <cfvo type="max"/>
        <color rgb="FFFCFCFF"/>
        <color rgb="FF63BE7B"/>
      </colorScale>
    </cfRule>
    <cfRule type="duplicateValues" dxfId="858" priority="86"/>
  </conditionalFormatting>
  <conditionalFormatting sqref="D143">
    <cfRule type="colorScale" priority="79">
      <colorScale>
        <cfvo type="min"/>
        <cfvo type="max"/>
        <color rgb="FFFCFCFF"/>
        <color rgb="FF63BE7B"/>
      </colorScale>
    </cfRule>
    <cfRule type="duplicateValues" dxfId="857" priority="80"/>
  </conditionalFormatting>
  <conditionalFormatting sqref="D144:D149 D118:D136 D138:D142">
    <cfRule type="colorScale" priority="83">
      <colorScale>
        <cfvo type="min"/>
        <cfvo type="max"/>
        <color rgb="FFFCFCFF"/>
        <color rgb="FF63BE7B"/>
      </colorScale>
    </cfRule>
    <cfRule type="duplicateValues" dxfId="856" priority="84"/>
  </conditionalFormatting>
  <conditionalFormatting sqref="D150:D152">
    <cfRule type="colorScale" priority="81">
      <colorScale>
        <cfvo type="min"/>
        <cfvo type="max"/>
        <color rgb="FFFCFCFF"/>
        <color rgb="FF63BE7B"/>
      </colorScale>
    </cfRule>
    <cfRule type="duplicateValues" dxfId="855" priority="82"/>
  </conditionalFormatting>
  <conditionalFormatting sqref="D153:D155 D173:D185 D157:D171">
    <cfRule type="colorScale" priority="75">
      <colorScale>
        <cfvo type="min"/>
        <cfvo type="max"/>
        <color rgb="FFFCFCFF"/>
        <color rgb="FF63BE7B"/>
      </colorScale>
    </cfRule>
    <cfRule type="duplicateValues" dxfId="854" priority="76"/>
  </conditionalFormatting>
  <conditionalFormatting sqref="D156">
    <cfRule type="colorScale" priority="71">
      <colorScale>
        <cfvo type="min"/>
        <cfvo type="max"/>
        <color rgb="FFFCFCFF"/>
        <color rgb="FF63BE7B"/>
      </colorScale>
    </cfRule>
    <cfRule type="duplicateValues" dxfId="853" priority="72"/>
  </conditionalFormatting>
  <conditionalFormatting sqref="D172">
    <cfRule type="colorScale" priority="77">
      <colorScale>
        <cfvo type="min"/>
        <cfvo type="max"/>
        <color rgb="FFFCFCFF"/>
        <color rgb="FF63BE7B"/>
      </colorScale>
    </cfRule>
    <cfRule type="duplicateValues" dxfId="852" priority="78"/>
  </conditionalFormatting>
  <conditionalFormatting sqref="D186:D188">
    <cfRule type="colorScale" priority="73">
      <colorScale>
        <cfvo type="min"/>
        <cfvo type="max"/>
        <color rgb="FFFCFCFF"/>
        <color rgb="FF63BE7B"/>
      </colorScale>
    </cfRule>
    <cfRule type="duplicateValues" dxfId="851" priority="74"/>
  </conditionalFormatting>
  <conditionalFormatting sqref="D189:D190 D209:D210 D192:D207 D212:D221">
    <cfRule type="colorScale" priority="67">
      <colorScale>
        <cfvo type="min"/>
        <cfvo type="max"/>
        <color rgb="FFFCFCFF"/>
        <color rgb="FF63BE7B"/>
      </colorScale>
    </cfRule>
    <cfRule type="duplicateValues" dxfId="850" priority="68"/>
  </conditionalFormatting>
  <conditionalFormatting sqref="D191">
    <cfRule type="colorScale" priority="63">
      <colorScale>
        <cfvo type="min"/>
        <cfvo type="max"/>
        <color rgb="FFFCFCFF"/>
        <color rgb="FF63BE7B"/>
      </colorScale>
    </cfRule>
    <cfRule type="duplicateValues" dxfId="849" priority="64"/>
  </conditionalFormatting>
  <conditionalFormatting sqref="D208">
    <cfRule type="colorScale" priority="69">
      <colorScale>
        <cfvo type="min"/>
        <cfvo type="max"/>
        <color rgb="FFFCFCFF"/>
        <color rgb="FF63BE7B"/>
      </colorScale>
    </cfRule>
    <cfRule type="duplicateValues" dxfId="848" priority="70"/>
  </conditionalFormatting>
  <conditionalFormatting sqref="D211">
    <cfRule type="colorScale" priority="61">
      <colorScale>
        <cfvo type="min"/>
        <cfvo type="max"/>
        <color rgb="FFFCFCFF"/>
        <color rgb="FF63BE7B"/>
      </colorScale>
    </cfRule>
    <cfRule type="duplicateValues" dxfId="847" priority="62"/>
  </conditionalFormatting>
  <conditionalFormatting sqref="D222:D224">
    <cfRule type="colorScale" priority="65">
      <colorScale>
        <cfvo type="min"/>
        <cfvo type="max"/>
        <color rgb="FFFCFCFF"/>
        <color rgb="FF63BE7B"/>
      </colorScale>
    </cfRule>
    <cfRule type="duplicateValues" dxfId="846" priority="66"/>
  </conditionalFormatting>
  <conditionalFormatting sqref="D226">
    <cfRule type="colorScale" priority="55">
      <colorScale>
        <cfvo type="min"/>
        <cfvo type="max"/>
        <color rgb="FFFCFCFF"/>
        <color rgb="FF63BE7B"/>
      </colorScale>
    </cfRule>
    <cfRule type="duplicateValues" dxfId="845" priority="56"/>
  </conditionalFormatting>
  <conditionalFormatting sqref="D231">
    <cfRule type="colorScale" priority="39">
      <colorScale>
        <cfvo type="min"/>
        <cfvo type="max"/>
        <color rgb="FFFCFCFF"/>
        <color rgb="FF63BE7B"/>
      </colorScale>
    </cfRule>
    <cfRule type="duplicateValues" dxfId="844" priority="40"/>
  </conditionalFormatting>
  <conditionalFormatting sqref="D241">
    <cfRule type="colorScale" priority="45">
      <colorScale>
        <cfvo type="min"/>
        <cfvo type="max"/>
        <color rgb="FFFCFCFF"/>
        <color rgb="FF63BE7B"/>
      </colorScale>
    </cfRule>
    <cfRule type="duplicateValues" dxfId="843" priority="46"/>
  </conditionalFormatting>
  <conditionalFormatting sqref="D242">
    <cfRule type="colorScale" priority="41">
      <colorScale>
        <cfvo type="min"/>
        <cfvo type="max"/>
        <color rgb="FFFCFCFF"/>
        <color rgb="FF63BE7B"/>
      </colorScale>
    </cfRule>
    <cfRule type="duplicateValues" dxfId="842" priority="42"/>
  </conditionalFormatting>
  <conditionalFormatting sqref="D244">
    <cfRule type="colorScale" priority="59">
      <colorScale>
        <cfvo type="min"/>
        <cfvo type="max"/>
        <color rgb="FFFCFCFF"/>
        <color rgb="FF63BE7B"/>
      </colorScale>
    </cfRule>
    <cfRule type="duplicateValues" dxfId="841" priority="60"/>
  </conditionalFormatting>
  <conditionalFormatting sqref="D245">
    <cfRule type="colorScale" priority="37">
      <colorScale>
        <cfvo type="min"/>
        <cfvo type="max"/>
        <color rgb="FFFCFCFF"/>
        <color rgb="FF63BE7B"/>
      </colorScale>
    </cfRule>
    <cfRule type="duplicateValues" dxfId="840" priority="38"/>
  </conditionalFormatting>
  <conditionalFormatting sqref="D246">
    <cfRule type="colorScale" priority="43">
      <colorScale>
        <cfvo type="min"/>
        <cfvo type="max"/>
        <color rgb="FFFCFCFF"/>
        <color rgb="FF63BE7B"/>
      </colorScale>
    </cfRule>
    <cfRule type="duplicateValues" dxfId="839" priority="44"/>
  </conditionalFormatting>
  <conditionalFormatting sqref="D247">
    <cfRule type="colorScale" priority="51">
      <colorScale>
        <cfvo type="min"/>
        <cfvo type="max"/>
        <color rgb="FFFCFCFF"/>
        <color rgb="FF63BE7B"/>
      </colorScale>
    </cfRule>
    <cfRule type="duplicateValues" dxfId="838" priority="52"/>
  </conditionalFormatting>
  <conditionalFormatting sqref="D253">
    <cfRule type="colorScale" priority="47">
      <colorScale>
        <cfvo type="min"/>
        <cfvo type="max"/>
        <color rgb="FFFCFCFF"/>
        <color rgb="FF63BE7B"/>
      </colorScale>
    </cfRule>
    <cfRule type="duplicateValues" dxfId="837" priority="48"/>
  </conditionalFormatting>
  <conditionalFormatting sqref="D254:D256 D227:D230 D225 D248:D252 D232:D240 D243">
    <cfRule type="colorScale" priority="53">
      <colorScale>
        <cfvo type="min"/>
        <cfvo type="max"/>
        <color rgb="FFFCFCFF"/>
        <color rgb="FF63BE7B"/>
      </colorScale>
    </cfRule>
    <cfRule type="duplicateValues" dxfId="836" priority="54"/>
  </conditionalFormatting>
  <conditionalFormatting sqref="D257">
    <cfRule type="colorScale" priority="49">
      <colorScale>
        <cfvo type="min"/>
        <cfvo type="max"/>
        <color rgb="FFFCFCFF"/>
        <color rgb="FF63BE7B"/>
      </colorScale>
    </cfRule>
    <cfRule type="duplicateValues" dxfId="835" priority="50"/>
  </conditionalFormatting>
  <conditionalFormatting sqref="D258:D259">
    <cfRule type="colorScale" priority="57">
      <colorScale>
        <cfvo type="min"/>
        <cfvo type="max"/>
        <color rgb="FFFCFCFF"/>
        <color rgb="FF63BE7B"/>
      </colorScale>
    </cfRule>
    <cfRule type="duplicateValues" dxfId="834" priority="58"/>
  </conditionalFormatting>
  <conditionalFormatting sqref="D262:D267 D287:D289 D282:D285 D291:D294 D269:D272 D274:D280">
    <cfRule type="colorScale" priority="29">
      <colorScale>
        <cfvo type="min"/>
        <cfvo type="max"/>
        <color rgb="FFFCFCFF"/>
        <color rgb="FF63BE7B"/>
      </colorScale>
    </cfRule>
    <cfRule type="duplicateValues" dxfId="833" priority="30"/>
  </conditionalFormatting>
  <conditionalFormatting sqref="D268">
    <cfRule type="colorScale" priority="23">
      <colorScale>
        <cfvo type="min"/>
        <cfvo type="max"/>
        <color rgb="FFFCFCFF"/>
        <color rgb="FF63BE7B"/>
      </colorScale>
    </cfRule>
    <cfRule type="duplicateValues" dxfId="832" priority="24"/>
  </conditionalFormatting>
  <conditionalFormatting sqref="D273">
    <cfRule type="colorScale" priority="21">
      <colorScale>
        <cfvo type="min"/>
        <cfvo type="max"/>
        <color rgb="FFFCFCFF"/>
        <color rgb="FF63BE7B"/>
      </colorScale>
    </cfRule>
    <cfRule type="duplicateValues" dxfId="831" priority="22"/>
  </conditionalFormatting>
  <conditionalFormatting sqref="D281">
    <cfRule type="colorScale" priority="35">
      <colorScale>
        <cfvo type="min"/>
        <cfvo type="max"/>
        <color rgb="FFFCFCFF"/>
        <color rgb="FF63BE7B"/>
      </colorScale>
    </cfRule>
    <cfRule type="duplicateValues" dxfId="830" priority="36"/>
  </conditionalFormatting>
  <conditionalFormatting sqref="D286">
    <cfRule type="colorScale" priority="31">
      <colorScale>
        <cfvo type="min"/>
        <cfvo type="max"/>
        <color rgb="FFFCFCFF"/>
        <color rgb="FF63BE7B"/>
      </colorScale>
    </cfRule>
    <cfRule type="duplicateValues" dxfId="829" priority="32"/>
  </conditionalFormatting>
  <conditionalFormatting sqref="D290">
    <cfRule type="colorScale" priority="25">
      <colorScale>
        <cfvo type="min"/>
        <cfvo type="max"/>
        <color rgb="FFFCFCFF"/>
        <color rgb="FF63BE7B"/>
      </colorScale>
    </cfRule>
    <cfRule type="duplicateValues" dxfId="828" priority="26"/>
  </conditionalFormatting>
  <conditionalFormatting sqref="D295">
    <cfRule type="colorScale" priority="27">
      <colorScale>
        <cfvo type="min"/>
        <cfvo type="max"/>
        <color rgb="FFFCFCFF"/>
        <color rgb="FF63BE7B"/>
      </colorScale>
    </cfRule>
    <cfRule type="duplicateValues" dxfId="827" priority="28"/>
  </conditionalFormatting>
  <conditionalFormatting sqref="D296:D297">
    <cfRule type="colorScale" priority="33">
      <colorScale>
        <cfvo type="min"/>
        <cfvo type="max"/>
        <color rgb="FFFCFCFF"/>
        <color rgb="FF63BE7B"/>
      </colorScale>
    </cfRule>
    <cfRule type="duplicateValues" dxfId="826" priority="34"/>
  </conditionalFormatting>
  <conditionalFormatting sqref="D298:D305 D318:D323 D307:D316 D325:D330">
    <cfRule type="colorScale" priority="17">
      <colorScale>
        <cfvo type="min"/>
        <cfvo type="max"/>
        <color rgb="FFFCFCFF"/>
        <color rgb="FF63BE7B"/>
      </colorScale>
    </cfRule>
    <cfRule type="duplicateValues" dxfId="825" priority="18"/>
  </conditionalFormatting>
  <conditionalFormatting sqref="D306">
    <cfRule type="colorScale" priority="13">
      <colorScale>
        <cfvo type="min"/>
        <cfvo type="max"/>
        <color rgb="FFFCFCFF"/>
        <color rgb="FF63BE7B"/>
      </colorScale>
    </cfRule>
    <cfRule type="duplicateValues" dxfId="824" priority="14"/>
  </conditionalFormatting>
  <conditionalFormatting sqref="D317">
    <cfRule type="colorScale" priority="19">
      <colorScale>
        <cfvo type="min"/>
        <cfvo type="max"/>
        <color rgb="FFFCFCFF"/>
        <color rgb="FF63BE7B"/>
      </colorScale>
    </cfRule>
    <cfRule type="duplicateValues" dxfId="823" priority="20"/>
  </conditionalFormatting>
  <conditionalFormatting sqref="D324">
    <cfRule type="colorScale" priority="11">
      <colorScale>
        <cfvo type="min"/>
        <cfvo type="max"/>
        <color rgb="FFFCFCFF"/>
        <color rgb="FF63BE7B"/>
      </colorScale>
    </cfRule>
    <cfRule type="duplicateValues" dxfId="822" priority="12"/>
  </conditionalFormatting>
  <conditionalFormatting sqref="D331:D333">
    <cfRule type="colorScale" priority="15">
      <colorScale>
        <cfvo type="min"/>
        <cfvo type="max"/>
        <color rgb="FFFCFCFF"/>
        <color rgb="FF63BE7B"/>
      </colorScale>
    </cfRule>
    <cfRule type="duplicateValues" dxfId="821" priority="16"/>
  </conditionalFormatting>
  <conditionalFormatting sqref="D338">
    <cfRule type="colorScale" priority="7">
      <colorScale>
        <cfvo type="min"/>
        <cfvo type="max"/>
        <color rgb="FFFCFCFF"/>
        <color rgb="FF63BE7B"/>
      </colorScale>
    </cfRule>
    <cfRule type="duplicateValues" dxfId="820" priority="8"/>
  </conditionalFormatting>
  <conditionalFormatting sqref="D352">
    <cfRule type="colorScale" priority="9">
      <colorScale>
        <cfvo type="min"/>
        <cfvo type="max"/>
        <color rgb="FFFCFCFF"/>
        <color rgb="FF63BE7B"/>
      </colorScale>
    </cfRule>
    <cfRule type="duplicateValues" dxfId="819" priority="10"/>
  </conditionalFormatting>
  <conditionalFormatting sqref="D353:D360 D334:D337 D362:D364 D339:D351">
    <cfRule type="colorScale" priority="3">
      <colorScale>
        <cfvo type="min"/>
        <cfvo type="max"/>
        <color rgb="FFFCFCFF"/>
        <color rgb="FF63BE7B"/>
      </colorScale>
    </cfRule>
    <cfRule type="duplicateValues" dxfId="818" priority="4"/>
  </conditionalFormatting>
  <conditionalFormatting sqref="D361">
    <cfRule type="colorScale" priority="5">
      <colorScale>
        <cfvo type="min"/>
        <cfvo type="max"/>
        <color rgb="FFFCFCFF"/>
        <color rgb="FF63BE7B"/>
      </colorScale>
    </cfRule>
    <cfRule type="duplicateValues" dxfId="817" priority="6"/>
  </conditionalFormatting>
  <conditionalFormatting sqref="D365:D366">
    <cfRule type="colorScale" priority="1">
      <colorScale>
        <cfvo type="min"/>
        <cfvo type="max"/>
        <color rgb="FFFCFCFF"/>
        <color rgb="FF63BE7B"/>
      </colorScale>
    </cfRule>
    <cfRule type="duplicateValues" dxfId="816" priority="2"/>
  </conditionalFormatting>
  <conditionalFormatting sqref="BB10:BB28 BB30:BB42">
    <cfRule type="colorScale" priority="105">
      <colorScale>
        <cfvo type="min"/>
        <cfvo type="max"/>
        <color rgb="FFFCFCFF"/>
        <color rgb="FF63BE7B"/>
      </colorScale>
    </cfRule>
    <cfRule type="duplicateValues" dxfId="815" priority="106"/>
  </conditionalFormatting>
  <conditionalFormatting sqref="BB29">
    <cfRule type="colorScale" priority="107">
      <colorScale>
        <cfvo type="min"/>
        <cfvo type="max"/>
        <color rgb="FFFCFCFF"/>
        <color rgb="FF63BE7B"/>
      </colorScale>
    </cfRule>
    <cfRule type="duplicateValues" dxfId="814" priority="108"/>
  </conditionalFormatting>
  <conditionalFormatting sqref="BB43:BB45">
    <cfRule type="colorScale" priority="103">
      <colorScale>
        <cfvo type="min"/>
        <cfvo type="max"/>
        <color rgb="FFFCFCFF"/>
        <color rgb="FF63BE7B"/>
      </colorScale>
    </cfRule>
    <cfRule type="duplicateValues" dxfId="813" priority="104"/>
  </conditionalFormatting>
  <pageMargins left="0.23622047244094491" right="0.15748031496062992" top="0.43307086614173229" bottom="0.62992125984251968" header="0.31496062992125984" footer="0.31496062992125984"/>
  <pageSetup paperSize="5" scale="85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68"/>
  <sheetViews>
    <sheetView topLeftCell="A302" workbookViewId="0">
      <selection activeCell="B334" sqref="B334:E368"/>
    </sheetView>
  </sheetViews>
  <sheetFormatPr defaultColWidth="3.28515625" defaultRowHeight="15" x14ac:dyDescent="0.25"/>
  <cols>
    <col min="1" max="1" width="4.5703125" bestFit="1" customWidth="1"/>
    <col min="2" max="2" width="13" customWidth="1"/>
    <col min="3" max="3" width="11" bestFit="1" customWidth="1"/>
    <col min="4" max="4" width="34.28515625" customWidth="1"/>
    <col min="5" max="5" width="3.7109375" bestFit="1" customWidth="1"/>
    <col min="6" max="29" width="2.7109375" customWidth="1"/>
    <col min="31" max="31" width="9.42578125" hidden="1" customWidth="1"/>
    <col min="32" max="33" width="0" hidden="1" customWidth="1"/>
    <col min="34" max="34" width="11" hidden="1" customWidth="1"/>
    <col min="35" max="35" width="9" hidden="1" customWidth="1"/>
    <col min="36" max="49" width="0" hidden="1" customWidth="1"/>
  </cols>
  <sheetData>
    <row r="1" spans="1:36" x14ac:dyDescent="0.25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E1" s="15" t="s">
        <v>726</v>
      </c>
      <c r="AF1" t="s">
        <v>604</v>
      </c>
      <c r="AG1">
        <v>20527197</v>
      </c>
      <c r="AH1" t="s">
        <v>605</v>
      </c>
      <c r="AI1" t="s">
        <v>8</v>
      </c>
    </row>
    <row r="2" spans="1:36" ht="21.75" customHeight="1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E2" s="15" t="s">
        <v>726</v>
      </c>
      <c r="AF2" t="s">
        <v>570</v>
      </c>
      <c r="AG2">
        <v>20583363</v>
      </c>
      <c r="AH2" t="s">
        <v>571</v>
      </c>
      <c r="AI2" t="s">
        <v>7</v>
      </c>
    </row>
    <row r="3" spans="1:36" ht="20.25" customHeight="1" x14ac:dyDescent="0.25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E3" s="15" t="s">
        <v>726</v>
      </c>
      <c r="AF3" t="s">
        <v>465</v>
      </c>
      <c r="AG3">
        <v>20527197</v>
      </c>
      <c r="AH3" t="s">
        <v>466</v>
      </c>
      <c r="AI3" t="s">
        <v>8</v>
      </c>
    </row>
    <row r="4" spans="1:36" ht="21" x14ac:dyDescent="0.35">
      <c r="A4" s="55" t="s">
        <v>761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E4" s="18" t="s">
        <v>371</v>
      </c>
      <c r="AF4" t="s">
        <v>276</v>
      </c>
      <c r="AG4">
        <v>20527180</v>
      </c>
      <c r="AH4" t="s">
        <v>277</v>
      </c>
      <c r="AI4" t="s">
        <v>8</v>
      </c>
    </row>
    <row r="5" spans="1:36" x14ac:dyDescent="0.25">
      <c r="A5" s="1"/>
      <c r="B5" s="1"/>
      <c r="C5" s="2"/>
      <c r="P5" s="11"/>
      <c r="AE5" s="15" t="s">
        <v>726</v>
      </c>
      <c r="AF5" t="s">
        <v>697</v>
      </c>
      <c r="AG5">
        <v>20527202</v>
      </c>
      <c r="AH5" t="s">
        <v>698</v>
      </c>
      <c r="AI5" t="s">
        <v>8</v>
      </c>
    </row>
    <row r="6" spans="1:36" ht="3.75" customHeight="1" x14ac:dyDescent="0.25">
      <c r="A6" s="1"/>
      <c r="B6" s="1"/>
      <c r="C6" s="2"/>
      <c r="AE6" s="15" t="s">
        <v>726</v>
      </c>
      <c r="AF6" t="s">
        <v>527</v>
      </c>
      <c r="AG6">
        <v>20527180</v>
      </c>
      <c r="AH6" t="s">
        <v>528</v>
      </c>
      <c r="AI6" t="s">
        <v>7</v>
      </c>
    </row>
    <row r="7" spans="1:36" x14ac:dyDescent="0.25">
      <c r="A7" s="56" t="s">
        <v>0</v>
      </c>
      <c r="B7" s="57" t="s">
        <v>803</v>
      </c>
      <c r="C7" s="57" t="s">
        <v>1</v>
      </c>
      <c r="D7" s="56" t="s">
        <v>2</v>
      </c>
      <c r="E7" s="58" t="s">
        <v>3</v>
      </c>
      <c r="F7" s="59" t="s">
        <v>4</v>
      </c>
      <c r="G7" s="60"/>
      <c r="H7" s="61"/>
      <c r="I7" s="62" t="s">
        <v>774</v>
      </c>
      <c r="J7" s="63"/>
      <c r="K7" s="63"/>
      <c r="L7" s="63"/>
      <c r="M7" s="63"/>
      <c r="N7" s="63"/>
      <c r="O7" s="63"/>
      <c r="P7" s="63"/>
      <c r="Q7" s="63"/>
      <c r="R7" s="63"/>
      <c r="S7" s="64"/>
      <c r="T7" s="65" t="s">
        <v>5</v>
      </c>
      <c r="U7" s="65"/>
      <c r="V7" s="66" t="s">
        <v>775</v>
      </c>
      <c r="W7" s="67"/>
      <c r="X7" s="67"/>
      <c r="Y7" s="67"/>
      <c r="Z7" s="67"/>
      <c r="AA7" s="67"/>
      <c r="AB7" s="67"/>
      <c r="AC7" s="67"/>
      <c r="AE7" s="18" t="s">
        <v>371</v>
      </c>
      <c r="AF7" t="s">
        <v>236</v>
      </c>
      <c r="AG7">
        <v>20527197</v>
      </c>
      <c r="AH7" t="s">
        <v>237</v>
      </c>
      <c r="AI7" t="s">
        <v>8</v>
      </c>
    </row>
    <row r="8" spans="1:36" x14ac:dyDescent="0.25">
      <c r="A8" s="56"/>
      <c r="B8" s="57"/>
      <c r="C8" s="57"/>
      <c r="D8" s="56"/>
      <c r="E8" s="58"/>
      <c r="F8" s="68" t="s">
        <v>6</v>
      </c>
      <c r="G8" s="68"/>
      <c r="H8" s="68"/>
      <c r="I8" s="68"/>
      <c r="J8" s="68"/>
      <c r="K8" s="68"/>
      <c r="L8" s="68"/>
      <c r="M8" s="68"/>
      <c r="N8" s="68" t="s">
        <v>6</v>
      </c>
      <c r="O8" s="68"/>
      <c r="P8" s="68"/>
      <c r="Q8" s="68"/>
      <c r="R8" s="68"/>
      <c r="S8" s="68"/>
      <c r="T8" s="68"/>
      <c r="U8" s="68"/>
      <c r="V8" s="68" t="s">
        <v>6</v>
      </c>
      <c r="W8" s="68"/>
      <c r="X8" s="68"/>
      <c r="Y8" s="68"/>
      <c r="Z8" s="68"/>
      <c r="AA8" s="68"/>
      <c r="AB8" s="68"/>
      <c r="AC8" s="68"/>
      <c r="AE8" s="13" t="s">
        <v>50</v>
      </c>
      <c r="AF8" t="s">
        <v>42</v>
      </c>
      <c r="AG8">
        <v>20566545</v>
      </c>
      <c r="AH8" t="s">
        <v>43</v>
      </c>
      <c r="AI8" t="s">
        <v>7</v>
      </c>
    </row>
    <row r="9" spans="1:36" x14ac:dyDescent="0.25">
      <c r="A9" s="56"/>
      <c r="B9" s="57"/>
      <c r="C9" s="57"/>
      <c r="D9" s="56"/>
      <c r="E9" s="58"/>
      <c r="F9" s="3">
        <v>1</v>
      </c>
      <c r="G9" s="3">
        <v>2</v>
      </c>
      <c r="H9" s="3">
        <v>3</v>
      </c>
      <c r="I9" s="3">
        <v>4</v>
      </c>
      <c r="J9" s="3">
        <v>5</v>
      </c>
      <c r="K9" s="3">
        <v>6</v>
      </c>
      <c r="L9" s="3">
        <v>7</v>
      </c>
      <c r="M9" s="3">
        <v>8</v>
      </c>
      <c r="N9" s="3">
        <v>1</v>
      </c>
      <c r="O9" s="3">
        <v>2</v>
      </c>
      <c r="P9" s="3">
        <v>3</v>
      </c>
      <c r="Q9" s="3">
        <v>4</v>
      </c>
      <c r="R9" s="3">
        <v>5</v>
      </c>
      <c r="S9" s="3">
        <v>6</v>
      </c>
      <c r="T9" s="3">
        <v>7</v>
      </c>
      <c r="U9" s="3">
        <v>8</v>
      </c>
      <c r="V9" s="3">
        <v>1</v>
      </c>
      <c r="W9" s="3">
        <v>2</v>
      </c>
      <c r="X9" s="3">
        <v>3</v>
      </c>
      <c r="Y9" s="3">
        <v>4</v>
      </c>
      <c r="Z9" s="3">
        <v>5</v>
      </c>
      <c r="AA9" s="3">
        <v>6</v>
      </c>
      <c r="AB9" s="3">
        <v>7</v>
      </c>
      <c r="AC9" s="3">
        <v>8</v>
      </c>
      <c r="AE9" s="18" t="s">
        <v>371</v>
      </c>
      <c r="AF9" t="s">
        <v>361</v>
      </c>
      <c r="AG9">
        <v>20527193</v>
      </c>
      <c r="AH9" t="s">
        <v>362</v>
      </c>
      <c r="AI9" t="s">
        <v>8</v>
      </c>
    </row>
    <row r="10" spans="1:36" ht="20.100000000000001" customHeight="1" x14ac:dyDescent="0.25">
      <c r="A10" s="4">
        <v>1</v>
      </c>
      <c r="B10" s="4">
        <v>14591</v>
      </c>
      <c r="C10" s="5" t="s">
        <v>547</v>
      </c>
      <c r="D10" s="6" t="s">
        <v>548</v>
      </c>
      <c r="E10" s="7" t="s">
        <v>8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t="s">
        <v>793</v>
      </c>
      <c r="AE10" s="18" t="s">
        <v>371</v>
      </c>
      <c r="AF10" t="s">
        <v>272</v>
      </c>
      <c r="AG10">
        <v>20527180</v>
      </c>
      <c r="AH10" t="s">
        <v>273</v>
      </c>
      <c r="AI10" t="s">
        <v>7</v>
      </c>
      <c r="AJ10" t="str">
        <f>UPPER(D10)</f>
        <v>ACH IMAM MURTADHO</v>
      </c>
    </row>
    <row r="11" spans="1:36" ht="20.100000000000001" customHeight="1" x14ac:dyDescent="0.25">
      <c r="A11" s="4">
        <v>2</v>
      </c>
      <c r="B11" s="4">
        <v>14601</v>
      </c>
      <c r="C11" s="5" t="s">
        <v>570</v>
      </c>
      <c r="D11" s="6" t="s">
        <v>727</v>
      </c>
      <c r="E11" s="7" t="s">
        <v>7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t="s">
        <v>793</v>
      </c>
      <c r="AE11" s="14" t="s">
        <v>141</v>
      </c>
      <c r="AF11" t="s">
        <v>127</v>
      </c>
      <c r="AG11">
        <v>20528609</v>
      </c>
      <c r="AH11" t="s">
        <v>128</v>
      </c>
      <c r="AI11" t="s">
        <v>8</v>
      </c>
      <c r="AJ11" t="str">
        <f t="shared" ref="AJ11:AJ45" si="0">UPPER(D11)</f>
        <v>ADINTYA DJASMINE AULIA</v>
      </c>
    </row>
    <row r="12" spans="1:36" ht="20.100000000000001" customHeight="1" x14ac:dyDescent="0.25">
      <c r="A12" s="4">
        <v>3</v>
      </c>
      <c r="B12" s="4">
        <v>14602</v>
      </c>
      <c r="C12" s="9" t="s">
        <v>693</v>
      </c>
      <c r="D12" s="6" t="s">
        <v>694</v>
      </c>
      <c r="E12" s="7" t="s">
        <v>8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t="s">
        <v>793</v>
      </c>
      <c r="AE12" s="14" t="s">
        <v>141</v>
      </c>
      <c r="AF12" t="s">
        <v>81</v>
      </c>
      <c r="AG12">
        <v>20583410</v>
      </c>
      <c r="AH12" t="s">
        <v>82</v>
      </c>
      <c r="AI12" t="s">
        <v>8</v>
      </c>
      <c r="AJ12" t="str">
        <f t="shared" si="0"/>
        <v>ADLI MOURA ADYTIA RAUF</v>
      </c>
    </row>
    <row r="13" spans="1:36" ht="20.100000000000001" customHeight="1" x14ac:dyDescent="0.25">
      <c r="A13" s="4">
        <v>4</v>
      </c>
      <c r="B13" s="4">
        <v>14603</v>
      </c>
      <c r="C13" s="5" t="s">
        <v>117</v>
      </c>
      <c r="D13" s="6" t="s">
        <v>118</v>
      </c>
      <c r="E13" s="7" t="s">
        <v>8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t="s">
        <v>793</v>
      </c>
      <c r="AE13" s="13" t="s">
        <v>50</v>
      </c>
      <c r="AF13" t="s">
        <v>14</v>
      </c>
      <c r="AG13">
        <v>20527185</v>
      </c>
      <c r="AH13" t="s">
        <v>15</v>
      </c>
      <c r="AI13" t="s">
        <v>8</v>
      </c>
      <c r="AJ13" t="str">
        <f t="shared" si="0"/>
        <v>ADLI YUSUF ALIFDI</v>
      </c>
    </row>
    <row r="14" spans="1:36" ht="20.100000000000001" customHeight="1" x14ac:dyDescent="0.25">
      <c r="A14" s="4">
        <v>5</v>
      </c>
      <c r="B14" s="4">
        <v>14614</v>
      </c>
      <c r="C14" s="5" t="s">
        <v>614</v>
      </c>
      <c r="D14" s="5" t="s">
        <v>615</v>
      </c>
      <c r="E14" s="7" t="s">
        <v>8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t="s">
        <v>793</v>
      </c>
      <c r="AE14" s="15" t="s">
        <v>726</v>
      </c>
      <c r="AF14" t="s">
        <v>622</v>
      </c>
      <c r="AG14">
        <v>20527197</v>
      </c>
      <c r="AH14" t="s">
        <v>623</v>
      </c>
      <c r="AI14" t="s">
        <v>7</v>
      </c>
      <c r="AJ14" t="str">
        <f t="shared" si="0"/>
        <v>AKBAR RAHMATULLAH RAMADHAN</v>
      </c>
    </row>
    <row r="15" spans="1:36" ht="20.100000000000001" customHeight="1" x14ac:dyDescent="0.25">
      <c r="A15" s="4">
        <v>6</v>
      </c>
      <c r="B15" s="4">
        <v>14616</v>
      </c>
      <c r="C15" s="5" t="s">
        <v>511</v>
      </c>
      <c r="D15" s="6" t="s">
        <v>512</v>
      </c>
      <c r="E15" s="7" t="s">
        <v>8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t="s">
        <v>793</v>
      </c>
      <c r="AE15" s="18" t="s">
        <v>371</v>
      </c>
      <c r="AF15" t="s">
        <v>240</v>
      </c>
      <c r="AG15">
        <v>20527197</v>
      </c>
      <c r="AH15" t="s">
        <v>241</v>
      </c>
      <c r="AI15" t="s">
        <v>7</v>
      </c>
      <c r="AJ15" t="str">
        <f t="shared" si="0"/>
        <v>AKRAM ARKANANTA FIRDAUS</v>
      </c>
    </row>
    <row r="16" spans="1:36" ht="20.100000000000001" customHeight="1" x14ac:dyDescent="0.25">
      <c r="A16" s="4">
        <v>7</v>
      </c>
      <c r="B16" s="4">
        <v>14619</v>
      </c>
      <c r="C16" s="5" t="s">
        <v>606</v>
      </c>
      <c r="D16" s="6" t="s">
        <v>607</v>
      </c>
      <c r="E16" s="7" t="s">
        <v>8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t="s">
        <v>793</v>
      </c>
      <c r="AE16" s="18" t="s">
        <v>371</v>
      </c>
      <c r="AF16" t="s">
        <v>323</v>
      </c>
      <c r="AG16">
        <v>20528625</v>
      </c>
      <c r="AH16" t="s">
        <v>324</v>
      </c>
      <c r="AI16" t="s">
        <v>8</v>
      </c>
      <c r="AJ16" t="str">
        <f t="shared" si="0"/>
        <v>ALDO SUKMA MAULIDZI</v>
      </c>
    </row>
    <row r="17" spans="1:36" ht="20.100000000000001" customHeight="1" x14ac:dyDescent="0.25">
      <c r="A17" s="4">
        <v>8</v>
      </c>
      <c r="B17" s="4">
        <v>14621</v>
      </c>
      <c r="C17" s="5" t="s">
        <v>681</v>
      </c>
      <c r="D17" s="6" t="s">
        <v>682</v>
      </c>
      <c r="E17" s="7" t="s">
        <v>7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t="s">
        <v>793</v>
      </c>
      <c r="AE17" s="15" t="s">
        <v>726</v>
      </c>
      <c r="AF17" t="s">
        <v>505</v>
      </c>
      <c r="AG17">
        <v>20527180</v>
      </c>
      <c r="AH17" t="s">
        <v>506</v>
      </c>
      <c r="AI17" t="s">
        <v>8</v>
      </c>
      <c r="AJ17" t="str">
        <f t="shared" si="0"/>
        <v>ALISHA RAMADHANI POERNOMO</v>
      </c>
    </row>
    <row r="18" spans="1:36" ht="20.100000000000001" customHeight="1" x14ac:dyDescent="0.25">
      <c r="A18" s="4">
        <v>9</v>
      </c>
      <c r="B18" s="4">
        <v>14628</v>
      </c>
      <c r="C18" s="5" t="s">
        <v>299</v>
      </c>
      <c r="D18" s="5" t="s">
        <v>300</v>
      </c>
      <c r="E18" s="7" t="s">
        <v>7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t="s">
        <v>793</v>
      </c>
      <c r="AE18" s="15" t="s">
        <v>726</v>
      </c>
      <c r="AF18" t="s">
        <v>434</v>
      </c>
      <c r="AG18">
        <v>20527197</v>
      </c>
      <c r="AH18" t="s">
        <v>435</v>
      </c>
      <c r="AI18" t="s">
        <v>8</v>
      </c>
      <c r="AJ18" t="str">
        <f t="shared" si="0"/>
        <v>AMELIA RIZKI RAMADHANI SURYANTO</v>
      </c>
    </row>
    <row r="19" spans="1:36" ht="20.100000000000001" customHeight="1" x14ac:dyDescent="0.25">
      <c r="A19" s="4">
        <v>10</v>
      </c>
      <c r="B19" s="4">
        <v>14660</v>
      </c>
      <c r="C19" s="5" t="s">
        <v>537</v>
      </c>
      <c r="D19" s="6" t="s">
        <v>538</v>
      </c>
      <c r="E19" s="7" t="s">
        <v>7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t="s">
        <v>793</v>
      </c>
      <c r="AE19" s="15" t="s">
        <v>726</v>
      </c>
      <c r="AF19" t="s">
        <v>580</v>
      </c>
      <c r="AG19">
        <v>20527197</v>
      </c>
      <c r="AH19" t="s">
        <v>581</v>
      </c>
      <c r="AI19" t="s">
        <v>8</v>
      </c>
      <c r="AJ19" t="str">
        <f t="shared" si="0"/>
        <v>AZIMU NASYWA YATRIN</v>
      </c>
    </row>
    <row r="20" spans="1:36" ht="20.100000000000001" customHeight="1" x14ac:dyDescent="0.25">
      <c r="A20" s="4">
        <v>11</v>
      </c>
      <c r="B20" s="4">
        <v>14663</v>
      </c>
      <c r="C20" s="5" t="s">
        <v>527</v>
      </c>
      <c r="D20" s="6" t="s">
        <v>528</v>
      </c>
      <c r="E20" s="7" t="s">
        <v>7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t="s">
        <v>793</v>
      </c>
      <c r="AE20" s="15" t="s">
        <v>726</v>
      </c>
      <c r="AF20" t="s">
        <v>651</v>
      </c>
      <c r="AG20">
        <v>20527197</v>
      </c>
      <c r="AH20" t="s">
        <v>652</v>
      </c>
      <c r="AI20" t="s">
        <v>8</v>
      </c>
      <c r="AJ20" t="str">
        <f t="shared" si="0"/>
        <v>BELVA PRATISARA DIYAS</v>
      </c>
    </row>
    <row r="21" spans="1:36" ht="20.100000000000001" customHeight="1" x14ac:dyDescent="0.25">
      <c r="A21" s="4">
        <v>12</v>
      </c>
      <c r="B21" s="4">
        <v>14664</v>
      </c>
      <c r="C21" s="5" t="s">
        <v>683</v>
      </c>
      <c r="D21" s="6" t="s">
        <v>747</v>
      </c>
      <c r="E21" s="7" t="s">
        <v>8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t="s">
        <v>793</v>
      </c>
      <c r="AE21" s="15" t="s">
        <v>726</v>
      </c>
      <c r="AF21" t="s">
        <v>398</v>
      </c>
      <c r="AG21">
        <v>69816340</v>
      </c>
      <c r="AH21" t="s">
        <v>399</v>
      </c>
      <c r="AI21" t="s">
        <v>8</v>
      </c>
      <c r="AJ21" t="str">
        <f t="shared" si="0"/>
        <v>BENNETT WANG</v>
      </c>
    </row>
    <row r="22" spans="1:36" ht="20.100000000000001" customHeight="1" x14ac:dyDescent="0.25">
      <c r="A22" s="4">
        <v>13</v>
      </c>
      <c r="B22" s="4">
        <v>14669</v>
      </c>
      <c r="C22" s="5" t="s">
        <v>274</v>
      </c>
      <c r="D22" s="6" t="s">
        <v>275</v>
      </c>
      <c r="E22" s="7" t="s">
        <v>8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t="s">
        <v>793</v>
      </c>
      <c r="AE22" s="15" t="s">
        <v>726</v>
      </c>
      <c r="AF22" t="s">
        <v>386</v>
      </c>
      <c r="AG22">
        <v>20527197</v>
      </c>
      <c r="AH22" t="s">
        <v>387</v>
      </c>
      <c r="AI22" t="s">
        <v>7</v>
      </c>
      <c r="AJ22" t="str">
        <f t="shared" si="0"/>
        <v>BIMA SETIAWAN RELA</v>
      </c>
    </row>
    <row r="23" spans="1:36" ht="20.100000000000001" customHeight="1" x14ac:dyDescent="0.25">
      <c r="A23" s="4">
        <v>14</v>
      </c>
      <c r="B23" s="4">
        <v>14675</v>
      </c>
      <c r="C23" s="5" t="s">
        <v>353</v>
      </c>
      <c r="D23" s="6" t="s">
        <v>354</v>
      </c>
      <c r="E23" s="7" t="s">
        <v>7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t="s">
        <v>793</v>
      </c>
      <c r="AE23" s="17" t="s">
        <v>197</v>
      </c>
      <c r="AF23" t="s">
        <v>174</v>
      </c>
      <c r="AG23">
        <v>69991338</v>
      </c>
      <c r="AH23" t="s">
        <v>175</v>
      </c>
      <c r="AI23" t="s">
        <v>8</v>
      </c>
      <c r="AJ23" t="str">
        <f t="shared" si="0"/>
        <v>CARISSA DWI PUTRI LARASATI</v>
      </c>
    </row>
    <row r="24" spans="1:36" ht="20.100000000000001" customHeight="1" x14ac:dyDescent="0.25">
      <c r="A24" s="4">
        <v>15</v>
      </c>
      <c r="B24" s="4">
        <v>14691</v>
      </c>
      <c r="C24" s="5" t="s">
        <v>762</v>
      </c>
      <c r="D24" s="6" t="s">
        <v>255</v>
      </c>
      <c r="E24" s="7" t="s">
        <v>7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t="s">
        <v>793</v>
      </c>
      <c r="AE24" s="16" t="s">
        <v>80</v>
      </c>
      <c r="AF24" t="s">
        <v>74</v>
      </c>
      <c r="AG24">
        <v>20364507</v>
      </c>
      <c r="AH24" t="s">
        <v>75</v>
      </c>
      <c r="AI24" t="s">
        <v>7</v>
      </c>
      <c r="AJ24" t="str">
        <f t="shared" si="0"/>
        <v>DYAH SYAFARINA ROSAYANTI</v>
      </c>
    </row>
    <row r="25" spans="1:36" ht="20.100000000000001" customHeight="1" x14ac:dyDescent="0.25">
      <c r="A25" s="4">
        <v>16</v>
      </c>
      <c r="B25" s="4">
        <v>14703</v>
      </c>
      <c r="C25" s="5" t="s">
        <v>367</v>
      </c>
      <c r="D25" s="6" t="s">
        <v>368</v>
      </c>
      <c r="E25" s="7" t="s">
        <v>8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t="s">
        <v>793</v>
      </c>
      <c r="AE25" s="15" t="s">
        <v>726</v>
      </c>
      <c r="AF25" t="s">
        <v>543</v>
      </c>
      <c r="AG25">
        <v>20527180</v>
      </c>
      <c r="AH25" t="s">
        <v>544</v>
      </c>
      <c r="AI25" t="s">
        <v>8</v>
      </c>
      <c r="AJ25" t="str">
        <f t="shared" si="0"/>
        <v>FARDAN ABDILLAH NUR FIRDAUS</v>
      </c>
    </row>
    <row r="26" spans="1:36" ht="20.100000000000001" customHeight="1" x14ac:dyDescent="0.25">
      <c r="A26" s="4">
        <v>17</v>
      </c>
      <c r="B26" s="4">
        <v>14709</v>
      </c>
      <c r="C26" s="5" t="s">
        <v>722</v>
      </c>
      <c r="D26" s="6" t="s">
        <v>723</v>
      </c>
      <c r="E26" s="7" t="s">
        <v>8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t="s">
        <v>793</v>
      </c>
      <c r="AE26" s="15" t="s">
        <v>726</v>
      </c>
      <c r="AF26" t="s">
        <v>655</v>
      </c>
      <c r="AG26">
        <v>20527193</v>
      </c>
      <c r="AH26" t="s">
        <v>656</v>
      </c>
      <c r="AI26" t="s">
        <v>7</v>
      </c>
      <c r="AJ26" t="str">
        <f t="shared" si="0"/>
        <v>FEBRI ADITYA PRATAMA</v>
      </c>
    </row>
    <row r="27" spans="1:36" ht="20.100000000000001" customHeight="1" x14ac:dyDescent="0.25">
      <c r="A27" s="4">
        <v>18</v>
      </c>
      <c r="B27" s="4">
        <v>14713</v>
      </c>
      <c r="C27" s="5" t="s">
        <v>338</v>
      </c>
      <c r="D27" s="6" t="s">
        <v>339</v>
      </c>
      <c r="E27" s="7" t="s">
        <v>7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t="s">
        <v>793</v>
      </c>
      <c r="AE27" s="13" t="s">
        <v>50</v>
      </c>
      <c r="AF27" t="s">
        <v>18</v>
      </c>
      <c r="AG27">
        <v>20527202</v>
      </c>
      <c r="AH27" t="s">
        <v>19</v>
      </c>
      <c r="AI27" t="s">
        <v>7</v>
      </c>
      <c r="AJ27" t="str">
        <f t="shared" si="0"/>
        <v>FIRZA AMIRA EL FAIZA</v>
      </c>
    </row>
    <row r="28" spans="1:36" ht="20.100000000000001" customHeight="1" x14ac:dyDescent="0.25">
      <c r="A28" s="4">
        <v>19</v>
      </c>
      <c r="B28" s="4">
        <v>14728</v>
      </c>
      <c r="C28" s="5" t="s">
        <v>105</v>
      </c>
      <c r="D28" s="6" t="s">
        <v>106</v>
      </c>
      <c r="E28" s="7" t="s">
        <v>8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t="s">
        <v>793</v>
      </c>
      <c r="AE28" s="18" t="s">
        <v>371</v>
      </c>
      <c r="AF28">
        <v>3081834782</v>
      </c>
      <c r="AG28">
        <v>20528625</v>
      </c>
      <c r="AH28" t="s">
        <v>346</v>
      </c>
      <c r="AI28" t="s">
        <v>7</v>
      </c>
      <c r="AJ28" t="str">
        <f t="shared" si="0"/>
        <v>HIFANI DWI ARFIANSYAH</v>
      </c>
    </row>
    <row r="29" spans="1:36" ht="20.100000000000001" customHeight="1" x14ac:dyDescent="0.25">
      <c r="A29" s="4">
        <v>20</v>
      </c>
      <c r="B29" s="4">
        <v>14746</v>
      </c>
      <c r="C29" s="5" t="s">
        <v>763</v>
      </c>
      <c r="D29" s="6" t="s">
        <v>741</v>
      </c>
      <c r="E29" s="7" t="s">
        <v>7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t="s">
        <v>793</v>
      </c>
      <c r="AE29" s="15" t="s">
        <v>726</v>
      </c>
      <c r="AF29" t="s">
        <v>481</v>
      </c>
      <c r="AG29">
        <v>20527180</v>
      </c>
      <c r="AH29" t="s">
        <v>482</v>
      </c>
      <c r="AI29" t="s">
        <v>7</v>
      </c>
      <c r="AJ29" t="str">
        <f t="shared" si="0"/>
        <v>KEYZHA LUCYANA ADHIA RINDA</v>
      </c>
    </row>
    <row r="30" spans="1:36" ht="20.100000000000001" customHeight="1" x14ac:dyDescent="0.25">
      <c r="A30" s="4">
        <v>21</v>
      </c>
      <c r="B30" s="4">
        <v>14765</v>
      </c>
      <c r="C30" s="5" t="s">
        <v>20</v>
      </c>
      <c r="D30" s="6" t="s">
        <v>21</v>
      </c>
      <c r="E30" s="7" t="s">
        <v>7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t="s">
        <v>793</v>
      </c>
      <c r="AE30" s="17" t="s">
        <v>197</v>
      </c>
      <c r="AF30" t="s">
        <v>155</v>
      </c>
      <c r="AG30">
        <v>20527193</v>
      </c>
      <c r="AH30" t="s">
        <v>156</v>
      </c>
      <c r="AI30" t="s">
        <v>7</v>
      </c>
      <c r="AJ30" t="str">
        <f t="shared" si="0"/>
        <v>MALIKA APRILIA SYAFIUN</v>
      </c>
    </row>
    <row r="31" spans="1:36" ht="20.100000000000001" customHeight="1" x14ac:dyDescent="0.25">
      <c r="A31" s="4">
        <v>22</v>
      </c>
      <c r="B31" s="4">
        <v>14768</v>
      </c>
      <c r="C31" s="5" t="s">
        <v>679</v>
      </c>
      <c r="D31" s="5" t="s">
        <v>680</v>
      </c>
      <c r="E31" s="7" t="s">
        <v>8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t="s">
        <v>793</v>
      </c>
      <c r="AE31" s="14" t="s">
        <v>141</v>
      </c>
      <c r="AF31" t="s">
        <v>113</v>
      </c>
      <c r="AG31">
        <v>20527180</v>
      </c>
      <c r="AH31" t="s">
        <v>114</v>
      </c>
      <c r="AI31" t="s">
        <v>7</v>
      </c>
      <c r="AJ31" t="str">
        <f t="shared" si="0"/>
        <v>MAULANA AINUL YAQIN</v>
      </c>
    </row>
    <row r="32" spans="1:36" ht="20.100000000000001" customHeight="1" x14ac:dyDescent="0.25">
      <c r="A32" s="4">
        <v>23</v>
      </c>
      <c r="B32" s="4">
        <v>14772</v>
      </c>
      <c r="C32" s="5" t="s">
        <v>228</v>
      </c>
      <c r="D32" s="6" t="s">
        <v>229</v>
      </c>
      <c r="E32" s="7" t="s">
        <v>7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t="s">
        <v>793</v>
      </c>
      <c r="AE32" s="15" t="s">
        <v>726</v>
      </c>
      <c r="AF32" t="s">
        <v>432</v>
      </c>
      <c r="AG32">
        <v>20527197</v>
      </c>
      <c r="AH32" t="s">
        <v>433</v>
      </c>
      <c r="AI32" t="s">
        <v>7</v>
      </c>
      <c r="AJ32" t="str">
        <f t="shared" si="0"/>
        <v>MEITA NAJMI BERLIANTI</v>
      </c>
    </row>
    <row r="33" spans="1:36" ht="20.100000000000001" customHeight="1" x14ac:dyDescent="0.25">
      <c r="A33" s="4">
        <v>24</v>
      </c>
      <c r="B33" s="4">
        <v>14799</v>
      </c>
      <c r="C33" s="5" t="s">
        <v>706</v>
      </c>
      <c r="D33" s="23" t="s">
        <v>707</v>
      </c>
      <c r="E33" s="7" t="s">
        <v>8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t="s">
        <v>793</v>
      </c>
      <c r="AE33" s="18" t="s">
        <v>371</v>
      </c>
      <c r="AF33" t="s">
        <v>200</v>
      </c>
      <c r="AG33">
        <v>20583367</v>
      </c>
      <c r="AH33" t="s">
        <v>201</v>
      </c>
      <c r="AI33" t="s">
        <v>7</v>
      </c>
      <c r="AJ33" t="str">
        <f t="shared" si="0"/>
        <v>MOHAMMAD GHAVIN AZZARYA TAMRIN</v>
      </c>
    </row>
    <row r="34" spans="1:36" ht="20.100000000000001" customHeight="1" x14ac:dyDescent="0.25">
      <c r="A34" s="4">
        <v>25</v>
      </c>
      <c r="B34" s="4">
        <v>14809</v>
      </c>
      <c r="C34" s="5" t="s">
        <v>256</v>
      </c>
      <c r="D34" s="6" t="s">
        <v>257</v>
      </c>
      <c r="E34" s="7" t="s">
        <v>8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t="s">
        <v>793</v>
      </c>
      <c r="AE34" s="18" t="s">
        <v>371</v>
      </c>
      <c r="AF34" t="s">
        <v>305</v>
      </c>
      <c r="AG34">
        <v>20527197</v>
      </c>
      <c r="AH34" t="s">
        <v>306</v>
      </c>
      <c r="AI34" t="s">
        <v>7</v>
      </c>
      <c r="AJ34" t="str">
        <f t="shared" si="0"/>
        <v>MUHAMMAD FAKHRULLAH AGIEL</v>
      </c>
    </row>
    <row r="35" spans="1:36" ht="20.100000000000001" customHeight="1" x14ac:dyDescent="0.25">
      <c r="A35" s="4">
        <v>26</v>
      </c>
      <c r="B35" s="4">
        <v>14821</v>
      </c>
      <c r="C35" s="5" t="s">
        <v>555</v>
      </c>
      <c r="D35" s="5" t="s">
        <v>750</v>
      </c>
      <c r="E35" s="7" t="s">
        <v>8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t="s">
        <v>793</v>
      </c>
      <c r="AE35" s="15" t="s">
        <v>726</v>
      </c>
      <c r="AF35" t="s">
        <v>687</v>
      </c>
      <c r="AG35">
        <v>20527180</v>
      </c>
      <c r="AH35" t="s">
        <v>688</v>
      </c>
      <c r="AI35" t="s">
        <v>7</v>
      </c>
      <c r="AJ35" t="str">
        <f t="shared" si="0"/>
        <v>MUHAMMAD NIBRAS FACHRULLAH</v>
      </c>
    </row>
    <row r="36" spans="1:36" ht="20.100000000000001" customHeight="1" x14ac:dyDescent="0.25">
      <c r="A36" s="4">
        <v>27</v>
      </c>
      <c r="B36" s="4">
        <v>14839</v>
      </c>
      <c r="C36" s="5" t="s">
        <v>174</v>
      </c>
      <c r="D36" s="5" t="s">
        <v>175</v>
      </c>
      <c r="E36" s="7" t="s">
        <v>8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t="s">
        <v>793</v>
      </c>
      <c r="AE36" s="17" t="s">
        <v>197</v>
      </c>
      <c r="AF36" t="s">
        <v>142</v>
      </c>
      <c r="AG36">
        <v>20527197</v>
      </c>
      <c r="AH36" t="s">
        <v>143</v>
      </c>
      <c r="AI36" t="s">
        <v>8</v>
      </c>
      <c r="AJ36" t="str">
        <f t="shared" si="0"/>
        <v>NAUFAL ALWAN HAKIM</v>
      </c>
    </row>
    <row r="37" spans="1:36" ht="20.100000000000001" customHeight="1" x14ac:dyDescent="0.25">
      <c r="A37" s="4">
        <v>28</v>
      </c>
      <c r="B37" s="4">
        <v>14843</v>
      </c>
      <c r="C37" s="5" t="s">
        <v>24</v>
      </c>
      <c r="D37" s="6" t="s">
        <v>739</v>
      </c>
      <c r="E37" s="7" t="s">
        <v>7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t="s">
        <v>793</v>
      </c>
      <c r="AJ37" t="str">
        <f t="shared" si="0"/>
        <v>NAURA WILDA SAFITRI</v>
      </c>
    </row>
    <row r="38" spans="1:36" ht="20.100000000000001" customHeight="1" x14ac:dyDescent="0.25">
      <c r="A38" s="4">
        <v>29</v>
      </c>
      <c r="B38" s="4">
        <v>14847</v>
      </c>
      <c r="C38" s="5" t="s">
        <v>133</v>
      </c>
      <c r="D38" s="6" t="s">
        <v>752</v>
      </c>
      <c r="E38" s="7" t="s">
        <v>7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t="s">
        <v>793</v>
      </c>
      <c r="AJ38" t="str">
        <f t="shared" si="0"/>
        <v>NAYLA CLARESTA MEDISTYA</v>
      </c>
    </row>
    <row r="39" spans="1:36" ht="20.100000000000001" customHeight="1" x14ac:dyDescent="0.25">
      <c r="A39" s="4">
        <v>30</v>
      </c>
      <c r="B39" s="4">
        <v>14848</v>
      </c>
      <c r="C39" s="5" t="s">
        <v>349</v>
      </c>
      <c r="D39" s="6" t="s">
        <v>350</v>
      </c>
      <c r="E39" s="7" t="s">
        <v>7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t="s">
        <v>793</v>
      </c>
      <c r="AJ39" t="str">
        <f t="shared" si="0"/>
        <v>NAYLA SHAFA AZZAHRA</v>
      </c>
    </row>
    <row r="40" spans="1:36" ht="20.100000000000001" customHeight="1" x14ac:dyDescent="0.25">
      <c r="A40" s="4">
        <v>31</v>
      </c>
      <c r="B40" s="4">
        <v>14850</v>
      </c>
      <c r="C40" s="5" t="s">
        <v>74</v>
      </c>
      <c r="D40" s="6" t="s">
        <v>75</v>
      </c>
      <c r="E40" s="7" t="s">
        <v>7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t="s">
        <v>793</v>
      </c>
      <c r="AJ40" t="str">
        <f t="shared" si="0"/>
        <v>NAZWA AULIA NUR ROSIDAH</v>
      </c>
    </row>
    <row r="41" spans="1:36" ht="20.100000000000001" customHeight="1" x14ac:dyDescent="0.25">
      <c r="A41" s="4">
        <v>32</v>
      </c>
      <c r="B41" s="4">
        <v>14863</v>
      </c>
      <c r="C41" s="5" t="s">
        <v>372</v>
      </c>
      <c r="D41" s="6" t="s">
        <v>373</v>
      </c>
      <c r="E41" s="7" t="s">
        <v>8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t="s">
        <v>793</v>
      </c>
      <c r="AJ41" t="str">
        <f t="shared" si="0"/>
        <v>OWEN FILIPO SANTOSO</v>
      </c>
    </row>
    <row r="42" spans="1:36" ht="20.100000000000001" customHeight="1" x14ac:dyDescent="0.25">
      <c r="A42" s="4">
        <v>33</v>
      </c>
      <c r="B42" s="4">
        <v>14901</v>
      </c>
      <c r="C42" s="5" t="s">
        <v>135</v>
      </c>
      <c r="D42" s="5" t="s">
        <v>136</v>
      </c>
      <c r="E42" s="7" t="s">
        <v>7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t="s">
        <v>793</v>
      </c>
      <c r="AJ42" t="str">
        <f t="shared" si="0"/>
        <v>SABRINA YASMIN FIRYAL SISWANTO</v>
      </c>
    </row>
    <row r="43" spans="1:36" ht="20.100000000000001" customHeight="1" x14ac:dyDescent="0.25">
      <c r="A43" s="4">
        <v>34</v>
      </c>
      <c r="B43" s="4">
        <v>14908</v>
      </c>
      <c r="C43" s="5" t="s">
        <v>495</v>
      </c>
      <c r="D43" s="6" t="s">
        <v>496</v>
      </c>
      <c r="E43" s="7" t="s">
        <v>7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t="s">
        <v>793</v>
      </c>
      <c r="AJ43" t="str">
        <f t="shared" si="0"/>
        <v>SAVIRA ELDIANA</v>
      </c>
    </row>
    <row r="44" spans="1:36" ht="20.100000000000001" customHeight="1" x14ac:dyDescent="0.25">
      <c r="A44" s="4">
        <v>35</v>
      </c>
      <c r="B44" s="4">
        <v>14937</v>
      </c>
      <c r="C44" s="5" t="s">
        <v>204</v>
      </c>
      <c r="D44" s="6" t="s">
        <v>736</v>
      </c>
      <c r="E44" s="7" t="s">
        <v>7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t="s">
        <v>793</v>
      </c>
      <c r="AJ44" t="str">
        <f t="shared" si="0"/>
        <v>VINA ISTIANA</v>
      </c>
    </row>
    <row r="45" spans="1:36" ht="20.100000000000001" customHeight="1" x14ac:dyDescent="0.25">
      <c r="A45" s="4">
        <v>36</v>
      </c>
      <c r="B45" s="4">
        <v>14947</v>
      </c>
      <c r="C45" s="5" t="s">
        <v>521</v>
      </c>
      <c r="D45" s="5" t="s">
        <v>522</v>
      </c>
      <c r="E45" s="7" t="s">
        <v>8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t="s">
        <v>793</v>
      </c>
      <c r="AJ45" t="str">
        <f t="shared" si="0"/>
        <v>ZAUMAR ABDURRAHMAN RITONGA</v>
      </c>
    </row>
    <row r="46" spans="1:36" ht="20.100000000000001" customHeight="1" x14ac:dyDescent="0.25">
      <c r="A46" s="4">
        <v>1</v>
      </c>
      <c r="B46" s="4">
        <v>14618</v>
      </c>
      <c r="C46" s="5" t="s">
        <v>448</v>
      </c>
      <c r="D46" s="6" t="s">
        <v>449</v>
      </c>
      <c r="E46" s="7" t="s">
        <v>8</v>
      </c>
      <c r="AD46" t="s">
        <v>794</v>
      </c>
    </row>
    <row r="47" spans="1:36" ht="15.75" x14ac:dyDescent="0.25">
      <c r="A47" s="4">
        <v>2</v>
      </c>
      <c r="B47" s="4">
        <v>14622</v>
      </c>
      <c r="C47" s="5" t="s">
        <v>293</v>
      </c>
      <c r="D47" s="6" t="s">
        <v>294</v>
      </c>
      <c r="E47" s="7" t="s">
        <v>8</v>
      </c>
      <c r="AD47" t="s">
        <v>794</v>
      </c>
    </row>
    <row r="48" spans="1:36" ht="15.75" x14ac:dyDescent="0.25">
      <c r="A48" s="4">
        <v>3</v>
      </c>
      <c r="B48" s="4">
        <v>14623</v>
      </c>
      <c r="C48" s="9" t="s">
        <v>531</v>
      </c>
      <c r="D48" s="6" t="s">
        <v>532</v>
      </c>
      <c r="E48" s="7" t="s">
        <v>7</v>
      </c>
      <c r="AD48" t="s">
        <v>794</v>
      </c>
    </row>
    <row r="49" spans="1:30" ht="15.75" x14ac:dyDescent="0.25">
      <c r="A49" s="4">
        <v>4</v>
      </c>
      <c r="B49" s="4">
        <v>14626</v>
      </c>
      <c r="C49" s="5" t="s">
        <v>246</v>
      </c>
      <c r="D49" s="6" t="s">
        <v>247</v>
      </c>
      <c r="E49" s="7" t="s">
        <v>7</v>
      </c>
      <c r="AD49" t="s">
        <v>794</v>
      </c>
    </row>
    <row r="50" spans="1:30" ht="15.75" x14ac:dyDescent="0.25">
      <c r="A50" s="4">
        <v>5</v>
      </c>
      <c r="B50" s="4">
        <v>14630</v>
      </c>
      <c r="C50" s="5" t="s">
        <v>418</v>
      </c>
      <c r="D50" s="6" t="s">
        <v>419</v>
      </c>
      <c r="E50" s="7" t="s">
        <v>7</v>
      </c>
      <c r="AD50" t="s">
        <v>794</v>
      </c>
    </row>
    <row r="51" spans="1:30" ht="15.75" x14ac:dyDescent="0.25">
      <c r="A51" s="4">
        <v>6</v>
      </c>
      <c r="B51" s="4">
        <v>14639</v>
      </c>
      <c r="C51" s="5" t="s">
        <v>456</v>
      </c>
      <c r="D51" s="6" t="s">
        <v>457</v>
      </c>
      <c r="E51" s="7" t="s">
        <v>8</v>
      </c>
      <c r="AD51" t="s">
        <v>794</v>
      </c>
    </row>
    <row r="52" spans="1:30" ht="15.75" x14ac:dyDescent="0.25">
      <c r="A52" s="4">
        <v>7</v>
      </c>
      <c r="B52" s="4">
        <v>14650</v>
      </c>
      <c r="C52" s="5" t="s">
        <v>276</v>
      </c>
      <c r="D52" s="6" t="s">
        <v>277</v>
      </c>
      <c r="E52" s="7" t="s">
        <v>8</v>
      </c>
      <c r="AD52" t="s">
        <v>794</v>
      </c>
    </row>
    <row r="53" spans="1:30" ht="15.75" x14ac:dyDescent="0.25">
      <c r="A53" s="4">
        <v>8</v>
      </c>
      <c r="B53" s="4">
        <v>14656</v>
      </c>
      <c r="C53" s="5" t="s">
        <v>450</v>
      </c>
      <c r="D53" s="6" t="s">
        <v>792</v>
      </c>
      <c r="E53" s="7" t="s">
        <v>8</v>
      </c>
      <c r="AD53" t="s">
        <v>794</v>
      </c>
    </row>
    <row r="54" spans="1:30" ht="15.75" x14ac:dyDescent="0.25">
      <c r="A54" s="4">
        <v>9</v>
      </c>
      <c r="B54" s="4">
        <v>14671</v>
      </c>
      <c r="C54" s="5" t="s">
        <v>618</v>
      </c>
      <c r="D54" s="6" t="s">
        <v>619</v>
      </c>
      <c r="E54" s="7" t="s">
        <v>8</v>
      </c>
      <c r="AD54" t="s">
        <v>794</v>
      </c>
    </row>
    <row r="55" spans="1:30" ht="15.75" x14ac:dyDescent="0.25">
      <c r="A55" s="4">
        <v>10</v>
      </c>
      <c r="B55" s="4">
        <v>14677</v>
      </c>
      <c r="C55" s="5" t="s">
        <v>612</v>
      </c>
      <c r="D55" s="6" t="s">
        <v>613</v>
      </c>
      <c r="E55" s="7" t="s">
        <v>7</v>
      </c>
      <c r="AD55" t="s">
        <v>794</v>
      </c>
    </row>
    <row r="56" spans="1:30" ht="15.75" x14ac:dyDescent="0.25">
      <c r="A56" s="4">
        <v>11</v>
      </c>
      <c r="B56" s="4">
        <v>14693</v>
      </c>
      <c r="C56" s="5" t="s">
        <v>184</v>
      </c>
      <c r="D56" s="6" t="s">
        <v>185</v>
      </c>
      <c r="E56" s="7" t="s">
        <v>8</v>
      </c>
      <c r="AD56" t="s">
        <v>794</v>
      </c>
    </row>
    <row r="57" spans="1:30" ht="15.75" x14ac:dyDescent="0.25">
      <c r="A57" s="4">
        <v>12</v>
      </c>
      <c r="B57" s="4">
        <v>14695</v>
      </c>
      <c r="C57" s="5" t="s">
        <v>16</v>
      </c>
      <c r="D57" s="6" t="s">
        <v>17</v>
      </c>
      <c r="E57" s="7" t="s">
        <v>7</v>
      </c>
      <c r="AD57" t="s">
        <v>794</v>
      </c>
    </row>
    <row r="58" spans="1:30" ht="15.75" x14ac:dyDescent="0.25">
      <c r="A58" s="4">
        <v>13</v>
      </c>
      <c r="B58" s="4">
        <v>14705</v>
      </c>
      <c r="C58" s="5" t="s">
        <v>226</v>
      </c>
      <c r="D58" s="6" t="s">
        <v>227</v>
      </c>
      <c r="E58" s="7" t="s">
        <v>8</v>
      </c>
      <c r="AD58" t="s">
        <v>794</v>
      </c>
    </row>
    <row r="59" spans="1:30" ht="15.75" x14ac:dyDescent="0.25">
      <c r="A59" s="4">
        <v>14</v>
      </c>
      <c r="B59" s="4">
        <v>14708</v>
      </c>
      <c r="C59" s="5" t="s">
        <v>70</v>
      </c>
      <c r="D59" s="6" t="s">
        <v>71</v>
      </c>
      <c r="E59" s="7" t="s">
        <v>7</v>
      </c>
      <c r="AD59" t="s">
        <v>794</v>
      </c>
    </row>
    <row r="60" spans="1:30" ht="15.75" x14ac:dyDescent="0.25">
      <c r="A60" s="4">
        <v>15</v>
      </c>
      <c r="B60" s="4">
        <v>14714</v>
      </c>
      <c r="C60" s="5" t="s">
        <v>272</v>
      </c>
      <c r="D60" s="6" t="s">
        <v>273</v>
      </c>
      <c r="E60" s="7" t="s">
        <v>7</v>
      </c>
      <c r="AD60" t="s">
        <v>794</v>
      </c>
    </row>
    <row r="61" spans="1:30" ht="15.75" x14ac:dyDescent="0.25">
      <c r="A61" s="4">
        <v>16</v>
      </c>
      <c r="B61" s="4">
        <v>14715</v>
      </c>
      <c r="C61" s="5" t="s">
        <v>218</v>
      </c>
      <c r="D61" s="6" t="s">
        <v>219</v>
      </c>
      <c r="E61" s="7" t="s">
        <v>8</v>
      </c>
      <c r="AD61" t="s">
        <v>794</v>
      </c>
    </row>
    <row r="62" spans="1:30" ht="15.75" x14ac:dyDescent="0.25">
      <c r="A62" s="4">
        <v>17</v>
      </c>
      <c r="B62" s="4">
        <v>14726</v>
      </c>
      <c r="C62" s="5" t="s">
        <v>467</v>
      </c>
      <c r="D62" s="6" t="s">
        <v>468</v>
      </c>
      <c r="E62" s="7" t="s">
        <v>7</v>
      </c>
      <c r="AD62" t="s">
        <v>794</v>
      </c>
    </row>
    <row r="63" spans="1:30" ht="15.75" x14ac:dyDescent="0.25">
      <c r="A63" s="4">
        <v>18</v>
      </c>
      <c r="B63" s="4">
        <v>14727</v>
      </c>
      <c r="C63" s="5" t="s">
        <v>103</v>
      </c>
      <c r="D63" s="6" t="s">
        <v>104</v>
      </c>
      <c r="E63" s="7" t="s">
        <v>8</v>
      </c>
      <c r="AD63" t="s">
        <v>794</v>
      </c>
    </row>
    <row r="64" spans="1:30" ht="15.75" x14ac:dyDescent="0.25">
      <c r="A64" s="4">
        <v>19</v>
      </c>
      <c r="B64" s="4">
        <v>14734</v>
      </c>
      <c r="C64" s="5" t="s">
        <v>515</v>
      </c>
      <c r="D64" s="6" t="s">
        <v>516</v>
      </c>
      <c r="E64" s="7" t="s">
        <v>7</v>
      </c>
      <c r="AD64" t="s">
        <v>794</v>
      </c>
    </row>
    <row r="65" spans="1:30" ht="15.75" x14ac:dyDescent="0.25">
      <c r="A65" s="4">
        <v>20</v>
      </c>
      <c r="B65" s="4">
        <v>14749</v>
      </c>
      <c r="C65" s="5" t="s">
        <v>62</v>
      </c>
      <c r="D65" s="6" t="s">
        <v>63</v>
      </c>
      <c r="E65" s="7" t="s">
        <v>7</v>
      </c>
      <c r="AD65" t="s">
        <v>794</v>
      </c>
    </row>
    <row r="66" spans="1:30" ht="15.75" x14ac:dyDescent="0.25">
      <c r="A66" s="4">
        <v>21</v>
      </c>
      <c r="B66" s="4">
        <v>14751</v>
      </c>
      <c r="C66" s="5" t="s">
        <v>584</v>
      </c>
      <c r="D66" s="6" t="s">
        <v>585</v>
      </c>
      <c r="E66" s="7" t="s">
        <v>7</v>
      </c>
      <c r="AD66" t="s">
        <v>794</v>
      </c>
    </row>
    <row r="67" spans="1:30" ht="15.75" x14ac:dyDescent="0.25">
      <c r="A67" s="4">
        <v>22</v>
      </c>
      <c r="B67" s="4">
        <v>14778</v>
      </c>
      <c r="C67" s="5" t="s">
        <v>616</v>
      </c>
      <c r="D67" s="6" t="s">
        <v>617</v>
      </c>
      <c r="E67" s="7" t="s">
        <v>8</v>
      </c>
      <c r="AD67" t="s">
        <v>794</v>
      </c>
    </row>
    <row r="68" spans="1:30" ht="15.75" x14ac:dyDescent="0.25">
      <c r="A68" s="4">
        <v>23</v>
      </c>
      <c r="B68" s="4">
        <v>14783</v>
      </c>
      <c r="C68" s="5" t="s">
        <v>505</v>
      </c>
      <c r="D68" s="5" t="s">
        <v>506</v>
      </c>
      <c r="E68" s="7" t="s">
        <v>8</v>
      </c>
      <c r="AD68" t="s">
        <v>794</v>
      </c>
    </row>
    <row r="69" spans="1:30" ht="15.75" x14ac:dyDescent="0.25">
      <c r="A69" s="4">
        <v>24</v>
      </c>
      <c r="B69" s="4">
        <v>14795</v>
      </c>
      <c r="C69" s="5" t="s">
        <v>382</v>
      </c>
      <c r="D69" s="6" t="s">
        <v>383</v>
      </c>
      <c r="E69" s="7" t="s">
        <v>8</v>
      </c>
      <c r="AD69" t="s">
        <v>794</v>
      </c>
    </row>
    <row r="70" spans="1:30" ht="15.75" x14ac:dyDescent="0.25">
      <c r="A70" s="4">
        <v>25</v>
      </c>
      <c r="B70" s="4">
        <v>14807</v>
      </c>
      <c r="C70" s="5" t="s">
        <v>151</v>
      </c>
      <c r="D70" s="6" t="s">
        <v>152</v>
      </c>
      <c r="E70" s="7" t="s">
        <v>8</v>
      </c>
      <c r="AD70" t="s">
        <v>794</v>
      </c>
    </row>
    <row r="71" spans="1:30" ht="15.75" x14ac:dyDescent="0.25">
      <c r="A71" s="4">
        <v>26</v>
      </c>
      <c r="B71" s="4">
        <v>14817</v>
      </c>
      <c r="C71" s="5" t="s">
        <v>653</v>
      </c>
      <c r="D71" s="6" t="s">
        <v>654</v>
      </c>
      <c r="E71" s="7" t="s">
        <v>8</v>
      </c>
      <c r="AD71" t="s">
        <v>794</v>
      </c>
    </row>
    <row r="72" spans="1:30" ht="15.75" x14ac:dyDescent="0.25">
      <c r="A72" s="4">
        <v>27</v>
      </c>
      <c r="B72" s="4">
        <v>14831</v>
      </c>
      <c r="C72" s="5" t="s">
        <v>355</v>
      </c>
      <c r="D72" s="5" t="s">
        <v>356</v>
      </c>
      <c r="E72" s="7" t="s">
        <v>7</v>
      </c>
      <c r="AD72" t="s">
        <v>794</v>
      </c>
    </row>
    <row r="73" spans="1:30" ht="15.75" x14ac:dyDescent="0.25">
      <c r="A73" s="4">
        <v>28</v>
      </c>
      <c r="B73" s="4">
        <v>14851</v>
      </c>
      <c r="C73" s="5" t="s">
        <v>266</v>
      </c>
      <c r="D73" s="6" t="s">
        <v>267</v>
      </c>
      <c r="E73" s="7" t="s">
        <v>7</v>
      </c>
      <c r="AD73" t="s">
        <v>794</v>
      </c>
    </row>
    <row r="74" spans="1:30" ht="15.75" x14ac:dyDescent="0.25">
      <c r="A74" s="4">
        <v>29</v>
      </c>
      <c r="B74" s="4">
        <v>14870</v>
      </c>
      <c r="C74" s="5" t="s">
        <v>412</v>
      </c>
      <c r="D74" s="6" t="s">
        <v>413</v>
      </c>
      <c r="E74" s="7" t="s">
        <v>7</v>
      </c>
      <c r="AD74" t="s">
        <v>794</v>
      </c>
    </row>
    <row r="75" spans="1:30" ht="15.75" x14ac:dyDescent="0.25">
      <c r="A75" s="4">
        <v>30</v>
      </c>
      <c r="B75" s="4">
        <v>14881</v>
      </c>
      <c r="C75" s="5" t="s">
        <v>178</v>
      </c>
      <c r="D75" s="6" t="s">
        <v>179</v>
      </c>
      <c r="E75" s="7" t="s">
        <v>8</v>
      </c>
      <c r="AD75" t="s">
        <v>794</v>
      </c>
    </row>
    <row r="76" spans="1:30" ht="15.75" x14ac:dyDescent="0.25">
      <c r="A76" s="4">
        <v>31</v>
      </c>
      <c r="B76" s="4">
        <v>14883</v>
      </c>
      <c r="C76" s="5" t="s">
        <v>424</v>
      </c>
      <c r="D76" s="6" t="s">
        <v>425</v>
      </c>
      <c r="E76" s="7" t="s">
        <v>8</v>
      </c>
      <c r="AD76" t="s">
        <v>794</v>
      </c>
    </row>
    <row r="77" spans="1:30" ht="15.75" x14ac:dyDescent="0.25">
      <c r="A77" s="4">
        <v>32</v>
      </c>
      <c r="B77" s="4">
        <v>14889</v>
      </c>
      <c r="C77" s="5" t="s">
        <v>121</v>
      </c>
      <c r="D77" s="6" t="s">
        <v>122</v>
      </c>
      <c r="E77" s="7" t="s">
        <v>7</v>
      </c>
      <c r="AD77" t="s">
        <v>794</v>
      </c>
    </row>
    <row r="78" spans="1:30" ht="15.75" x14ac:dyDescent="0.25">
      <c r="A78" s="4">
        <v>33</v>
      </c>
      <c r="B78" s="4">
        <v>14905</v>
      </c>
      <c r="C78" s="5" t="s">
        <v>192</v>
      </c>
      <c r="D78" s="6" t="s">
        <v>193</v>
      </c>
      <c r="E78" s="7" t="s">
        <v>8</v>
      </c>
      <c r="AD78" t="s">
        <v>794</v>
      </c>
    </row>
    <row r="79" spans="1:30" ht="15.75" x14ac:dyDescent="0.25">
      <c r="A79" s="4">
        <v>34</v>
      </c>
      <c r="B79" s="4">
        <v>14918</v>
      </c>
      <c r="C79" s="5" t="s">
        <v>190</v>
      </c>
      <c r="D79" s="6" t="s">
        <v>191</v>
      </c>
      <c r="E79" s="7" t="s">
        <v>7</v>
      </c>
      <c r="AD79" t="s">
        <v>794</v>
      </c>
    </row>
    <row r="80" spans="1:30" ht="15.75" x14ac:dyDescent="0.25">
      <c r="A80" s="4">
        <v>35</v>
      </c>
      <c r="B80" s="4">
        <v>14927</v>
      </c>
      <c r="C80" s="5" t="s">
        <v>667</v>
      </c>
      <c r="D80" s="6" t="s">
        <v>668</v>
      </c>
      <c r="E80" s="7" t="s">
        <v>7</v>
      </c>
      <c r="AD80" t="s">
        <v>794</v>
      </c>
    </row>
    <row r="81" spans="1:30" ht="15.75" x14ac:dyDescent="0.25">
      <c r="A81" s="4">
        <v>36</v>
      </c>
      <c r="B81" s="4">
        <v>14945</v>
      </c>
      <c r="C81" s="5" t="s">
        <v>469</v>
      </c>
      <c r="D81" s="6" t="s">
        <v>470</v>
      </c>
      <c r="E81" s="7" t="s">
        <v>7</v>
      </c>
      <c r="AD81" t="s">
        <v>794</v>
      </c>
    </row>
    <row r="82" spans="1:30" ht="15.75" x14ac:dyDescent="0.25">
      <c r="A82" s="4">
        <v>1</v>
      </c>
      <c r="B82" s="4">
        <v>14632</v>
      </c>
      <c r="C82" s="5" t="s">
        <v>392</v>
      </c>
      <c r="D82" s="6" t="s">
        <v>393</v>
      </c>
      <c r="E82" s="7" t="s">
        <v>8</v>
      </c>
      <c r="AD82" t="s">
        <v>795</v>
      </c>
    </row>
    <row r="83" spans="1:30" ht="15.75" x14ac:dyDescent="0.25">
      <c r="A83" s="4">
        <v>2</v>
      </c>
      <c r="B83" s="4">
        <v>14644</v>
      </c>
      <c r="C83" s="5" t="s">
        <v>710</v>
      </c>
      <c r="D83" s="6" t="s">
        <v>711</v>
      </c>
      <c r="E83" s="7" t="s">
        <v>8</v>
      </c>
      <c r="AD83" t="s">
        <v>795</v>
      </c>
    </row>
    <row r="84" spans="1:30" ht="15.75" x14ac:dyDescent="0.25">
      <c r="A84" s="4">
        <v>3</v>
      </c>
      <c r="B84" s="4">
        <v>14646</v>
      </c>
      <c r="C84" s="9" t="s">
        <v>321</v>
      </c>
      <c r="D84" s="6" t="s">
        <v>322</v>
      </c>
      <c r="E84" s="7" t="s">
        <v>8</v>
      </c>
      <c r="AD84" t="s">
        <v>795</v>
      </c>
    </row>
    <row r="85" spans="1:30" ht="15.75" x14ac:dyDescent="0.25">
      <c r="A85" s="4">
        <v>4</v>
      </c>
      <c r="B85" s="4">
        <v>14682</v>
      </c>
      <c r="C85" s="5" t="s">
        <v>165</v>
      </c>
      <c r="D85" s="6" t="s">
        <v>166</v>
      </c>
      <c r="E85" s="7" t="s">
        <v>8</v>
      </c>
      <c r="AD85" t="s">
        <v>795</v>
      </c>
    </row>
    <row r="86" spans="1:30" ht="15.75" x14ac:dyDescent="0.25">
      <c r="A86" s="4">
        <v>5</v>
      </c>
      <c r="B86" s="4">
        <v>14685</v>
      </c>
      <c r="C86" s="5" t="s">
        <v>485</v>
      </c>
      <c r="D86" s="6" t="s">
        <v>486</v>
      </c>
      <c r="E86" s="7" t="s">
        <v>8</v>
      </c>
      <c r="AD86" t="s">
        <v>795</v>
      </c>
    </row>
    <row r="87" spans="1:30" ht="15.75" x14ac:dyDescent="0.25">
      <c r="A87" s="4">
        <v>6</v>
      </c>
      <c r="B87" s="4">
        <v>14686</v>
      </c>
      <c r="C87" s="5" t="s">
        <v>632</v>
      </c>
      <c r="D87" s="6" t="s">
        <v>633</v>
      </c>
      <c r="E87" s="7" t="s">
        <v>7</v>
      </c>
      <c r="AD87" t="s">
        <v>795</v>
      </c>
    </row>
    <row r="88" spans="1:30" ht="15.75" x14ac:dyDescent="0.25">
      <c r="A88" s="4">
        <v>7</v>
      </c>
      <c r="B88" s="4">
        <v>14706</v>
      </c>
      <c r="C88" s="5" t="s">
        <v>307</v>
      </c>
      <c r="D88" s="6" t="s">
        <v>308</v>
      </c>
      <c r="E88" s="7" t="s">
        <v>7</v>
      </c>
      <c r="AD88" t="s">
        <v>795</v>
      </c>
    </row>
    <row r="89" spans="1:30" ht="15.75" x14ac:dyDescent="0.25">
      <c r="A89" s="4">
        <v>8</v>
      </c>
      <c r="B89" s="4">
        <v>14712</v>
      </c>
      <c r="C89" s="5" t="s">
        <v>475</v>
      </c>
      <c r="D89" s="6" t="s">
        <v>476</v>
      </c>
      <c r="E89" s="7" t="s">
        <v>7</v>
      </c>
      <c r="AD89" t="s">
        <v>795</v>
      </c>
    </row>
    <row r="90" spans="1:30" ht="15.75" x14ac:dyDescent="0.25">
      <c r="A90" s="4">
        <v>9</v>
      </c>
      <c r="B90" s="4">
        <v>14717</v>
      </c>
      <c r="C90" s="5" t="s">
        <v>517</v>
      </c>
      <c r="D90" s="6" t="s">
        <v>518</v>
      </c>
      <c r="E90" s="7" t="s">
        <v>8</v>
      </c>
      <c r="AD90" t="s">
        <v>795</v>
      </c>
    </row>
    <row r="91" spans="1:30" ht="15.75" x14ac:dyDescent="0.25">
      <c r="A91" s="4">
        <v>10</v>
      </c>
      <c r="B91" s="4">
        <v>14745</v>
      </c>
      <c r="C91" s="5" t="s">
        <v>529</v>
      </c>
      <c r="D91" s="6" t="s">
        <v>530</v>
      </c>
      <c r="E91" s="7" t="s">
        <v>7</v>
      </c>
      <c r="AD91" t="s">
        <v>795</v>
      </c>
    </row>
    <row r="92" spans="1:30" ht="15.75" x14ac:dyDescent="0.25">
      <c r="A92" s="4">
        <v>11</v>
      </c>
      <c r="B92" s="4">
        <v>14757</v>
      </c>
      <c r="C92" s="5" t="s">
        <v>365</v>
      </c>
      <c r="D92" s="6" t="s">
        <v>366</v>
      </c>
      <c r="E92" s="7" t="s">
        <v>7</v>
      </c>
      <c r="AD92" t="s">
        <v>795</v>
      </c>
    </row>
    <row r="93" spans="1:30" ht="15.75" x14ac:dyDescent="0.25">
      <c r="A93" s="4">
        <v>12</v>
      </c>
      <c r="B93" s="4">
        <v>14767</v>
      </c>
      <c r="C93" s="5" t="s">
        <v>260</v>
      </c>
      <c r="D93" s="6" t="s">
        <v>749</v>
      </c>
      <c r="E93" s="7" t="s">
        <v>8</v>
      </c>
      <c r="AD93" t="s">
        <v>795</v>
      </c>
    </row>
    <row r="94" spans="1:30" ht="15.75" x14ac:dyDescent="0.25">
      <c r="A94" s="4">
        <v>13</v>
      </c>
      <c r="B94" s="4">
        <v>14769</v>
      </c>
      <c r="C94" s="5" t="s">
        <v>539</v>
      </c>
      <c r="D94" s="6" t="s">
        <v>540</v>
      </c>
      <c r="E94" s="7" t="s">
        <v>7</v>
      </c>
      <c r="AD94" t="s">
        <v>795</v>
      </c>
    </row>
    <row r="95" spans="1:30" ht="15.75" x14ac:dyDescent="0.25">
      <c r="A95" s="4">
        <v>14</v>
      </c>
      <c r="B95" s="4">
        <v>14788</v>
      </c>
      <c r="C95" s="5" t="s">
        <v>332</v>
      </c>
      <c r="D95" s="6" t="s">
        <v>333</v>
      </c>
      <c r="E95" s="7" t="s">
        <v>8</v>
      </c>
      <c r="AD95" t="s">
        <v>795</v>
      </c>
    </row>
    <row r="96" spans="1:30" ht="15.75" x14ac:dyDescent="0.25">
      <c r="A96" s="4">
        <v>15</v>
      </c>
      <c r="B96" s="4">
        <v>14791</v>
      </c>
      <c r="C96" s="5" t="s">
        <v>287</v>
      </c>
      <c r="D96" s="6" t="s">
        <v>288</v>
      </c>
      <c r="E96" s="7" t="s">
        <v>8</v>
      </c>
      <c r="AD96" t="s">
        <v>795</v>
      </c>
    </row>
    <row r="97" spans="1:30" ht="15.75" x14ac:dyDescent="0.25">
      <c r="A97" s="4">
        <v>16</v>
      </c>
      <c r="B97" s="4">
        <v>14805</v>
      </c>
      <c r="C97" s="5" t="s">
        <v>535</v>
      </c>
      <c r="D97" s="23" t="s">
        <v>536</v>
      </c>
      <c r="E97" s="7" t="s">
        <v>8</v>
      </c>
      <c r="AD97" t="s">
        <v>795</v>
      </c>
    </row>
    <row r="98" spans="1:30" ht="15.75" x14ac:dyDescent="0.25">
      <c r="A98" s="4">
        <v>17</v>
      </c>
      <c r="B98" s="4">
        <v>14810</v>
      </c>
      <c r="C98" s="5" t="s">
        <v>398</v>
      </c>
      <c r="D98" s="6" t="s">
        <v>399</v>
      </c>
      <c r="E98" s="7" t="s">
        <v>8</v>
      </c>
      <c r="AD98" t="s">
        <v>795</v>
      </c>
    </row>
    <row r="99" spans="1:30" ht="15.75" x14ac:dyDescent="0.25">
      <c r="A99" s="4">
        <v>18</v>
      </c>
      <c r="B99" s="4">
        <v>14813</v>
      </c>
      <c r="C99" s="5" t="s">
        <v>380</v>
      </c>
      <c r="D99" s="23" t="s">
        <v>381</v>
      </c>
      <c r="E99" s="7" t="s">
        <v>8</v>
      </c>
      <c r="AD99" t="s">
        <v>795</v>
      </c>
    </row>
    <row r="100" spans="1:30" ht="15.75" x14ac:dyDescent="0.25">
      <c r="A100" s="4">
        <v>19</v>
      </c>
      <c r="B100" s="4">
        <v>14824</v>
      </c>
      <c r="C100" s="5" t="s">
        <v>357</v>
      </c>
      <c r="D100" s="6" t="s">
        <v>358</v>
      </c>
      <c r="E100" s="7" t="s">
        <v>8</v>
      </c>
      <c r="AD100" t="s">
        <v>795</v>
      </c>
    </row>
    <row r="101" spans="1:30" ht="15.75" x14ac:dyDescent="0.25">
      <c r="A101" s="4">
        <v>20</v>
      </c>
      <c r="B101" s="4">
        <v>14836</v>
      </c>
      <c r="C101" s="5" t="s">
        <v>628</v>
      </c>
      <c r="D101" s="23" t="s">
        <v>629</v>
      </c>
      <c r="E101" s="7" t="s">
        <v>7</v>
      </c>
      <c r="AD101" t="s">
        <v>795</v>
      </c>
    </row>
    <row r="102" spans="1:30" ht="15.75" x14ac:dyDescent="0.25">
      <c r="A102" s="4">
        <v>21</v>
      </c>
      <c r="B102" s="4">
        <v>14841</v>
      </c>
      <c r="C102" s="5" t="s">
        <v>507</v>
      </c>
      <c r="D102" s="6" t="s">
        <v>508</v>
      </c>
      <c r="E102" s="7" t="s">
        <v>8</v>
      </c>
      <c r="AD102" t="s">
        <v>795</v>
      </c>
    </row>
    <row r="103" spans="1:30" ht="15.75" x14ac:dyDescent="0.25">
      <c r="A103" s="4">
        <v>22</v>
      </c>
      <c r="B103" s="4">
        <v>14861</v>
      </c>
      <c r="C103" s="5" t="s">
        <v>18</v>
      </c>
      <c r="D103" s="5" t="s">
        <v>731</v>
      </c>
      <c r="E103" s="7" t="s">
        <v>7</v>
      </c>
      <c r="AD103" t="s">
        <v>795</v>
      </c>
    </row>
    <row r="104" spans="1:30" ht="15.75" x14ac:dyDescent="0.25">
      <c r="A104" s="4">
        <v>23</v>
      </c>
      <c r="B104" s="4">
        <v>14867</v>
      </c>
      <c r="C104" s="5" t="s">
        <v>57</v>
      </c>
      <c r="D104" s="6" t="s">
        <v>58</v>
      </c>
      <c r="E104" s="7" t="s">
        <v>8</v>
      </c>
      <c r="AD104" t="s">
        <v>795</v>
      </c>
    </row>
    <row r="105" spans="1:30" ht="15.75" x14ac:dyDescent="0.25">
      <c r="A105" s="4">
        <v>24</v>
      </c>
      <c r="B105" s="4">
        <v>14869</v>
      </c>
      <c r="C105" s="5" t="s">
        <v>568</v>
      </c>
      <c r="D105" s="23" t="s">
        <v>569</v>
      </c>
      <c r="E105" s="7" t="s">
        <v>7</v>
      </c>
      <c r="AD105" t="s">
        <v>795</v>
      </c>
    </row>
    <row r="106" spans="1:30" ht="15.75" x14ac:dyDescent="0.25">
      <c r="A106" s="4">
        <v>25</v>
      </c>
      <c r="B106" s="4">
        <v>14876</v>
      </c>
      <c r="C106" s="5" t="s">
        <v>630</v>
      </c>
      <c r="D106" s="6" t="s">
        <v>631</v>
      </c>
      <c r="E106" s="7" t="s">
        <v>7</v>
      </c>
      <c r="AD106" t="s">
        <v>795</v>
      </c>
    </row>
    <row r="107" spans="1:30" ht="15.75" x14ac:dyDescent="0.25">
      <c r="A107" s="4">
        <v>26</v>
      </c>
      <c r="B107" s="4">
        <v>14880</v>
      </c>
      <c r="C107" s="5" t="s">
        <v>493</v>
      </c>
      <c r="D107" s="6" t="s">
        <v>494</v>
      </c>
      <c r="E107" s="7" t="s">
        <v>7</v>
      </c>
      <c r="AD107" t="s">
        <v>795</v>
      </c>
    </row>
    <row r="108" spans="1:30" ht="15.75" x14ac:dyDescent="0.25">
      <c r="A108" s="4">
        <v>27</v>
      </c>
      <c r="B108" s="4">
        <v>14885</v>
      </c>
      <c r="C108" s="5" t="s">
        <v>264</v>
      </c>
      <c r="D108" s="5" t="s">
        <v>265</v>
      </c>
      <c r="E108" s="7" t="s">
        <v>8</v>
      </c>
      <c r="AD108" t="s">
        <v>795</v>
      </c>
    </row>
    <row r="109" spans="1:30" ht="15.75" x14ac:dyDescent="0.25">
      <c r="A109" s="4">
        <v>28</v>
      </c>
      <c r="B109" s="4">
        <v>14893</v>
      </c>
      <c r="C109" s="5" t="s">
        <v>489</v>
      </c>
      <c r="D109" s="6" t="s">
        <v>490</v>
      </c>
      <c r="E109" s="7" t="s">
        <v>8</v>
      </c>
      <c r="AD109" t="s">
        <v>795</v>
      </c>
    </row>
    <row r="110" spans="1:30" ht="15.75" x14ac:dyDescent="0.25">
      <c r="A110" s="4">
        <v>29</v>
      </c>
      <c r="B110" s="4">
        <v>14894</v>
      </c>
      <c r="C110" s="5" t="s">
        <v>497</v>
      </c>
      <c r="D110" s="6" t="s">
        <v>498</v>
      </c>
      <c r="E110" s="7" t="s">
        <v>7</v>
      </c>
      <c r="AD110" t="s">
        <v>795</v>
      </c>
    </row>
    <row r="111" spans="1:30" ht="15.75" x14ac:dyDescent="0.25">
      <c r="A111" s="4">
        <v>30</v>
      </c>
      <c r="B111" s="4">
        <v>14902</v>
      </c>
      <c r="C111" s="5" t="s">
        <v>329</v>
      </c>
      <c r="D111" s="6" t="s">
        <v>330</v>
      </c>
      <c r="E111" s="7" t="s">
        <v>7</v>
      </c>
      <c r="AD111" t="s">
        <v>795</v>
      </c>
    </row>
    <row r="112" spans="1:30" ht="15.75" x14ac:dyDescent="0.25">
      <c r="A112" s="4">
        <v>31</v>
      </c>
      <c r="B112" s="4">
        <v>14912</v>
      </c>
      <c r="C112" s="5" t="s">
        <v>305</v>
      </c>
      <c r="D112" s="6" t="s">
        <v>306</v>
      </c>
      <c r="E112" s="7" t="s">
        <v>7</v>
      </c>
      <c r="AD112" t="s">
        <v>795</v>
      </c>
    </row>
    <row r="113" spans="1:30" ht="15.75" x14ac:dyDescent="0.25">
      <c r="A113" s="4">
        <v>32</v>
      </c>
      <c r="B113" s="4">
        <v>14914</v>
      </c>
      <c r="C113" s="5" t="s">
        <v>689</v>
      </c>
      <c r="D113" s="6" t="s">
        <v>690</v>
      </c>
      <c r="E113" s="7" t="s">
        <v>7</v>
      </c>
      <c r="AD113" t="s">
        <v>795</v>
      </c>
    </row>
    <row r="114" spans="1:30" ht="15.75" x14ac:dyDescent="0.25">
      <c r="A114" s="4">
        <v>33</v>
      </c>
      <c r="B114" s="4">
        <v>14917</v>
      </c>
      <c r="C114" s="5" t="s">
        <v>659</v>
      </c>
      <c r="D114" s="6" t="s">
        <v>660</v>
      </c>
      <c r="E114" s="7" t="s">
        <v>7</v>
      </c>
      <c r="AD114" t="s">
        <v>795</v>
      </c>
    </row>
    <row r="115" spans="1:30" ht="15.75" x14ac:dyDescent="0.25">
      <c r="A115" s="4">
        <v>34</v>
      </c>
      <c r="B115" s="4">
        <v>14924</v>
      </c>
      <c r="C115" s="5" t="s">
        <v>147</v>
      </c>
      <c r="D115" s="6" t="s">
        <v>9</v>
      </c>
      <c r="E115" s="7" t="s">
        <v>7</v>
      </c>
      <c r="AD115" t="s">
        <v>795</v>
      </c>
    </row>
    <row r="116" spans="1:30" ht="15.75" x14ac:dyDescent="0.25">
      <c r="A116" s="4">
        <v>35</v>
      </c>
      <c r="B116" s="4">
        <v>14931</v>
      </c>
      <c r="C116" s="5" t="s">
        <v>594</v>
      </c>
      <c r="D116" s="6" t="s">
        <v>595</v>
      </c>
      <c r="E116" s="7" t="s">
        <v>8</v>
      </c>
      <c r="AD116" t="s">
        <v>795</v>
      </c>
    </row>
    <row r="117" spans="1:30" ht="15.75" x14ac:dyDescent="0.25">
      <c r="A117" s="4">
        <v>36</v>
      </c>
      <c r="B117" s="4">
        <v>14938</v>
      </c>
      <c r="C117" s="5" t="s">
        <v>452</v>
      </c>
      <c r="D117" s="6" t="s">
        <v>453</v>
      </c>
      <c r="E117" s="7" t="s">
        <v>7</v>
      </c>
      <c r="AD117" t="s">
        <v>795</v>
      </c>
    </row>
    <row r="118" spans="1:30" ht="15.75" x14ac:dyDescent="0.25">
      <c r="A118" s="4">
        <v>1</v>
      </c>
      <c r="B118" s="4">
        <v>14589</v>
      </c>
      <c r="C118" s="5" t="s">
        <v>702</v>
      </c>
      <c r="D118" s="6" t="s">
        <v>703</v>
      </c>
      <c r="E118" s="7" t="s">
        <v>8</v>
      </c>
      <c r="AD118" t="s">
        <v>796</v>
      </c>
    </row>
    <row r="119" spans="1:30" ht="15.75" x14ac:dyDescent="0.25">
      <c r="A119" s="4">
        <v>2</v>
      </c>
      <c r="B119" s="4">
        <v>14590</v>
      </c>
      <c r="C119" s="5" t="s">
        <v>685</v>
      </c>
      <c r="D119" s="6" t="s">
        <v>686</v>
      </c>
      <c r="E119" s="7" t="s">
        <v>8</v>
      </c>
      <c r="AD119" t="s">
        <v>796</v>
      </c>
    </row>
    <row r="120" spans="1:30" ht="15.75" x14ac:dyDescent="0.25">
      <c r="A120" s="4">
        <v>3</v>
      </c>
      <c r="B120" s="4">
        <v>14592</v>
      </c>
      <c r="C120" s="9" t="s">
        <v>487</v>
      </c>
      <c r="D120" s="6" t="s">
        <v>488</v>
      </c>
      <c r="E120" s="7" t="s">
        <v>8</v>
      </c>
      <c r="AD120" t="s">
        <v>796</v>
      </c>
    </row>
    <row r="121" spans="1:30" ht="15.75" x14ac:dyDescent="0.25">
      <c r="A121" s="4">
        <v>4</v>
      </c>
      <c r="B121" s="4">
        <v>14611</v>
      </c>
      <c r="C121" s="5" t="s">
        <v>561</v>
      </c>
      <c r="D121" s="6" t="s">
        <v>562</v>
      </c>
      <c r="E121" s="7" t="s">
        <v>7</v>
      </c>
      <c r="AD121" t="s">
        <v>796</v>
      </c>
    </row>
    <row r="122" spans="1:30" ht="15.75" x14ac:dyDescent="0.25">
      <c r="A122" s="4">
        <v>5</v>
      </c>
      <c r="B122" s="4">
        <v>14633</v>
      </c>
      <c r="C122" s="5" t="s">
        <v>509</v>
      </c>
      <c r="D122" s="6" t="s">
        <v>510</v>
      </c>
      <c r="E122" s="7" t="s">
        <v>8</v>
      </c>
      <c r="AD122" t="s">
        <v>796</v>
      </c>
    </row>
    <row r="123" spans="1:30" ht="15.75" x14ac:dyDescent="0.25">
      <c r="A123" s="4">
        <v>6</v>
      </c>
      <c r="B123" s="4">
        <v>14649</v>
      </c>
      <c r="C123" s="5" t="s">
        <v>309</v>
      </c>
      <c r="D123" s="6" t="s">
        <v>737</v>
      </c>
      <c r="E123" s="7" t="s">
        <v>7</v>
      </c>
      <c r="AD123" t="s">
        <v>796</v>
      </c>
    </row>
    <row r="124" spans="1:30" ht="15.75" x14ac:dyDescent="0.25">
      <c r="A124" s="4">
        <v>7</v>
      </c>
      <c r="B124" s="4">
        <v>14651</v>
      </c>
      <c r="C124" s="5" t="s">
        <v>315</v>
      </c>
      <c r="D124" s="6" t="s">
        <v>316</v>
      </c>
      <c r="E124" s="7" t="s">
        <v>7</v>
      </c>
      <c r="AD124" t="s">
        <v>796</v>
      </c>
    </row>
    <row r="125" spans="1:30" ht="15.75" x14ac:dyDescent="0.25">
      <c r="A125" s="4">
        <v>8</v>
      </c>
      <c r="B125" s="4">
        <v>14668</v>
      </c>
      <c r="C125" s="5" t="s">
        <v>182</v>
      </c>
      <c r="D125" s="6" t="s">
        <v>183</v>
      </c>
      <c r="E125" s="7" t="s">
        <v>8</v>
      </c>
      <c r="AD125" t="s">
        <v>796</v>
      </c>
    </row>
    <row r="126" spans="1:30" ht="15.75" x14ac:dyDescent="0.25">
      <c r="A126" s="4">
        <v>9</v>
      </c>
      <c r="B126" s="4">
        <v>14688</v>
      </c>
      <c r="C126" s="5" t="s">
        <v>361</v>
      </c>
      <c r="D126" s="6" t="s">
        <v>730</v>
      </c>
      <c r="E126" s="7" t="s">
        <v>8</v>
      </c>
      <c r="AD126" t="s">
        <v>796</v>
      </c>
    </row>
    <row r="127" spans="1:30" ht="15.75" x14ac:dyDescent="0.25">
      <c r="A127" s="4">
        <v>10</v>
      </c>
      <c r="B127" s="4">
        <v>14689</v>
      </c>
      <c r="C127" s="5" t="s">
        <v>258</v>
      </c>
      <c r="D127" s="6" t="s">
        <v>259</v>
      </c>
      <c r="E127" s="7" t="s">
        <v>7</v>
      </c>
      <c r="AD127" t="s">
        <v>796</v>
      </c>
    </row>
    <row r="128" spans="1:30" ht="15.75" x14ac:dyDescent="0.25">
      <c r="A128" s="4">
        <v>11</v>
      </c>
      <c r="B128" s="4">
        <v>14694</v>
      </c>
      <c r="C128" s="5" t="s">
        <v>764</v>
      </c>
      <c r="D128" s="6" t="s">
        <v>563</v>
      </c>
      <c r="E128" s="7" t="s">
        <v>7</v>
      </c>
      <c r="AD128" t="s">
        <v>796</v>
      </c>
    </row>
    <row r="129" spans="1:30" ht="15.75" x14ac:dyDescent="0.25">
      <c r="A129" s="4">
        <v>12</v>
      </c>
      <c r="B129" s="4">
        <v>14718</v>
      </c>
      <c r="C129" s="5" t="s">
        <v>483</v>
      </c>
      <c r="D129" s="6" t="s">
        <v>484</v>
      </c>
      <c r="E129" s="7" t="s">
        <v>8</v>
      </c>
      <c r="AD129" t="s">
        <v>796</v>
      </c>
    </row>
    <row r="130" spans="1:30" ht="15.75" x14ac:dyDescent="0.25">
      <c r="A130" s="4">
        <v>13</v>
      </c>
      <c r="B130" s="4">
        <v>14737</v>
      </c>
      <c r="C130" s="5" t="s">
        <v>608</v>
      </c>
      <c r="D130" s="6" t="s">
        <v>791</v>
      </c>
      <c r="E130" s="7" t="s">
        <v>7</v>
      </c>
      <c r="AD130" t="s">
        <v>796</v>
      </c>
    </row>
    <row r="131" spans="1:30" ht="15.75" x14ac:dyDescent="0.25">
      <c r="A131" s="4">
        <v>14</v>
      </c>
      <c r="B131" s="4">
        <v>14738</v>
      </c>
      <c r="C131" s="5" t="s">
        <v>503</v>
      </c>
      <c r="D131" s="6" t="s">
        <v>504</v>
      </c>
      <c r="E131" s="7" t="s">
        <v>7</v>
      </c>
      <c r="AD131" t="s">
        <v>796</v>
      </c>
    </row>
    <row r="132" spans="1:30" ht="15.75" x14ac:dyDescent="0.25">
      <c r="A132" s="4">
        <v>15</v>
      </c>
      <c r="B132" s="4">
        <v>14760</v>
      </c>
      <c r="C132" s="5" t="s">
        <v>566</v>
      </c>
      <c r="D132" s="6" t="s">
        <v>567</v>
      </c>
      <c r="E132" s="7" t="s">
        <v>8</v>
      </c>
      <c r="AD132" t="s">
        <v>796</v>
      </c>
    </row>
    <row r="133" spans="1:30" ht="15.75" x14ac:dyDescent="0.25">
      <c r="A133" s="4">
        <v>16</v>
      </c>
      <c r="B133" s="4">
        <v>14771</v>
      </c>
      <c r="C133" s="5" t="s">
        <v>291</v>
      </c>
      <c r="D133" s="6" t="s">
        <v>292</v>
      </c>
      <c r="E133" s="7" t="s">
        <v>8</v>
      </c>
      <c r="AD133" t="s">
        <v>796</v>
      </c>
    </row>
    <row r="134" spans="1:30" ht="15.75" x14ac:dyDescent="0.25">
      <c r="A134" s="4">
        <v>17</v>
      </c>
      <c r="B134" s="4">
        <v>14782</v>
      </c>
      <c r="C134" s="5" t="s">
        <v>378</v>
      </c>
      <c r="D134" s="6" t="s">
        <v>379</v>
      </c>
      <c r="E134" s="7" t="s">
        <v>8</v>
      </c>
      <c r="AD134" t="s">
        <v>796</v>
      </c>
    </row>
    <row r="135" spans="1:30" ht="15.75" x14ac:dyDescent="0.25">
      <c r="A135" s="4">
        <v>18</v>
      </c>
      <c r="B135" s="4">
        <v>14792</v>
      </c>
      <c r="C135" s="5" t="s">
        <v>317</v>
      </c>
      <c r="D135" s="6" t="s">
        <v>318</v>
      </c>
      <c r="E135" s="7" t="s">
        <v>8</v>
      </c>
      <c r="AD135" t="s">
        <v>796</v>
      </c>
    </row>
    <row r="136" spans="1:30" ht="15.75" x14ac:dyDescent="0.25">
      <c r="A136" s="4">
        <v>19</v>
      </c>
      <c r="B136" s="4">
        <v>14814</v>
      </c>
      <c r="C136" s="5" t="s">
        <v>342</v>
      </c>
      <c r="D136" s="6" t="s">
        <v>343</v>
      </c>
      <c r="E136" s="7" t="s">
        <v>8</v>
      </c>
      <c r="AD136" t="s">
        <v>796</v>
      </c>
    </row>
    <row r="137" spans="1:30" ht="15.75" x14ac:dyDescent="0.25">
      <c r="A137" s="4">
        <v>20</v>
      </c>
      <c r="B137" s="4">
        <v>14819</v>
      </c>
      <c r="C137" s="5" t="s">
        <v>351</v>
      </c>
      <c r="D137" s="6" t="s">
        <v>754</v>
      </c>
      <c r="E137" s="7" t="s">
        <v>8</v>
      </c>
      <c r="AD137" t="s">
        <v>796</v>
      </c>
    </row>
    <row r="138" spans="1:30" ht="15.75" x14ac:dyDescent="0.25">
      <c r="A138" s="4">
        <v>21</v>
      </c>
      <c r="B138" s="4">
        <v>14822</v>
      </c>
      <c r="C138" s="5" t="s">
        <v>101</v>
      </c>
      <c r="D138" s="6" t="s">
        <v>102</v>
      </c>
      <c r="E138" s="7" t="s">
        <v>8</v>
      </c>
      <c r="AD138" t="s">
        <v>796</v>
      </c>
    </row>
    <row r="139" spans="1:30" ht="15.75" x14ac:dyDescent="0.25">
      <c r="A139" s="4">
        <v>22</v>
      </c>
      <c r="B139" s="4">
        <v>14832</v>
      </c>
      <c r="C139" s="5" t="s">
        <v>386</v>
      </c>
      <c r="D139" s="6" t="s">
        <v>387</v>
      </c>
      <c r="E139" s="7" t="s">
        <v>7</v>
      </c>
      <c r="AD139" t="s">
        <v>796</v>
      </c>
    </row>
    <row r="140" spans="1:30" ht="15.75" x14ac:dyDescent="0.25">
      <c r="A140" s="4">
        <v>23</v>
      </c>
      <c r="B140" s="4">
        <v>14849</v>
      </c>
      <c r="C140" s="5" t="s">
        <v>313</v>
      </c>
      <c r="D140" s="5" t="s">
        <v>314</v>
      </c>
      <c r="E140" s="7" t="s">
        <v>7</v>
      </c>
      <c r="AD140" t="s">
        <v>796</v>
      </c>
    </row>
    <row r="141" spans="1:30" ht="15.75" x14ac:dyDescent="0.25">
      <c r="A141" s="4">
        <v>24</v>
      </c>
      <c r="B141" s="4">
        <v>14868</v>
      </c>
      <c r="C141" s="5" t="s">
        <v>499</v>
      </c>
      <c r="D141" s="6" t="s">
        <v>500</v>
      </c>
      <c r="E141" s="7" t="s">
        <v>8</v>
      </c>
      <c r="AD141" t="s">
        <v>796</v>
      </c>
    </row>
    <row r="142" spans="1:30" ht="15.75" x14ac:dyDescent="0.25">
      <c r="A142" s="4">
        <v>25</v>
      </c>
      <c r="B142" s="4">
        <v>14871</v>
      </c>
      <c r="C142" s="5" t="s">
        <v>634</v>
      </c>
      <c r="D142" s="6" t="s">
        <v>635</v>
      </c>
      <c r="E142" s="7" t="s">
        <v>7</v>
      </c>
      <c r="AD142" t="s">
        <v>796</v>
      </c>
    </row>
    <row r="143" spans="1:30" ht="15.75" x14ac:dyDescent="0.25">
      <c r="A143" s="4">
        <v>26</v>
      </c>
      <c r="B143" s="4">
        <v>14875</v>
      </c>
      <c r="C143" s="5" t="s">
        <v>645</v>
      </c>
      <c r="D143" s="6" t="s">
        <v>646</v>
      </c>
      <c r="E143" s="7" t="s">
        <v>7</v>
      </c>
      <c r="AD143" t="s">
        <v>796</v>
      </c>
    </row>
    <row r="144" spans="1:30" ht="15.75" x14ac:dyDescent="0.25">
      <c r="A144" s="4">
        <v>27</v>
      </c>
      <c r="B144" s="4">
        <v>14891</v>
      </c>
      <c r="C144" s="5" t="s">
        <v>369</v>
      </c>
      <c r="D144" s="5" t="s">
        <v>370</v>
      </c>
      <c r="E144" s="7" t="s">
        <v>7</v>
      </c>
      <c r="AD144" t="s">
        <v>796</v>
      </c>
    </row>
    <row r="145" spans="1:30" ht="15.75" x14ac:dyDescent="0.25">
      <c r="A145" s="4">
        <v>28</v>
      </c>
      <c r="B145" s="4">
        <v>14895</v>
      </c>
      <c r="C145" s="5" t="s">
        <v>340</v>
      </c>
      <c r="D145" s="6" t="s">
        <v>341</v>
      </c>
      <c r="E145" s="7" t="s">
        <v>8</v>
      </c>
      <c r="AD145" t="s">
        <v>796</v>
      </c>
    </row>
    <row r="146" spans="1:30" ht="15.75" x14ac:dyDescent="0.25">
      <c r="A146" s="4">
        <v>29</v>
      </c>
      <c r="B146" s="4">
        <v>14899</v>
      </c>
      <c r="C146" s="5" t="s">
        <v>113</v>
      </c>
      <c r="D146" s="6" t="s">
        <v>114</v>
      </c>
      <c r="E146" s="7" t="s">
        <v>7</v>
      </c>
      <c r="AD146" t="s">
        <v>796</v>
      </c>
    </row>
    <row r="147" spans="1:30" ht="15.75" x14ac:dyDescent="0.25">
      <c r="A147" s="4">
        <v>30</v>
      </c>
      <c r="B147" s="4">
        <v>14907</v>
      </c>
      <c r="C147" s="5" t="s">
        <v>220</v>
      </c>
      <c r="D147" s="6" t="s">
        <v>221</v>
      </c>
      <c r="E147" s="7" t="s">
        <v>8</v>
      </c>
      <c r="AD147" t="s">
        <v>796</v>
      </c>
    </row>
    <row r="148" spans="1:30" ht="15.75" x14ac:dyDescent="0.25">
      <c r="A148" s="4">
        <v>31</v>
      </c>
      <c r="B148" s="4">
        <v>14911</v>
      </c>
      <c r="C148" s="5" t="s">
        <v>26</v>
      </c>
      <c r="D148" s="6" t="s">
        <v>742</v>
      </c>
      <c r="E148" s="7" t="s">
        <v>7</v>
      </c>
      <c r="AD148" t="s">
        <v>796</v>
      </c>
    </row>
    <row r="149" spans="1:30" ht="15.75" x14ac:dyDescent="0.25">
      <c r="A149" s="4">
        <v>32</v>
      </c>
      <c r="B149" s="4">
        <v>14913</v>
      </c>
      <c r="C149" s="5" t="s">
        <v>402</v>
      </c>
      <c r="D149" s="6" t="s">
        <v>403</v>
      </c>
      <c r="E149" s="7" t="s">
        <v>8</v>
      </c>
      <c r="AD149" t="s">
        <v>796</v>
      </c>
    </row>
    <row r="150" spans="1:30" ht="15.75" x14ac:dyDescent="0.25">
      <c r="A150" s="4">
        <v>33</v>
      </c>
      <c r="B150" s="4">
        <v>14915</v>
      </c>
      <c r="C150" s="5" t="s">
        <v>574</v>
      </c>
      <c r="D150" s="6" t="s">
        <v>575</v>
      </c>
      <c r="E150" s="7" t="s">
        <v>7</v>
      </c>
      <c r="AD150" t="s">
        <v>796</v>
      </c>
    </row>
    <row r="151" spans="1:30" ht="15.75" x14ac:dyDescent="0.25">
      <c r="A151" s="4">
        <v>34</v>
      </c>
      <c r="B151" s="4">
        <v>14932</v>
      </c>
      <c r="C151" s="5" t="s">
        <v>195</v>
      </c>
      <c r="D151" s="6" t="s">
        <v>196</v>
      </c>
      <c r="E151" s="7" t="s">
        <v>7</v>
      </c>
      <c r="AD151" t="s">
        <v>796</v>
      </c>
    </row>
    <row r="152" spans="1:30" ht="15.75" x14ac:dyDescent="0.25">
      <c r="A152" s="4">
        <v>35</v>
      </c>
      <c r="B152" s="4">
        <v>14934</v>
      </c>
      <c r="C152" s="5" t="s">
        <v>171</v>
      </c>
      <c r="D152" s="6" t="s">
        <v>172</v>
      </c>
      <c r="E152" s="7" t="s">
        <v>7</v>
      </c>
      <c r="AD152" t="s">
        <v>796</v>
      </c>
    </row>
    <row r="153" spans="1:30" ht="15.75" x14ac:dyDescent="0.25">
      <c r="A153" s="4">
        <v>36</v>
      </c>
      <c r="B153" s="4">
        <v>14946</v>
      </c>
      <c r="C153" s="5" t="s">
        <v>38</v>
      </c>
      <c r="D153" s="6" t="s">
        <v>39</v>
      </c>
      <c r="E153" s="7" t="s">
        <v>7</v>
      </c>
      <c r="AD153" t="s">
        <v>796</v>
      </c>
    </row>
    <row r="154" spans="1:30" ht="15.75" x14ac:dyDescent="0.25">
      <c r="A154" s="4">
        <v>1</v>
      </c>
      <c r="B154" s="4">
        <v>14605</v>
      </c>
      <c r="C154" s="5" t="s">
        <v>649</v>
      </c>
      <c r="D154" s="6" t="s">
        <v>650</v>
      </c>
      <c r="E154" s="7" t="s">
        <v>8</v>
      </c>
      <c r="AD154" t="s">
        <v>797</v>
      </c>
    </row>
    <row r="155" spans="1:30" ht="15.75" x14ac:dyDescent="0.25">
      <c r="A155" s="4">
        <v>2</v>
      </c>
      <c r="B155" s="4">
        <v>14607</v>
      </c>
      <c r="C155" s="5" t="s">
        <v>285</v>
      </c>
      <c r="D155" s="6" t="s">
        <v>733</v>
      </c>
      <c r="E155" s="7" t="s">
        <v>8</v>
      </c>
      <c r="AD155" t="s">
        <v>797</v>
      </c>
    </row>
    <row r="156" spans="1:30" ht="15.75" x14ac:dyDescent="0.25">
      <c r="A156" s="4">
        <v>3</v>
      </c>
      <c r="B156" s="4">
        <v>14609</v>
      </c>
      <c r="C156" s="9" t="s">
        <v>281</v>
      </c>
      <c r="D156" s="6" t="s">
        <v>282</v>
      </c>
      <c r="E156" s="7" t="s">
        <v>7</v>
      </c>
      <c r="AD156" t="s">
        <v>797</v>
      </c>
    </row>
    <row r="157" spans="1:30" ht="15.75" x14ac:dyDescent="0.25">
      <c r="A157" s="4">
        <v>4</v>
      </c>
      <c r="B157" s="4">
        <v>14624</v>
      </c>
      <c r="C157" s="5" t="s">
        <v>720</v>
      </c>
      <c r="D157" s="6" t="s">
        <v>721</v>
      </c>
      <c r="E157" s="7" t="s">
        <v>7</v>
      </c>
      <c r="AD157" t="s">
        <v>797</v>
      </c>
    </row>
    <row r="158" spans="1:30" ht="15.75" x14ac:dyDescent="0.25">
      <c r="A158" s="4">
        <v>5</v>
      </c>
      <c r="B158" s="4">
        <v>14627</v>
      </c>
      <c r="C158" s="5" t="s">
        <v>636</v>
      </c>
      <c r="D158" s="6" t="s">
        <v>637</v>
      </c>
      <c r="E158" s="7" t="s">
        <v>7</v>
      </c>
      <c r="AD158" t="s">
        <v>797</v>
      </c>
    </row>
    <row r="159" spans="1:30" ht="15.75" x14ac:dyDescent="0.25">
      <c r="A159" s="4">
        <v>6</v>
      </c>
      <c r="B159" s="4">
        <v>14631</v>
      </c>
      <c r="C159" s="5" t="s">
        <v>766</v>
      </c>
      <c r="D159" s="6" t="s">
        <v>194</v>
      </c>
      <c r="E159" s="7" t="s">
        <v>8</v>
      </c>
      <c r="AD159" t="s">
        <v>797</v>
      </c>
    </row>
    <row r="160" spans="1:30" ht="15.75" x14ac:dyDescent="0.25">
      <c r="A160" s="4">
        <v>7</v>
      </c>
      <c r="B160" s="4">
        <v>14634</v>
      </c>
      <c r="C160" s="5" t="s">
        <v>28</v>
      </c>
      <c r="D160" s="6" t="s">
        <v>29</v>
      </c>
      <c r="E160" s="7" t="s">
        <v>7</v>
      </c>
      <c r="AD160" t="s">
        <v>797</v>
      </c>
    </row>
    <row r="161" spans="1:30" ht="15.75" x14ac:dyDescent="0.25">
      <c r="A161" s="4">
        <v>8</v>
      </c>
      <c r="B161" s="4">
        <v>14653</v>
      </c>
      <c r="C161" s="5" t="s">
        <v>513</v>
      </c>
      <c r="D161" s="6" t="s">
        <v>514</v>
      </c>
      <c r="E161" s="7" t="s">
        <v>7</v>
      </c>
      <c r="AD161" t="s">
        <v>797</v>
      </c>
    </row>
    <row r="162" spans="1:30" ht="15.75" x14ac:dyDescent="0.25">
      <c r="A162" s="4">
        <v>9</v>
      </c>
      <c r="B162" s="4">
        <v>14670</v>
      </c>
      <c r="C162" s="5" t="s">
        <v>161</v>
      </c>
      <c r="D162" s="6" t="s">
        <v>162</v>
      </c>
      <c r="E162" s="7" t="s">
        <v>8</v>
      </c>
      <c r="AD162" t="s">
        <v>797</v>
      </c>
    </row>
    <row r="163" spans="1:30" ht="15.75" x14ac:dyDescent="0.25">
      <c r="A163" s="4">
        <v>10</v>
      </c>
      <c r="B163" s="4">
        <v>14673</v>
      </c>
      <c r="C163" s="5" t="s">
        <v>278</v>
      </c>
      <c r="D163" s="6" t="s">
        <v>279</v>
      </c>
      <c r="E163" s="7" t="s">
        <v>7</v>
      </c>
      <c r="AD163" t="s">
        <v>797</v>
      </c>
    </row>
    <row r="164" spans="1:30" ht="15.75" x14ac:dyDescent="0.25">
      <c r="A164" s="4">
        <v>11</v>
      </c>
      <c r="B164" s="4">
        <v>14676</v>
      </c>
      <c r="C164" s="5" t="s">
        <v>325</v>
      </c>
      <c r="D164" s="6" t="s">
        <v>746</v>
      </c>
      <c r="E164" s="7" t="s">
        <v>7</v>
      </c>
      <c r="AD164" t="s">
        <v>797</v>
      </c>
    </row>
    <row r="165" spans="1:30" ht="15.75" x14ac:dyDescent="0.25">
      <c r="A165" s="4">
        <v>12</v>
      </c>
      <c r="B165" s="4">
        <v>14679</v>
      </c>
      <c r="C165" s="5" t="s">
        <v>93</v>
      </c>
      <c r="D165" s="6" t="s">
        <v>94</v>
      </c>
      <c r="E165" s="7" t="s">
        <v>8</v>
      </c>
      <c r="AD165" t="s">
        <v>797</v>
      </c>
    </row>
    <row r="166" spans="1:30" ht="15.75" x14ac:dyDescent="0.25">
      <c r="A166" s="4">
        <v>13</v>
      </c>
      <c r="B166" s="4">
        <v>14683</v>
      </c>
      <c r="C166" s="5" t="s">
        <v>59</v>
      </c>
      <c r="D166" s="6" t="s">
        <v>60</v>
      </c>
      <c r="E166" s="7" t="s">
        <v>8</v>
      </c>
      <c r="AD166" t="s">
        <v>797</v>
      </c>
    </row>
    <row r="167" spans="1:30" ht="15.75" x14ac:dyDescent="0.25">
      <c r="A167" s="4">
        <v>14</v>
      </c>
      <c r="B167" s="4">
        <v>14690</v>
      </c>
      <c r="C167" s="5" t="s">
        <v>169</v>
      </c>
      <c r="D167" s="6" t="s">
        <v>170</v>
      </c>
      <c r="E167" s="7" t="s">
        <v>7</v>
      </c>
      <c r="AD167" t="s">
        <v>797</v>
      </c>
    </row>
    <row r="168" spans="1:30" ht="15.75" x14ac:dyDescent="0.25">
      <c r="A168" s="4">
        <v>15</v>
      </c>
      <c r="B168" s="4">
        <v>14692</v>
      </c>
      <c r="C168" s="5" t="s">
        <v>718</v>
      </c>
      <c r="D168" s="6" t="s">
        <v>719</v>
      </c>
      <c r="E168" s="7" t="s">
        <v>8</v>
      </c>
      <c r="AD168" t="s">
        <v>797</v>
      </c>
    </row>
    <row r="169" spans="1:30" ht="15.75" x14ac:dyDescent="0.25">
      <c r="A169" s="4">
        <v>16</v>
      </c>
      <c r="B169" s="4">
        <v>14697</v>
      </c>
      <c r="C169" s="5" t="s">
        <v>695</v>
      </c>
      <c r="D169" s="6" t="s">
        <v>696</v>
      </c>
      <c r="E169" s="7" t="s">
        <v>8</v>
      </c>
      <c r="AD169" t="s">
        <v>797</v>
      </c>
    </row>
    <row r="170" spans="1:30" ht="15.75" x14ac:dyDescent="0.25">
      <c r="A170" s="4">
        <v>17</v>
      </c>
      <c r="B170" s="4">
        <v>14698</v>
      </c>
      <c r="C170" s="5" t="s">
        <v>188</v>
      </c>
      <c r="D170" s="6" t="s">
        <v>748</v>
      </c>
      <c r="E170" s="7" t="s">
        <v>8</v>
      </c>
      <c r="AD170" t="s">
        <v>797</v>
      </c>
    </row>
    <row r="171" spans="1:30" ht="15.75" x14ac:dyDescent="0.25">
      <c r="A171" s="4">
        <v>18</v>
      </c>
      <c r="B171" s="4">
        <v>14729</v>
      </c>
      <c r="C171" s="5" t="s">
        <v>81</v>
      </c>
      <c r="D171" s="6" t="s">
        <v>82</v>
      </c>
      <c r="E171" s="7" t="s">
        <v>8</v>
      </c>
      <c r="AD171" t="s">
        <v>797</v>
      </c>
    </row>
    <row r="172" spans="1:30" ht="15.75" x14ac:dyDescent="0.25">
      <c r="A172" s="4">
        <v>19</v>
      </c>
      <c r="B172" s="4">
        <v>14732</v>
      </c>
      <c r="C172" s="5" t="s">
        <v>97</v>
      </c>
      <c r="D172" s="6" t="s">
        <v>98</v>
      </c>
      <c r="E172" s="7" t="s">
        <v>7</v>
      </c>
      <c r="AD172" t="s">
        <v>797</v>
      </c>
    </row>
    <row r="173" spans="1:30" ht="15.75" x14ac:dyDescent="0.25">
      <c r="A173" s="4">
        <v>20</v>
      </c>
      <c r="B173" s="4">
        <v>14743</v>
      </c>
      <c r="C173" s="5" t="s">
        <v>208</v>
      </c>
      <c r="D173" s="6" t="s">
        <v>209</v>
      </c>
      <c r="E173" s="7" t="s">
        <v>7</v>
      </c>
      <c r="AD173" t="s">
        <v>797</v>
      </c>
    </row>
    <row r="174" spans="1:30" ht="15.75" x14ac:dyDescent="0.25">
      <c r="A174" s="4">
        <v>21</v>
      </c>
      <c r="B174" s="4">
        <v>14754</v>
      </c>
      <c r="C174" s="5" t="s">
        <v>406</v>
      </c>
      <c r="D174" s="5" t="s">
        <v>407</v>
      </c>
      <c r="E174" s="7" t="s">
        <v>7</v>
      </c>
      <c r="AD174" t="s">
        <v>797</v>
      </c>
    </row>
    <row r="175" spans="1:30" ht="15.75" x14ac:dyDescent="0.25">
      <c r="A175" s="4">
        <v>22</v>
      </c>
      <c r="B175" s="4">
        <v>14776</v>
      </c>
      <c r="C175" s="5" t="s">
        <v>438</v>
      </c>
      <c r="D175" s="6" t="s">
        <v>439</v>
      </c>
      <c r="E175" s="7" t="s">
        <v>7</v>
      </c>
      <c r="AD175" t="s">
        <v>797</v>
      </c>
    </row>
    <row r="176" spans="1:30" ht="15.75" x14ac:dyDescent="0.25">
      <c r="A176" s="4">
        <v>23</v>
      </c>
      <c r="B176" s="4">
        <v>14786</v>
      </c>
      <c r="C176" s="5" t="s">
        <v>434</v>
      </c>
      <c r="D176" s="6" t="s">
        <v>435</v>
      </c>
      <c r="E176" s="7" t="s">
        <v>8</v>
      </c>
      <c r="AD176" t="s">
        <v>797</v>
      </c>
    </row>
    <row r="177" spans="1:30" ht="15.75" x14ac:dyDescent="0.25">
      <c r="A177" s="4">
        <v>24</v>
      </c>
      <c r="B177" s="4">
        <v>14798</v>
      </c>
      <c r="C177" s="5" t="s">
        <v>471</v>
      </c>
      <c r="D177" s="6" t="s">
        <v>472</v>
      </c>
      <c r="E177" s="7" t="s">
        <v>8</v>
      </c>
      <c r="AD177" t="s">
        <v>797</v>
      </c>
    </row>
    <row r="178" spans="1:30" ht="15.75" x14ac:dyDescent="0.25">
      <c r="A178" s="4">
        <v>25</v>
      </c>
      <c r="B178" s="4">
        <v>14811</v>
      </c>
      <c r="C178" s="5" t="s">
        <v>460</v>
      </c>
      <c r="D178" s="6" t="s">
        <v>461</v>
      </c>
      <c r="E178" s="7" t="s">
        <v>8</v>
      </c>
      <c r="AD178" t="s">
        <v>797</v>
      </c>
    </row>
    <row r="179" spans="1:30" ht="15.75" x14ac:dyDescent="0.25">
      <c r="A179" s="4">
        <v>26</v>
      </c>
      <c r="B179" s="4">
        <v>14818</v>
      </c>
      <c r="C179" s="5" t="s">
        <v>426</v>
      </c>
      <c r="D179" s="6" t="s">
        <v>427</v>
      </c>
      <c r="E179" s="7" t="s">
        <v>8</v>
      </c>
      <c r="AD179" t="s">
        <v>797</v>
      </c>
    </row>
    <row r="180" spans="1:30" ht="15.75" x14ac:dyDescent="0.25">
      <c r="A180" s="4">
        <v>27</v>
      </c>
      <c r="B180" s="4">
        <v>14820</v>
      </c>
      <c r="C180" s="5" t="s">
        <v>677</v>
      </c>
      <c r="D180" s="5" t="s">
        <v>745</v>
      </c>
      <c r="E180" s="7" t="s">
        <v>8</v>
      </c>
      <c r="AD180" t="s">
        <v>797</v>
      </c>
    </row>
    <row r="181" spans="1:30" ht="15.75" x14ac:dyDescent="0.25">
      <c r="A181" s="4">
        <v>28</v>
      </c>
      <c r="B181" s="4">
        <v>14853</v>
      </c>
      <c r="C181" s="5" t="s">
        <v>673</v>
      </c>
      <c r="D181" s="6" t="s">
        <v>674</v>
      </c>
      <c r="E181" s="7" t="s">
        <v>7</v>
      </c>
      <c r="AD181" t="s">
        <v>797</v>
      </c>
    </row>
    <row r="182" spans="1:30" ht="15.75" x14ac:dyDescent="0.25">
      <c r="A182" s="4">
        <v>29</v>
      </c>
      <c r="B182" s="4">
        <v>14855</v>
      </c>
      <c r="C182" s="5" t="s">
        <v>665</v>
      </c>
      <c r="D182" s="6" t="s">
        <v>666</v>
      </c>
      <c r="E182" s="7" t="s">
        <v>7</v>
      </c>
      <c r="AD182" t="s">
        <v>797</v>
      </c>
    </row>
    <row r="183" spans="1:30" ht="15.75" x14ac:dyDescent="0.25">
      <c r="A183" s="4">
        <v>30</v>
      </c>
      <c r="B183" s="4">
        <v>14862</v>
      </c>
      <c r="C183" s="5" t="s">
        <v>657</v>
      </c>
      <c r="D183" s="6" t="s">
        <v>658</v>
      </c>
      <c r="E183" s="7" t="s">
        <v>7</v>
      </c>
      <c r="AD183" t="s">
        <v>797</v>
      </c>
    </row>
    <row r="184" spans="1:30" ht="15.75" x14ac:dyDescent="0.25">
      <c r="A184" s="4">
        <v>31</v>
      </c>
      <c r="B184" s="4">
        <v>14887</v>
      </c>
      <c r="C184" s="5" t="s">
        <v>590</v>
      </c>
      <c r="D184" s="6" t="s">
        <v>591</v>
      </c>
      <c r="E184" s="7" t="s">
        <v>8</v>
      </c>
      <c r="AD184" t="s">
        <v>797</v>
      </c>
    </row>
    <row r="185" spans="1:30" ht="15.75" x14ac:dyDescent="0.25">
      <c r="A185" s="4">
        <v>32</v>
      </c>
      <c r="B185" s="4">
        <v>14916</v>
      </c>
      <c r="C185" s="5" t="s">
        <v>477</v>
      </c>
      <c r="D185" s="6" t="s">
        <v>478</v>
      </c>
      <c r="E185" s="7" t="s">
        <v>7</v>
      </c>
      <c r="AD185" t="s">
        <v>797</v>
      </c>
    </row>
    <row r="186" spans="1:30" ht="15.75" x14ac:dyDescent="0.25">
      <c r="A186" s="4">
        <v>33</v>
      </c>
      <c r="B186" s="4">
        <v>14925</v>
      </c>
      <c r="C186" s="5" t="s">
        <v>64</v>
      </c>
      <c r="D186" s="6" t="s">
        <v>65</v>
      </c>
      <c r="E186" s="7" t="s">
        <v>7</v>
      </c>
      <c r="AD186" t="s">
        <v>797</v>
      </c>
    </row>
    <row r="187" spans="1:30" ht="15.75" x14ac:dyDescent="0.25">
      <c r="A187" s="4">
        <v>34</v>
      </c>
      <c r="B187" s="4">
        <v>14929</v>
      </c>
      <c r="C187" s="5" t="s">
        <v>238</v>
      </c>
      <c r="D187" s="6" t="s">
        <v>239</v>
      </c>
      <c r="E187" s="7" t="s">
        <v>8</v>
      </c>
      <c r="AD187" t="s">
        <v>797</v>
      </c>
    </row>
    <row r="188" spans="1:30" ht="15.75" x14ac:dyDescent="0.25">
      <c r="A188" s="4">
        <v>35</v>
      </c>
      <c r="B188" s="4">
        <v>14933</v>
      </c>
      <c r="C188" s="5" t="s">
        <v>142</v>
      </c>
      <c r="D188" s="6" t="s">
        <v>732</v>
      </c>
      <c r="E188" s="7" t="s">
        <v>8</v>
      </c>
      <c r="AD188" t="s">
        <v>797</v>
      </c>
    </row>
    <row r="189" spans="1:30" ht="15.75" x14ac:dyDescent="0.25">
      <c r="A189" s="4">
        <v>36</v>
      </c>
      <c r="B189" s="4">
        <v>14940</v>
      </c>
      <c r="C189" s="5" t="s">
        <v>78</v>
      </c>
      <c r="D189" s="6" t="s">
        <v>79</v>
      </c>
      <c r="E189" s="7" t="s">
        <v>7</v>
      </c>
      <c r="AD189" t="s">
        <v>797</v>
      </c>
    </row>
    <row r="190" spans="1:30" ht="15.75" x14ac:dyDescent="0.25">
      <c r="A190" s="4">
        <v>1</v>
      </c>
      <c r="B190" s="4">
        <v>14596</v>
      </c>
      <c r="C190" s="5" t="s">
        <v>604</v>
      </c>
      <c r="D190" s="6" t="s">
        <v>605</v>
      </c>
      <c r="E190" s="7" t="s">
        <v>8</v>
      </c>
      <c r="AD190" t="s">
        <v>798</v>
      </c>
    </row>
    <row r="191" spans="1:30" ht="15.75" x14ac:dyDescent="0.25">
      <c r="A191" s="4">
        <v>2</v>
      </c>
      <c r="B191" s="4">
        <v>14604</v>
      </c>
      <c r="C191" s="5" t="s">
        <v>202</v>
      </c>
      <c r="D191" s="6" t="s">
        <v>203</v>
      </c>
      <c r="E191" s="7" t="s">
        <v>8</v>
      </c>
      <c r="AD191" t="s">
        <v>798</v>
      </c>
    </row>
    <row r="192" spans="1:30" ht="15.75" x14ac:dyDescent="0.25">
      <c r="A192" s="4">
        <v>3</v>
      </c>
      <c r="B192" s="4">
        <v>14642</v>
      </c>
      <c r="C192" s="5" t="s">
        <v>109</v>
      </c>
      <c r="D192" s="6" t="s">
        <v>760</v>
      </c>
      <c r="E192" s="7" t="s">
        <v>7</v>
      </c>
      <c r="AD192" t="s">
        <v>798</v>
      </c>
    </row>
    <row r="193" spans="1:30" ht="15.75" x14ac:dyDescent="0.25">
      <c r="A193" s="4">
        <v>4</v>
      </c>
      <c r="B193" s="4">
        <v>14678</v>
      </c>
      <c r="C193" s="5" t="s">
        <v>440</v>
      </c>
      <c r="D193" s="6" t="s">
        <v>441</v>
      </c>
      <c r="E193" s="7" t="s">
        <v>8</v>
      </c>
      <c r="AD193" t="s">
        <v>798</v>
      </c>
    </row>
    <row r="194" spans="1:30" ht="15.75" x14ac:dyDescent="0.25">
      <c r="A194" s="4">
        <v>5</v>
      </c>
      <c r="B194" s="4">
        <v>14680</v>
      </c>
      <c r="C194" s="5" t="s">
        <v>422</v>
      </c>
      <c r="D194" s="6" t="s">
        <v>423</v>
      </c>
      <c r="E194" s="7" t="s">
        <v>7</v>
      </c>
      <c r="AD194" t="s">
        <v>798</v>
      </c>
    </row>
    <row r="195" spans="1:30" ht="15.75" x14ac:dyDescent="0.25">
      <c r="A195" s="4">
        <v>6</v>
      </c>
      <c r="B195" s="4">
        <v>14681</v>
      </c>
      <c r="C195" s="5" t="s">
        <v>236</v>
      </c>
      <c r="D195" s="6" t="s">
        <v>237</v>
      </c>
      <c r="E195" s="7" t="s">
        <v>8</v>
      </c>
      <c r="AD195" t="s">
        <v>798</v>
      </c>
    </row>
    <row r="196" spans="1:30" ht="15.75" x14ac:dyDescent="0.25">
      <c r="A196" s="4">
        <v>7</v>
      </c>
      <c r="B196" s="4">
        <v>14696</v>
      </c>
      <c r="C196" s="5" t="s">
        <v>582</v>
      </c>
      <c r="D196" s="6" t="s">
        <v>583</v>
      </c>
      <c r="E196" s="7" t="s">
        <v>8</v>
      </c>
      <c r="AD196" t="s">
        <v>798</v>
      </c>
    </row>
    <row r="197" spans="1:30" ht="15.75" x14ac:dyDescent="0.25">
      <c r="A197" s="4">
        <v>8</v>
      </c>
      <c r="B197" s="4">
        <v>14699</v>
      </c>
      <c r="C197" s="5" t="s">
        <v>436</v>
      </c>
      <c r="D197" s="6" t="s">
        <v>437</v>
      </c>
      <c r="E197" s="7" t="s">
        <v>7</v>
      </c>
      <c r="AD197" t="s">
        <v>798</v>
      </c>
    </row>
    <row r="198" spans="1:30" ht="15.75" x14ac:dyDescent="0.25">
      <c r="A198" s="4">
        <v>9</v>
      </c>
      <c r="B198" s="4">
        <v>14707</v>
      </c>
      <c r="C198" s="5" t="s">
        <v>444</v>
      </c>
      <c r="D198" s="6" t="s">
        <v>445</v>
      </c>
      <c r="E198" s="7" t="s">
        <v>7</v>
      </c>
      <c r="AD198" t="s">
        <v>798</v>
      </c>
    </row>
    <row r="199" spans="1:30" ht="15.75" x14ac:dyDescent="0.25">
      <c r="A199" s="4">
        <v>10</v>
      </c>
      <c r="B199" s="4">
        <v>14711</v>
      </c>
      <c r="C199" s="5" t="s">
        <v>491</v>
      </c>
      <c r="D199" s="6" t="s">
        <v>492</v>
      </c>
      <c r="E199" s="7" t="s">
        <v>7</v>
      </c>
      <c r="AD199" t="s">
        <v>798</v>
      </c>
    </row>
    <row r="200" spans="1:30" ht="15.75" x14ac:dyDescent="0.25">
      <c r="A200" s="4">
        <v>11</v>
      </c>
      <c r="B200" s="4">
        <v>14720</v>
      </c>
      <c r="C200" s="5" t="s">
        <v>596</v>
      </c>
      <c r="D200" s="6" t="s">
        <v>597</v>
      </c>
      <c r="E200" s="7" t="s">
        <v>8</v>
      </c>
      <c r="AD200" t="s">
        <v>798</v>
      </c>
    </row>
    <row r="201" spans="1:30" ht="15.75" x14ac:dyDescent="0.25">
      <c r="A201" s="4">
        <v>12</v>
      </c>
      <c r="B201" s="4">
        <v>14722</v>
      </c>
      <c r="C201" s="5" t="s">
        <v>400</v>
      </c>
      <c r="D201" s="6" t="s">
        <v>401</v>
      </c>
      <c r="E201" s="7" t="s">
        <v>8</v>
      </c>
      <c r="AD201" t="s">
        <v>798</v>
      </c>
    </row>
    <row r="202" spans="1:30" ht="15.75" x14ac:dyDescent="0.25">
      <c r="A202" s="4">
        <v>13</v>
      </c>
      <c r="B202" s="4">
        <v>14733</v>
      </c>
      <c r="C202" s="5" t="s">
        <v>714</v>
      </c>
      <c r="D202" s="6" t="s">
        <v>715</v>
      </c>
      <c r="E202" s="7" t="s">
        <v>8</v>
      </c>
      <c r="AD202" t="s">
        <v>798</v>
      </c>
    </row>
    <row r="203" spans="1:30" ht="15.75" x14ac:dyDescent="0.25">
      <c r="A203" s="4">
        <v>14</v>
      </c>
      <c r="B203" s="4">
        <v>14740</v>
      </c>
      <c r="C203" s="5" t="s">
        <v>572</v>
      </c>
      <c r="D203" s="6" t="s">
        <v>573</v>
      </c>
      <c r="E203" s="7" t="s">
        <v>8</v>
      </c>
      <c r="AD203" t="s">
        <v>798</v>
      </c>
    </row>
    <row r="204" spans="1:30" ht="15.75" x14ac:dyDescent="0.25">
      <c r="A204" s="4">
        <v>15</v>
      </c>
      <c r="B204" s="4">
        <v>14753</v>
      </c>
      <c r="C204" s="5" t="s">
        <v>107</v>
      </c>
      <c r="D204" s="6" t="s">
        <v>108</v>
      </c>
      <c r="E204" s="7" t="s">
        <v>7</v>
      </c>
      <c r="AD204" t="s">
        <v>798</v>
      </c>
    </row>
    <row r="205" spans="1:30" ht="15.75" x14ac:dyDescent="0.25">
      <c r="A205" s="4">
        <v>16</v>
      </c>
      <c r="B205" s="4">
        <v>14763</v>
      </c>
      <c r="C205" s="5" t="s">
        <v>244</v>
      </c>
      <c r="D205" s="6" t="s">
        <v>245</v>
      </c>
      <c r="E205" s="7" t="s">
        <v>8</v>
      </c>
      <c r="AD205" t="s">
        <v>798</v>
      </c>
    </row>
    <row r="206" spans="1:30" ht="15.75" x14ac:dyDescent="0.25">
      <c r="A206" s="4">
        <v>17</v>
      </c>
      <c r="B206" s="4">
        <v>14764</v>
      </c>
      <c r="C206" s="5" t="s">
        <v>214</v>
      </c>
      <c r="D206" s="6" t="s">
        <v>215</v>
      </c>
      <c r="E206" s="7" t="s">
        <v>7</v>
      </c>
      <c r="AD206" t="s">
        <v>798</v>
      </c>
    </row>
    <row r="207" spans="1:30" ht="15.75" x14ac:dyDescent="0.25">
      <c r="A207" s="4">
        <v>18</v>
      </c>
      <c r="B207" s="4">
        <v>14766</v>
      </c>
      <c r="C207" s="5" t="s">
        <v>240</v>
      </c>
      <c r="D207" s="6" t="s">
        <v>241</v>
      </c>
      <c r="E207" s="7" t="s">
        <v>7</v>
      </c>
      <c r="AD207" t="s">
        <v>798</v>
      </c>
    </row>
    <row r="208" spans="1:30" ht="15.75" x14ac:dyDescent="0.25">
      <c r="A208" s="4">
        <v>19</v>
      </c>
      <c r="B208" s="4">
        <v>14781</v>
      </c>
      <c r="C208" s="5" t="s">
        <v>525</v>
      </c>
      <c r="D208" s="6" t="s">
        <v>526</v>
      </c>
      <c r="E208" s="7" t="s">
        <v>8</v>
      </c>
      <c r="AD208" t="s">
        <v>798</v>
      </c>
    </row>
    <row r="209" spans="1:30" ht="15.75" x14ac:dyDescent="0.25">
      <c r="A209" s="4">
        <v>20</v>
      </c>
      <c r="B209" s="4">
        <v>14787</v>
      </c>
      <c r="C209" s="5" t="s">
        <v>501</v>
      </c>
      <c r="D209" s="6" t="s">
        <v>502</v>
      </c>
      <c r="E209" s="7" t="s">
        <v>8</v>
      </c>
      <c r="AD209" t="s">
        <v>798</v>
      </c>
    </row>
    <row r="210" spans="1:30" ht="15.75" x14ac:dyDescent="0.25">
      <c r="A210" s="4">
        <v>21</v>
      </c>
      <c r="B210" s="4">
        <v>14801</v>
      </c>
      <c r="C210" s="5" t="s">
        <v>586</v>
      </c>
      <c r="D210" s="6" t="s">
        <v>587</v>
      </c>
      <c r="E210" s="7" t="s">
        <v>8</v>
      </c>
      <c r="AD210" t="s">
        <v>798</v>
      </c>
    </row>
    <row r="211" spans="1:30" ht="15.75" x14ac:dyDescent="0.25">
      <c r="A211" s="4">
        <v>22</v>
      </c>
      <c r="B211" s="4">
        <v>14803</v>
      </c>
      <c r="C211" s="5" t="s">
        <v>651</v>
      </c>
      <c r="D211" s="5" t="s">
        <v>652</v>
      </c>
      <c r="E211" s="7" t="s">
        <v>8</v>
      </c>
      <c r="AD211" t="s">
        <v>798</v>
      </c>
    </row>
    <row r="212" spans="1:30" ht="15.75" x14ac:dyDescent="0.25">
      <c r="A212" s="4">
        <v>23</v>
      </c>
      <c r="B212" s="4">
        <v>14812</v>
      </c>
      <c r="C212" s="5" t="s">
        <v>115</v>
      </c>
      <c r="D212" s="5" t="s">
        <v>116</v>
      </c>
      <c r="E212" s="7" t="s">
        <v>8</v>
      </c>
      <c r="AD212" t="s">
        <v>798</v>
      </c>
    </row>
    <row r="213" spans="1:30" ht="15.75" x14ac:dyDescent="0.25">
      <c r="A213" s="4">
        <v>24</v>
      </c>
      <c r="B213" s="4">
        <v>14830</v>
      </c>
      <c r="C213" s="5" t="s">
        <v>234</v>
      </c>
      <c r="D213" s="6" t="s">
        <v>235</v>
      </c>
      <c r="E213" s="7" t="s">
        <v>7</v>
      </c>
      <c r="AD213" t="s">
        <v>798</v>
      </c>
    </row>
    <row r="214" spans="1:30" ht="15.75" x14ac:dyDescent="0.25">
      <c r="A214" s="4">
        <v>25</v>
      </c>
      <c r="B214" s="4">
        <v>14835</v>
      </c>
      <c r="C214" s="5" t="s">
        <v>242</v>
      </c>
      <c r="D214" s="6" t="s">
        <v>243</v>
      </c>
      <c r="E214" s="7" t="s">
        <v>7</v>
      </c>
      <c r="AD214" t="s">
        <v>798</v>
      </c>
    </row>
    <row r="215" spans="1:30" ht="15.75" x14ac:dyDescent="0.25">
      <c r="A215" s="4">
        <v>26</v>
      </c>
      <c r="B215" s="4">
        <v>14844</v>
      </c>
      <c r="C215" s="5" t="s">
        <v>446</v>
      </c>
      <c r="D215" s="6" t="s">
        <v>447</v>
      </c>
      <c r="E215" s="7" t="s">
        <v>7</v>
      </c>
      <c r="AD215" t="s">
        <v>798</v>
      </c>
    </row>
    <row r="216" spans="1:30" ht="15.75" x14ac:dyDescent="0.25">
      <c r="A216" s="4">
        <v>27</v>
      </c>
      <c r="B216" s="4">
        <v>14856</v>
      </c>
      <c r="C216" s="5" t="s">
        <v>549</v>
      </c>
      <c r="D216" s="5" t="s">
        <v>550</v>
      </c>
      <c r="E216" s="7" t="s">
        <v>8</v>
      </c>
      <c r="AD216" t="s">
        <v>798</v>
      </c>
    </row>
    <row r="217" spans="1:30" ht="15.75" x14ac:dyDescent="0.25">
      <c r="A217" s="4">
        <v>28</v>
      </c>
      <c r="B217" s="4">
        <v>14864</v>
      </c>
      <c r="C217" s="5" t="s">
        <v>30</v>
      </c>
      <c r="D217" s="6" t="s">
        <v>31</v>
      </c>
      <c r="E217" s="7" t="s">
        <v>7</v>
      </c>
      <c r="AD217" t="s">
        <v>798</v>
      </c>
    </row>
    <row r="218" spans="1:30" ht="15.75" x14ac:dyDescent="0.25">
      <c r="A218" s="4">
        <v>29</v>
      </c>
      <c r="B218" s="4">
        <v>14866</v>
      </c>
      <c r="C218" s="5" t="s">
        <v>458</v>
      </c>
      <c r="D218" s="6" t="s">
        <v>459</v>
      </c>
      <c r="E218" s="7" t="s">
        <v>8</v>
      </c>
      <c r="AD218" t="s">
        <v>798</v>
      </c>
    </row>
    <row r="219" spans="1:30" ht="15.75" x14ac:dyDescent="0.25">
      <c r="A219" s="4">
        <v>30</v>
      </c>
      <c r="B219" s="4">
        <v>14879</v>
      </c>
      <c r="C219" s="5" t="s">
        <v>390</v>
      </c>
      <c r="D219" s="6" t="s">
        <v>391</v>
      </c>
      <c r="E219" s="7" t="s">
        <v>7</v>
      </c>
      <c r="AD219" t="s">
        <v>798</v>
      </c>
    </row>
    <row r="220" spans="1:30" ht="15.75" x14ac:dyDescent="0.25">
      <c r="A220" s="4">
        <v>31</v>
      </c>
      <c r="B220" s="4">
        <v>14884</v>
      </c>
      <c r="C220" s="5" t="s">
        <v>598</v>
      </c>
      <c r="D220" s="6" t="s">
        <v>599</v>
      </c>
      <c r="E220" s="7" t="s">
        <v>8</v>
      </c>
      <c r="AD220" t="s">
        <v>798</v>
      </c>
    </row>
    <row r="221" spans="1:30" ht="15.75" x14ac:dyDescent="0.25">
      <c r="A221" s="4">
        <v>32</v>
      </c>
      <c r="B221" s="4">
        <v>14892</v>
      </c>
      <c r="C221" s="5" t="s">
        <v>481</v>
      </c>
      <c r="D221" s="6" t="s">
        <v>482</v>
      </c>
      <c r="E221" s="7" t="s">
        <v>7</v>
      </c>
      <c r="AD221" t="s">
        <v>798</v>
      </c>
    </row>
    <row r="222" spans="1:30" ht="15.75" x14ac:dyDescent="0.25">
      <c r="A222" s="4">
        <v>33</v>
      </c>
      <c r="B222" s="4">
        <v>14898</v>
      </c>
      <c r="C222" s="5" t="s">
        <v>643</v>
      </c>
      <c r="D222" s="6" t="s">
        <v>756</v>
      </c>
      <c r="E222" s="7" t="s">
        <v>7</v>
      </c>
      <c r="AD222" t="s">
        <v>798</v>
      </c>
    </row>
    <row r="223" spans="1:30" ht="15.75" x14ac:dyDescent="0.25">
      <c r="A223" s="4">
        <v>34</v>
      </c>
      <c r="B223" s="4">
        <v>14921</v>
      </c>
      <c r="C223" s="5" t="s">
        <v>125</v>
      </c>
      <c r="D223" s="6" t="s">
        <v>126</v>
      </c>
      <c r="E223" s="7" t="s">
        <v>7</v>
      </c>
      <c r="AD223" t="s">
        <v>798</v>
      </c>
    </row>
    <row r="224" spans="1:30" ht="15.75" x14ac:dyDescent="0.25">
      <c r="A224" s="4">
        <v>35</v>
      </c>
      <c r="B224" s="4">
        <v>14942</v>
      </c>
      <c r="C224" s="5" t="s">
        <v>454</v>
      </c>
      <c r="D224" s="6" t="s">
        <v>455</v>
      </c>
      <c r="E224" s="7" t="s">
        <v>7</v>
      </c>
      <c r="AD224" t="s">
        <v>798</v>
      </c>
    </row>
    <row r="225" spans="1:30" ht="15.75" x14ac:dyDescent="0.25">
      <c r="A225" s="4">
        <v>36</v>
      </c>
      <c r="B225" s="4">
        <v>14944</v>
      </c>
      <c r="C225" s="5" t="s">
        <v>578</v>
      </c>
      <c r="D225" s="6" t="s">
        <v>579</v>
      </c>
      <c r="E225" s="7" t="s">
        <v>7</v>
      </c>
      <c r="AD225" t="s">
        <v>798</v>
      </c>
    </row>
    <row r="226" spans="1:30" ht="15.75" x14ac:dyDescent="0.25">
      <c r="A226" s="4">
        <v>1</v>
      </c>
      <c r="B226" s="4">
        <v>14617</v>
      </c>
      <c r="C226" s="5" t="s">
        <v>230</v>
      </c>
      <c r="D226" s="6" t="s">
        <v>758</v>
      </c>
      <c r="E226" s="7" t="s">
        <v>8</v>
      </c>
      <c r="AD226" t="s">
        <v>799</v>
      </c>
    </row>
    <row r="227" spans="1:30" ht="15.75" x14ac:dyDescent="0.25">
      <c r="A227" s="4">
        <v>2</v>
      </c>
      <c r="B227" s="4">
        <v>14638</v>
      </c>
      <c r="C227" s="9" t="s">
        <v>85</v>
      </c>
      <c r="D227" s="6" t="s">
        <v>86</v>
      </c>
      <c r="E227" s="7" t="s">
        <v>7</v>
      </c>
      <c r="AD227" t="s">
        <v>799</v>
      </c>
    </row>
    <row r="228" spans="1:30" ht="15.75" x14ac:dyDescent="0.25">
      <c r="A228" s="4">
        <v>3</v>
      </c>
      <c r="B228" s="4">
        <v>14640</v>
      </c>
      <c r="C228" s="5" t="s">
        <v>523</v>
      </c>
      <c r="D228" s="6" t="s">
        <v>524</v>
      </c>
      <c r="E228" s="7" t="s">
        <v>7</v>
      </c>
      <c r="AD228" t="s">
        <v>799</v>
      </c>
    </row>
    <row r="229" spans="1:30" ht="15.75" x14ac:dyDescent="0.25">
      <c r="A229" s="4">
        <v>4</v>
      </c>
      <c r="B229" s="4">
        <v>14641</v>
      </c>
      <c r="C229" s="5" t="s">
        <v>176</v>
      </c>
      <c r="D229" s="6" t="s">
        <v>177</v>
      </c>
      <c r="E229" s="7" t="s">
        <v>8</v>
      </c>
      <c r="AD229" t="s">
        <v>799</v>
      </c>
    </row>
    <row r="230" spans="1:30" ht="15.75" x14ac:dyDescent="0.25">
      <c r="A230" s="4">
        <v>5</v>
      </c>
      <c r="B230" s="4">
        <v>14657</v>
      </c>
      <c r="C230" s="5" t="s">
        <v>83</v>
      </c>
      <c r="D230" s="6" t="s">
        <v>84</v>
      </c>
      <c r="E230" s="7" t="s">
        <v>8</v>
      </c>
      <c r="AD230" t="s">
        <v>799</v>
      </c>
    </row>
    <row r="231" spans="1:30" ht="15.75" x14ac:dyDescent="0.25">
      <c r="A231" s="4">
        <v>6</v>
      </c>
      <c r="B231" s="4">
        <v>14662</v>
      </c>
      <c r="C231" s="9" t="s">
        <v>206</v>
      </c>
      <c r="D231" s="6" t="s">
        <v>740</v>
      </c>
      <c r="E231" s="7" t="s">
        <v>8</v>
      </c>
      <c r="AD231" t="s">
        <v>799</v>
      </c>
    </row>
    <row r="232" spans="1:30" ht="15.75" x14ac:dyDescent="0.25">
      <c r="A232" s="4">
        <v>7</v>
      </c>
      <c r="B232" s="4">
        <v>14687</v>
      </c>
      <c r="C232" s="5" t="s">
        <v>671</v>
      </c>
      <c r="D232" s="6" t="s">
        <v>672</v>
      </c>
      <c r="E232" s="7" t="s">
        <v>8</v>
      </c>
      <c r="AD232" t="s">
        <v>799</v>
      </c>
    </row>
    <row r="233" spans="1:30" ht="15.75" x14ac:dyDescent="0.25">
      <c r="A233" s="4">
        <v>8</v>
      </c>
      <c r="B233" s="4">
        <v>14700</v>
      </c>
      <c r="C233" s="5" t="s">
        <v>139</v>
      </c>
      <c r="D233" s="6" t="s">
        <v>140</v>
      </c>
      <c r="E233" s="7" t="s">
        <v>8</v>
      </c>
      <c r="AD233" t="s">
        <v>799</v>
      </c>
    </row>
    <row r="234" spans="1:30" ht="15.75" x14ac:dyDescent="0.25">
      <c r="A234" s="4">
        <v>9</v>
      </c>
      <c r="B234" s="4">
        <v>14716</v>
      </c>
      <c r="C234" s="5" t="s">
        <v>564</v>
      </c>
      <c r="D234" s="6" t="s">
        <v>565</v>
      </c>
      <c r="E234" s="7" t="s">
        <v>7</v>
      </c>
      <c r="AD234" t="s">
        <v>799</v>
      </c>
    </row>
    <row r="235" spans="1:30" ht="15.75" x14ac:dyDescent="0.25">
      <c r="A235" s="4">
        <v>10</v>
      </c>
      <c r="B235" s="4">
        <v>14724</v>
      </c>
      <c r="C235" s="5" t="s">
        <v>691</v>
      </c>
      <c r="D235" s="6" t="s">
        <v>692</v>
      </c>
      <c r="E235" s="7" t="s">
        <v>7</v>
      </c>
      <c r="AD235" t="s">
        <v>799</v>
      </c>
    </row>
    <row r="236" spans="1:30" ht="15.75" x14ac:dyDescent="0.25">
      <c r="A236" s="4">
        <v>11</v>
      </c>
      <c r="B236" s="4">
        <v>14730</v>
      </c>
      <c r="C236" s="5" t="s">
        <v>559</v>
      </c>
      <c r="D236" s="6" t="s">
        <v>560</v>
      </c>
      <c r="E236" s="7" t="s">
        <v>7</v>
      </c>
      <c r="AD236" t="s">
        <v>799</v>
      </c>
    </row>
    <row r="237" spans="1:30" ht="15.75" x14ac:dyDescent="0.25">
      <c r="A237" s="4">
        <v>12</v>
      </c>
      <c r="B237" s="4">
        <v>14731</v>
      </c>
      <c r="C237" s="5" t="s">
        <v>588</v>
      </c>
      <c r="D237" s="6" t="s">
        <v>589</v>
      </c>
      <c r="E237" s="7" t="s">
        <v>8</v>
      </c>
      <c r="AD237" t="s">
        <v>799</v>
      </c>
    </row>
    <row r="238" spans="1:30" ht="15.75" x14ac:dyDescent="0.25">
      <c r="A238" s="4">
        <v>13</v>
      </c>
      <c r="B238" s="4">
        <v>14736</v>
      </c>
      <c r="C238" s="5" t="s">
        <v>600</v>
      </c>
      <c r="D238" s="6" t="s">
        <v>601</v>
      </c>
      <c r="E238" s="7" t="s">
        <v>7</v>
      </c>
      <c r="AD238" t="s">
        <v>799</v>
      </c>
    </row>
    <row r="239" spans="1:30" ht="15.75" x14ac:dyDescent="0.25">
      <c r="A239" s="4">
        <v>14</v>
      </c>
      <c r="B239" s="4">
        <v>14741</v>
      </c>
      <c r="C239" s="5" t="s">
        <v>647</v>
      </c>
      <c r="D239" s="6" t="s">
        <v>648</v>
      </c>
      <c r="E239" s="7" t="s">
        <v>7</v>
      </c>
      <c r="AD239" t="s">
        <v>799</v>
      </c>
    </row>
    <row r="240" spans="1:30" ht="15.75" x14ac:dyDescent="0.25">
      <c r="A240" s="4">
        <v>15</v>
      </c>
      <c r="B240" s="4">
        <v>14744</v>
      </c>
      <c r="C240" s="5" t="s">
        <v>712</v>
      </c>
      <c r="D240" s="6" t="s">
        <v>713</v>
      </c>
      <c r="E240" s="7" t="s">
        <v>8</v>
      </c>
      <c r="AD240" t="s">
        <v>799</v>
      </c>
    </row>
    <row r="241" spans="1:30" ht="15.75" x14ac:dyDescent="0.25">
      <c r="A241" s="4">
        <v>16</v>
      </c>
      <c r="B241" s="4">
        <v>14747</v>
      </c>
      <c r="C241" s="5" t="s">
        <v>767</v>
      </c>
      <c r="D241" s="6" t="s">
        <v>173</v>
      </c>
      <c r="E241" s="7" t="s">
        <v>8</v>
      </c>
      <c r="AD241" t="s">
        <v>799</v>
      </c>
    </row>
    <row r="242" spans="1:30" ht="15.75" x14ac:dyDescent="0.25">
      <c r="A242" s="4">
        <v>17</v>
      </c>
      <c r="B242" s="4">
        <v>14756</v>
      </c>
      <c r="C242" s="5" t="s">
        <v>212</v>
      </c>
      <c r="D242" s="6" t="s">
        <v>213</v>
      </c>
      <c r="E242" s="7" t="s">
        <v>7</v>
      </c>
      <c r="AD242" t="s">
        <v>799</v>
      </c>
    </row>
    <row r="243" spans="1:30" ht="15.75" x14ac:dyDescent="0.25">
      <c r="A243" s="4">
        <v>18</v>
      </c>
      <c r="B243" s="4">
        <v>14758</v>
      </c>
      <c r="C243" s="5" t="s">
        <v>295</v>
      </c>
      <c r="D243" s="6" t="s">
        <v>296</v>
      </c>
      <c r="E243" s="7" t="s">
        <v>7</v>
      </c>
      <c r="AD243" t="s">
        <v>799</v>
      </c>
    </row>
    <row r="244" spans="1:30" ht="15.75" x14ac:dyDescent="0.25">
      <c r="A244" s="4">
        <v>19</v>
      </c>
      <c r="B244" s="4">
        <v>14789</v>
      </c>
      <c r="C244" s="5" t="s">
        <v>580</v>
      </c>
      <c r="D244" s="6" t="s">
        <v>581</v>
      </c>
      <c r="E244" s="7" t="s">
        <v>8</v>
      </c>
      <c r="AD244" t="s">
        <v>799</v>
      </c>
    </row>
    <row r="245" spans="1:30" ht="15.75" x14ac:dyDescent="0.25">
      <c r="A245" s="4">
        <v>20</v>
      </c>
      <c r="B245" s="4">
        <v>14806</v>
      </c>
      <c r="C245" s="5" t="s">
        <v>311</v>
      </c>
      <c r="D245" s="6" t="s">
        <v>789</v>
      </c>
      <c r="E245" s="7" t="s">
        <v>8</v>
      </c>
      <c r="AD245" t="s">
        <v>799</v>
      </c>
    </row>
    <row r="246" spans="1:30" ht="15.75" x14ac:dyDescent="0.25">
      <c r="A246" s="4">
        <v>21</v>
      </c>
      <c r="B246" s="4">
        <v>14834</v>
      </c>
      <c r="C246" s="5" t="s">
        <v>442</v>
      </c>
      <c r="D246" s="6" t="s">
        <v>443</v>
      </c>
      <c r="E246" s="7" t="s">
        <v>8</v>
      </c>
      <c r="AD246" t="s">
        <v>799</v>
      </c>
    </row>
    <row r="247" spans="1:30" ht="15.75" x14ac:dyDescent="0.25">
      <c r="A247" s="4">
        <v>22</v>
      </c>
      <c r="B247" s="4">
        <v>14837</v>
      </c>
      <c r="C247" s="5" t="s">
        <v>87</v>
      </c>
      <c r="D247" s="6" t="s">
        <v>88</v>
      </c>
      <c r="E247" s="7" t="s">
        <v>7</v>
      </c>
      <c r="AD247" t="s">
        <v>799</v>
      </c>
    </row>
    <row r="248" spans="1:30" ht="15.75" x14ac:dyDescent="0.25">
      <c r="A248" s="4">
        <v>23</v>
      </c>
      <c r="B248" s="4">
        <v>14846</v>
      </c>
      <c r="C248" s="5" t="s">
        <v>186</v>
      </c>
      <c r="D248" s="6" t="s">
        <v>751</v>
      </c>
      <c r="E248" s="7" t="s">
        <v>7</v>
      </c>
      <c r="AD248" t="s">
        <v>799</v>
      </c>
    </row>
    <row r="249" spans="1:30" ht="15.75" x14ac:dyDescent="0.25">
      <c r="A249" s="4">
        <v>24</v>
      </c>
      <c r="B249" s="4">
        <v>14852</v>
      </c>
      <c r="C249" s="5" t="s">
        <v>699</v>
      </c>
      <c r="D249" s="6" t="s">
        <v>700</v>
      </c>
      <c r="E249" s="7" t="s">
        <v>8</v>
      </c>
      <c r="AD249" t="s">
        <v>799</v>
      </c>
    </row>
    <row r="250" spans="1:30" ht="15.75" x14ac:dyDescent="0.25">
      <c r="A250" s="4">
        <v>25</v>
      </c>
      <c r="B250" s="4">
        <v>14857</v>
      </c>
      <c r="C250" s="5" t="s">
        <v>131</v>
      </c>
      <c r="D250" s="6" t="s">
        <v>132</v>
      </c>
      <c r="E250" s="7" t="s">
        <v>7</v>
      </c>
      <c r="AD250" t="s">
        <v>799</v>
      </c>
    </row>
    <row r="251" spans="1:30" ht="15.75" x14ac:dyDescent="0.25">
      <c r="A251" s="4">
        <v>26</v>
      </c>
      <c r="B251" s="4">
        <v>14865</v>
      </c>
      <c r="C251" s="5" t="s">
        <v>270</v>
      </c>
      <c r="D251" s="5" t="s">
        <v>271</v>
      </c>
      <c r="E251" s="7" t="s">
        <v>8</v>
      </c>
      <c r="AD251" t="s">
        <v>799</v>
      </c>
    </row>
    <row r="252" spans="1:30" ht="15.75" x14ac:dyDescent="0.25">
      <c r="A252" s="4">
        <v>27</v>
      </c>
      <c r="B252" s="4">
        <v>14872</v>
      </c>
      <c r="C252" s="5" t="s">
        <v>53</v>
      </c>
      <c r="D252" s="6" t="s">
        <v>790</v>
      </c>
      <c r="E252" s="7" t="s">
        <v>7</v>
      </c>
      <c r="AD252" t="s">
        <v>799</v>
      </c>
    </row>
    <row r="253" spans="1:30" ht="15.75" x14ac:dyDescent="0.25">
      <c r="A253" s="4">
        <v>28</v>
      </c>
      <c r="B253" s="4">
        <v>14874</v>
      </c>
      <c r="C253" s="5" t="s">
        <v>167</v>
      </c>
      <c r="D253" s="6" t="s">
        <v>168</v>
      </c>
      <c r="E253" s="7" t="s">
        <v>8</v>
      </c>
      <c r="AD253" t="s">
        <v>799</v>
      </c>
    </row>
    <row r="254" spans="1:30" ht="15.75" x14ac:dyDescent="0.25">
      <c r="A254" s="4">
        <v>29</v>
      </c>
      <c r="B254" s="4">
        <v>14878</v>
      </c>
      <c r="C254" s="5" t="s">
        <v>765</v>
      </c>
      <c r="D254" s="6" t="s">
        <v>146</v>
      </c>
      <c r="E254" s="7" t="s">
        <v>8</v>
      </c>
      <c r="AD254" t="s">
        <v>799</v>
      </c>
    </row>
    <row r="255" spans="1:30" ht="15.75" x14ac:dyDescent="0.25">
      <c r="A255" s="4">
        <v>30</v>
      </c>
      <c r="B255" s="4">
        <v>14888</v>
      </c>
      <c r="C255" s="5" t="s">
        <v>76</v>
      </c>
      <c r="D255" s="6" t="s">
        <v>77</v>
      </c>
      <c r="E255" s="7" t="s">
        <v>8</v>
      </c>
      <c r="AD255" t="s">
        <v>799</v>
      </c>
    </row>
    <row r="256" spans="1:30" ht="15.75" x14ac:dyDescent="0.25">
      <c r="A256" s="4">
        <v>31</v>
      </c>
      <c r="B256" s="4">
        <v>14890</v>
      </c>
      <c r="C256" s="5" t="s">
        <v>123</v>
      </c>
      <c r="D256" s="6" t="s">
        <v>124</v>
      </c>
      <c r="E256" s="7" t="s">
        <v>7</v>
      </c>
      <c r="AD256" t="s">
        <v>799</v>
      </c>
    </row>
    <row r="257" spans="1:30" ht="15.75" x14ac:dyDescent="0.25">
      <c r="A257" s="4">
        <v>32</v>
      </c>
      <c r="B257" s="4">
        <v>14896</v>
      </c>
      <c r="C257" s="5" t="s">
        <v>553</v>
      </c>
      <c r="D257" s="6" t="s">
        <v>554</v>
      </c>
      <c r="E257" s="7" t="s">
        <v>8</v>
      </c>
      <c r="AD257" t="s">
        <v>799</v>
      </c>
    </row>
    <row r="258" spans="1:30" ht="15.75" x14ac:dyDescent="0.25">
      <c r="A258" s="4">
        <v>33</v>
      </c>
      <c r="B258" s="4">
        <v>14910</v>
      </c>
      <c r="C258" s="5" t="s">
        <v>576</v>
      </c>
      <c r="D258" s="6" t="s">
        <v>577</v>
      </c>
      <c r="E258" s="7" t="s">
        <v>7</v>
      </c>
      <c r="AD258" t="s">
        <v>799</v>
      </c>
    </row>
    <row r="259" spans="1:30" ht="15.75" x14ac:dyDescent="0.25">
      <c r="A259" s="4">
        <v>34</v>
      </c>
      <c r="B259" s="4">
        <v>14922</v>
      </c>
      <c r="C259" s="5" t="s">
        <v>289</v>
      </c>
      <c r="D259" s="6" t="s">
        <v>290</v>
      </c>
      <c r="E259" s="7" t="s">
        <v>7</v>
      </c>
      <c r="AD259" t="s">
        <v>799</v>
      </c>
    </row>
    <row r="260" spans="1:30" ht="15.75" x14ac:dyDescent="0.25">
      <c r="A260" s="4">
        <v>35</v>
      </c>
      <c r="B260" s="4">
        <v>14930</v>
      </c>
      <c r="C260" s="5" t="s">
        <v>40</v>
      </c>
      <c r="D260" s="6" t="s">
        <v>41</v>
      </c>
      <c r="E260" s="7" t="s">
        <v>7</v>
      </c>
      <c r="AD260" t="s">
        <v>799</v>
      </c>
    </row>
    <row r="261" spans="1:30" ht="15.75" x14ac:dyDescent="0.25">
      <c r="A261" s="4">
        <v>36</v>
      </c>
      <c r="B261" s="4">
        <v>14935</v>
      </c>
      <c r="C261" s="5" t="s">
        <v>268</v>
      </c>
      <c r="D261" s="6" t="s">
        <v>269</v>
      </c>
      <c r="E261" s="7" t="s">
        <v>7</v>
      </c>
      <c r="AD261" t="s">
        <v>799</v>
      </c>
    </row>
    <row r="262" spans="1:30" ht="15.75" x14ac:dyDescent="0.25">
      <c r="A262" s="4">
        <v>1</v>
      </c>
      <c r="B262" s="4">
        <v>14593</v>
      </c>
      <c r="C262" s="5" t="s">
        <v>388</v>
      </c>
      <c r="D262" s="6" t="s">
        <v>389</v>
      </c>
      <c r="E262" s="7" t="s">
        <v>8</v>
      </c>
      <c r="AD262" t="s">
        <v>800</v>
      </c>
    </row>
    <row r="263" spans="1:30" ht="15.75" x14ac:dyDescent="0.25">
      <c r="A263" s="4">
        <v>2</v>
      </c>
      <c r="B263" s="4">
        <v>14600</v>
      </c>
      <c r="C263" s="5" t="s">
        <v>414</v>
      </c>
      <c r="D263" s="6" t="s">
        <v>415</v>
      </c>
      <c r="E263" s="7" t="s">
        <v>7</v>
      </c>
      <c r="AD263" t="s">
        <v>800</v>
      </c>
    </row>
    <row r="264" spans="1:30" ht="15.75" x14ac:dyDescent="0.25">
      <c r="A264" s="4">
        <v>3</v>
      </c>
      <c r="B264" s="4">
        <v>14606</v>
      </c>
      <c r="C264" s="9" t="s">
        <v>769</v>
      </c>
      <c r="D264" s="6" t="s">
        <v>640</v>
      </c>
      <c r="E264" s="7" t="s">
        <v>8</v>
      </c>
      <c r="AD264" t="s">
        <v>800</v>
      </c>
    </row>
    <row r="265" spans="1:30" ht="15.75" x14ac:dyDescent="0.25">
      <c r="A265" s="4">
        <v>4</v>
      </c>
      <c r="B265" s="4">
        <v>14615</v>
      </c>
      <c r="C265" s="5" t="s">
        <v>334</v>
      </c>
      <c r="D265" s="6" t="s">
        <v>786</v>
      </c>
      <c r="E265" s="7" t="s">
        <v>8</v>
      </c>
      <c r="AD265" t="s">
        <v>800</v>
      </c>
    </row>
    <row r="266" spans="1:30" ht="15.75" x14ac:dyDescent="0.25">
      <c r="A266" s="4">
        <v>5</v>
      </c>
      <c r="B266" s="4">
        <v>14620</v>
      </c>
      <c r="C266" s="5" t="s">
        <v>198</v>
      </c>
      <c r="D266" s="6" t="s">
        <v>759</v>
      </c>
      <c r="E266" s="7" t="s">
        <v>7</v>
      </c>
      <c r="AD266" t="s">
        <v>800</v>
      </c>
    </row>
    <row r="267" spans="1:30" ht="15.75" x14ac:dyDescent="0.25">
      <c r="A267" s="4">
        <v>6</v>
      </c>
      <c r="B267" s="4">
        <v>14625</v>
      </c>
      <c r="C267" s="5" t="s">
        <v>36</v>
      </c>
      <c r="D267" s="6" t="s">
        <v>37</v>
      </c>
      <c r="E267" s="7" t="s">
        <v>7</v>
      </c>
      <c r="AD267" t="s">
        <v>800</v>
      </c>
    </row>
    <row r="268" spans="1:30" ht="15.75" x14ac:dyDescent="0.25">
      <c r="A268" s="4">
        <v>7</v>
      </c>
      <c r="B268" s="4">
        <v>14661</v>
      </c>
      <c r="C268" s="5" t="s">
        <v>697</v>
      </c>
      <c r="D268" s="6" t="s">
        <v>728</v>
      </c>
      <c r="E268" s="7" t="s">
        <v>8</v>
      </c>
      <c r="AD268" t="s">
        <v>800</v>
      </c>
    </row>
    <row r="269" spans="1:30" ht="15.75" x14ac:dyDescent="0.25">
      <c r="A269" s="4">
        <v>8</v>
      </c>
      <c r="B269" s="4">
        <v>14674</v>
      </c>
      <c r="C269" s="5" t="s">
        <v>327</v>
      </c>
      <c r="D269" s="6" t="s">
        <v>328</v>
      </c>
      <c r="E269" s="7" t="s">
        <v>8</v>
      </c>
      <c r="AD269" t="s">
        <v>800</v>
      </c>
    </row>
    <row r="270" spans="1:30" ht="15.75" x14ac:dyDescent="0.25">
      <c r="A270" s="4">
        <v>9</v>
      </c>
      <c r="B270" s="4">
        <v>14702</v>
      </c>
      <c r="C270" s="5" t="s">
        <v>111</v>
      </c>
      <c r="D270" s="6" t="s">
        <v>112</v>
      </c>
      <c r="E270" s="7" t="s">
        <v>8</v>
      </c>
      <c r="AD270" t="s">
        <v>800</v>
      </c>
    </row>
    <row r="271" spans="1:30" ht="15.75" x14ac:dyDescent="0.25">
      <c r="A271" s="4">
        <v>10</v>
      </c>
      <c r="B271" s="4">
        <v>14704</v>
      </c>
      <c r="C271" s="5" t="s">
        <v>716</v>
      </c>
      <c r="D271" s="6" t="s">
        <v>717</v>
      </c>
      <c r="E271" s="7" t="s">
        <v>8</v>
      </c>
      <c r="AD271" t="s">
        <v>800</v>
      </c>
    </row>
    <row r="272" spans="1:30" ht="15.75" x14ac:dyDescent="0.25">
      <c r="A272" s="4">
        <v>11</v>
      </c>
      <c r="B272" s="4">
        <v>14710</v>
      </c>
      <c r="C272" s="5" t="s">
        <v>359</v>
      </c>
      <c r="D272" s="6" t="s">
        <v>360</v>
      </c>
      <c r="E272" s="7" t="s">
        <v>7</v>
      </c>
      <c r="AD272" t="s">
        <v>800</v>
      </c>
    </row>
    <row r="273" spans="1:30" ht="15.75" x14ac:dyDescent="0.25">
      <c r="A273" s="4">
        <v>12</v>
      </c>
      <c r="B273" s="4">
        <v>14735</v>
      </c>
      <c r="C273" s="5" t="s">
        <v>708</v>
      </c>
      <c r="D273" s="6" t="s">
        <v>709</v>
      </c>
      <c r="E273" s="7" t="s">
        <v>7</v>
      </c>
      <c r="AD273" t="s">
        <v>800</v>
      </c>
    </row>
    <row r="274" spans="1:30" ht="15.75" x14ac:dyDescent="0.25">
      <c r="A274" s="4">
        <v>13</v>
      </c>
      <c r="B274" s="4">
        <v>14742</v>
      </c>
      <c r="C274" s="5" t="s">
        <v>347</v>
      </c>
      <c r="D274" s="6" t="s">
        <v>734</v>
      </c>
      <c r="E274" s="7" t="s">
        <v>7</v>
      </c>
      <c r="AD274" t="s">
        <v>800</v>
      </c>
    </row>
    <row r="275" spans="1:30" ht="15.75" x14ac:dyDescent="0.25">
      <c r="A275" s="4">
        <v>14</v>
      </c>
      <c r="B275" s="4">
        <v>14750</v>
      </c>
      <c r="C275" s="5" t="s">
        <v>55</v>
      </c>
      <c r="D275" s="6" t="s">
        <v>744</v>
      </c>
      <c r="E275" s="7" t="s">
        <v>7</v>
      </c>
      <c r="AD275" t="s">
        <v>800</v>
      </c>
    </row>
    <row r="276" spans="1:30" ht="15.75" x14ac:dyDescent="0.25">
      <c r="A276" s="4">
        <v>15</v>
      </c>
      <c r="B276" s="4">
        <v>14762</v>
      </c>
      <c r="C276" s="5" t="s">
        <v>250</v>
      </c>
      <c r="D276" s="6" t="s">
        <v>251</v>
      </c>
      <c r="E276" s="7" t="s">
        <v>7</v>
      </c>
      <c r="AD276" t="s">
        <v>800</v>
      </c>
    </row>
    <row r="277" spans="1:30" ht="15.75" x14ac:dyDescent="0.25">
      <c r="A277" s="4">
        <v>16</v>
      </c>
      <c r="B277" s="4">
        <v>14770</v>
      </c>
      <c r="C277" s="5" t="s">
        <v>557</v>
      </c>
      <c r="D277" s="6" t="s">
        <v>558</v>
      </c>
      <c r="E277" s="7" t="s">
        <v>7</v>
      </c>
      <c r="AD277" t="s">
        <v>800</v>
      </c>
    </row>
    <row r="278" spans="1:30" ht="15.75" x14ac:dyDescent="0.25">
      <c r="A278" s="4">
        <v>17</v>
      </c>
      <c r="B278" s="4">
        <v>14773</v>
      </c>
      <c r="C278" s="5" t="s">
        <v>91</v>
      </c>
      <c r="D278" s="6" t="s">
        <v>92</v>
      </c>
      <c r="E278" s="7" t="s">
        <v>7</v>
      </c>
      <c r="AD278" t="s">
        <v>800</v>
      </c>
    </row>
    <row r="279" spans="1:30" ht="15.75" x14ac:dyDescent="0.25">
      <c r="A279" s="4">
        <v>18</v>
      </c>
      <c r="B279" s="4">
        <v>14775</v>
      </c>
      <c r="C279" s="5" t="s">
        <v>323</v>
      </c>
      <c r="D279" s="6" t="s">
        <v>324</v>
      </c>
      <c r="E279" s="7" t="s">
        <v>8</v>
      </c>
      <c r="AD279" t="s">
        <v>800</v>
      </c>
    </row>
    <row r="280" spans="1:30" ht="15.75" x14ac:dyDescent="0.25">
      <c r="A280" s="4">
        <v>19</v>
      </c>
      <c r="B280" s="4">
        <v>14777</v>
      </c>
      <c r="C280" s="5" t="s">
        <v>704</v>
      </c>
      <c r="D280" s="5" t="s">
        <v>705</v>
      </c>
      <c r="E280" s="7" t="s">
        <v>7</v>
      </c>
      <c r="AD280" t="s">
        <v>800</v>
      </c>
    </row>
    <row r="281" spans="1:30" ht="15.75" x14ac:dyDescent="0.25">
      <c r="A281" s="4">
        <v>20</v>
      </c>
      <c r="B281" s="4">
        <v>14780</v>
      </c>
      <c r="C281" t="s">
        <v>149</v>
      </c>
      <c r="D281" s="6" t="s">
        <v>150</v>
      </c>
      <c r="E281" s="7" t="s">
        <v>8</v>
      </c>
      <c r="AD281" t="s">
        <v>800</v>
      </c>
    </row>
    <row r="282" spans="1:30" ht="15.75" x14ac:dyDescent="0.25">
      <c r="A282" s="4">
        <v>21</v>
      </c>
      <c r="B282" s="4">
        <v>14785</v>
      </c>
      <c r="C282" s="5" t="s">
        <v>428</v>
      </c>
      <c r="D282" s="6" t="s">
        <v>429</v>
      </c>
      <c r="E282" s="7" t="s">
        <v>8</v>
      </c>
      <c r="AD282" t="s">
        <v>800</v>
      </c>
    </row>
    <row r="283" spans="1:30" ht="15.75" x14ac:dyDescent="0.25">
      <c r="A283" s="4">
        <v>22</v>
      </c>
      <c r="B283" s="4">
        <v>14794</v>
      </c>
      <c r="C283" s="5" t="s">
        <v>626</v>
      </c>
      <c r="D283" s="6" t="s">
        <v>787</v>
      </c>
      <c r="E283" s="7" t="s">
        <v>8</v>
      </c>
      <c r="AD283" t="s">
        <v>800</v>
      </c>
    </row>
    <row r="284" spans="1:30" ht="15.75" x14ac:dyDescent="0.25">
      <c r="A284" s="4">
        <v>23</v>
      </c>
      <c r="B284" s="4">
        <v>14800</v>
      </c>
      <c r="C284" s="5" t="s">
        <v>551</v>
      </c>
      <c r="D284" s="6" t="s">
        <v>552</v>
      </c>
      <c r="E284" s="7" t="s">
        <v>8</v>
      </c>
      <c r="AD284" t="s">
        <v>800</v>
      </c>
    </row>
    <row r="285" spans="1:30" ht="15.75" x14ac:dyDescent="0.25">
      <c r="A285" s="4">
        <v>24</v>
      </c>
      <c r="B285" s="4">
        <v>14804</v>
      </c>
      <c r="C285" s="5" t="s">
        <v>216</v>
      </c>
      <c r="D285" s="6" t="s">
        <v>217</v>
      </c>
      <c r="E285" s="7" t="s">
        <v>8</v>
      </c>
      <c r="AD285" t="s">
        <v>800</v>
      </c>
    </row>
    <row r="286" spans="1:30" ht="15.75" x14ac:dyDescent="0.25">
      <c r="A286" s="4">
        <v>25</v>
      </c>
      <c r="B286" s="4">
        <v>14827</v>
      </c>
      <c r="C286" s="5" t="s">
        <v>410</v>
      </c>
      <c r="D286" s="5" t="s">
        <v>411</v>
      </c>
      <c r="E286" s="7" t="s">
        <v>7</v>
      </c>
      <c r="AD286" t="s">
        <v>800</v>
      </c>
    </row>
    <row r="287" spans="1:30" ht="15.75" x14ac:dyDescent="0.25">
      <c r="A287" s="4">
        <v>26</v>
      </c>
      <c r="B287" s="4">
        <v>14829</v>
      </c>
      <c r="C287" s="5" t="s">
        <v>163</v>
      </c>
      <c r="D287" s="6" t="s">
        <v>164</v>
      </c>
      <c r="E287" s="7" t="s">
        <v>7</v>
      </c>
      <c r="AD287" t="s">
        <v>800</v>
      </c>
    </row>
    <row r="288" spans="1:30" ht="15.75" x14ac:dyDescent="0.25">
      <c r="A288" s="4">
        <v>27</v>
      </c>
      <c r="B288" s="4">
        <v>14838</v>
      </c>
      <c r="C288" s="5" t="s">
        <v>72</v>
      </c>
      <c r="D288" s="5" t="s">
        <v>73</v>
      </c>
      <c r="E288" s="7" t="s">
        <v>8</v>
      </c>
      <c r="AD288" t="s">
        <v>800</v>
      </c>
    </row>
    <row r="289" spans="1:30" ht="15.75" x14ac:dyDescent="0.25">
      <c r="A289" s="4">
        <v>28</v>
      </c>
      <c r="B289" s="4">
        <v>14859</v>
      </c>
      <c r="C289" s="5" t="s">
        <v>655</v>
      </c>
      <c r="D289" s="6" t="s">
        <v>656</v>
      </c>
      <c r="E289" s="7" t="s">
        <v>7</v>
      </c>
      <c r="AD289" t="s">
        <v>800</v>
      </c>
    </row>
    <row r="290" spans="1:30" ht="15.75" x14ac:dyDescent="0.25">
      <c r="A290" s="4">
        <v>29</v>
      </c>
      <c r="B290" s="4">
        <v>14873</v>
      </c>
      <c r="C290" s="5" t="s">
        <v>363</v>
      </c>
      <c r="D290" s="6" t="s">
        <v>788</v>
      </c>
      <c r="E290" s="7" t="s">
        <v>8</v>
      </c>
      <c r="AD290" t="s">
        <v>800</v>
      </c>
    </row>
    <row r="291" spans="1:30" ht="15.75" x14ac:dyDescent="0.25">
      <c r="A291" s="4">
        <v>30</v>
      </c>
      <c r="B291" s="4">
        <v>14886</v>
      </c>
      <c r="C291" s="5" t="s">
        <v>768</v>
      </c>
      <c r="D291" s="6" t="s">
        <v>346</v>
      </c>
      <c r="E291" s="7" t="s">
        <v>7</v>
      </c>
      <c r="AD291" t="s">
        <v>800</v>
      </c>
    </row>
    <row r="292" spans="1:30" ht="15.75" x14ac:dyDescent="0.25">
      <c r="A292" s="4">
        <v>31</v>
      </c>
      <c r="B292" s="4">
        <v>14900</v>
      </c>
      <c r="C292" s="5" t="s">
        <v>396</v>
      </c>
      <c r="D292" s="6" t="s">
        <v>397</v>
      </c>
      <c r="E292" s="7" t="s">
        <v>7</v>
      </c>
      <c r="AD292" t="s">
        <v>800</v>
      </c>
    </row>
    <row r="293" spans="1:30" ht="15.75" x14ac:dyDescent="0.25">
      <c r="A293" s="4">
        <v>32</v>
      </c>
      <c r="B293" s="4">
        <v>14904</v>
      </c>
      <c r="C293" s="5" t="s">
        <v>533</v>
      </c>
      <c r="D293" s="6" t="s">
        <v>534</v>
      </c>
      <c r="E293" s="7" t="s">
        <v>8</v>
      </c>
      <c r="AD293" t="s">
        <v>800</v>
      </c>
    </row>
    <row r="294" spans="1:30" ht="15.75" x14ac:dyDescent="0.25">
      <c r="A294" s="4">
        <v>33</v>
      </c>
      <c r="B294" s="4">
        <v>14906</v>
      </c>
      <c r="C294" s="5" t="s">
        <v>200</v>
      </c>
      <c r="D294" s="6" t="s">
        <v>201</v>
      </c>
      <c r="E294" s="7" t="s">
        <v>7</v>
      </c>
      <c r="AD294" t="s">
        <v>800</v>
      </c>
    </row>
    <row r="295" spans="1:30" ht="15.75" x14ac:dyDescent="0.25">
      <c r="A295" s="4">
        <v>34</v>
      </c>
      <c r="B295" s="4">
        <v>14909</v>
      </c>
      <c r="C295" s="5" t="s">
        <v>770</v>
      </c>
      <c r="D295" s="6" t="s">
        <v>464</v>
      </c>
      <c r="E295" s="7" t="s">
        <v>8</v>
      </c>
      <c r="AD295" t="s">
        <v>800</v>
      </c>
    </row>
    <row r="296" spans="1:30" ht="15.75" x14ac:dyDescent="0.25">
      <c r="A296" s="4">
        <v>35</v>
      </c>
      <c r="B296" s="4">
        <v>14928</v>
      </c>
      <c r="C296" s="5" t="s">
        <v>687</v>
      </c>
      <c r="D296" s="23" t="s">
        <v>688</v>
      </c>
      <c r="E296" s="7" t="s">
        <v>7</v>
      </c>
      <c r="AD296" t="s">
        <v>800</v>
      </c>
    </row>
    <row r="297" spans="1:30" ht="15.75" x14ac:dyDescent="0.25">
      <c r="A297" s="4">
        <v>36</v>
      </c>
      <c r="B297" s="4">
        <v>14941</v>
      </c>
      <c r="C297" s="5" t="s">
        <v>638</v>
      </c>
      <c r="D297" s="6" t="s">
        <v>639</v>
      </c>
      <c r="E297" s="7" t="s">
        <v>7</v>
      </c>
      <c r="AD297" t="s">
        <v>800</v>
      </c>
    </row>
    <row r="298" spans="1:30" ht="15.75" x14ac:dyDescent="0.25">
      <c r="A298" s="4">
        <v>1</v>
      </c>
      <c r="B298" s="4">
        <v>14594</v>
      </c>
      <c r="C298" s="5" t="s">
        <v>394</v>
      </c>
      <c r="D298" s="6" t="s">
        <v>395</v>
      </c>
      <c r="E298" s="7" t="s">
        <v>8</v>
      </c>
      <c r="AD298" t="s">
        <v>801</v>
      </c>
    </row>
    <row r="299" spans="1:30" ht="15.75" x14ac:dyDescent="0.25">
      <c r="A299" s="4">
        <v>2</v>
      </c>
      <c r="B299" s="4">
        <v>14597</v>
      </c>
      <c r="C299" s="5" t="s">
        <v>119</v>
      </c>
      <c r="D299" s="6" t="s">
        <v>120</v>
      </c>
      <c r="E299" s="7" t="s">
        <v>7</v>
      </c>
      <c r="AD299" t="s">
        <v>801</v>
      </c>
    </row>
    <row r="300" spans="1:30" ht="15.75" x14ac:dyDescent="0.25">
      <c r="A300" s="4">
        <v>3</v>
      </c>
      <c r="B300" s="4">
        <v>14598</v>
      </c>
      <c r="C300" s="9" t="s">
        <v>519</v>
      </c>
      <c r="D300" s="6" t="s">
        <v>520</v>
      </c>
      <c r="E300" s="7" t="s">
        <v>7</v>
      </c>
      <c r="AD300" t="s">
        <v>801</v>
      </c>
    </row>
    <row r="301" spans="1:30" ht="15.75" x14ac:dyDescent="0.25">
      <c r="A301" s="4">
        <v>4</v>
      </c>
      <c r="B301" s="4">
        <v>14599</v>
      </c>
      <c r="C301" s="5" t="s">
        <v>374</v>
      </c>
      <c r="D301" s="6" t="s">
        <v>375</v>
      </c>
      <c r="E301" s="7" t="s">
        <v>7</v>
      </c>
      <c r="AD301" t="s">
        <v>801</v>
      </c>
    </row>
    <row r="302" spans="1:30" ht="15.75" x14ac:dyDescent="0.25">
      <c r="A302" s="4">
        <v>5</v>
      </c>
      <c r="B302" s="4">
        <v>14612</v>
      </c>
      <c r="C302" s="5" t="s">
        <v>624</v>
      </c>
      <c r="D302" s="6" t="s">
        <v>625</v>
      </c>
      <c r="E302" s="7" t="s">
        <v>7</v>
      </c>
      <c r="AD302" t="s">
        <v>801</v>
      </c>
    </row>
    <row r="303" spans="1:30" ht="15.75" x14ac:dyDescent="0.25">
      <c r="A303" s="4">
        <v>6</v>
      </c>
      <c r="B303" s="4">
        <v>14629</v>
      </c>
      <c r="C303" s="5" t="s">
        <v>465</v>
      </c>
      <c r="D303" s="6" t="s">
        <v>466</v>
      </c>
      <c r="E303" s="7" t="s">
        <v>8</v>
      </c>
      <c r="AD303" t="s">
        <v>801</v>
      </c>
    </row>
    <row r="304" spans="1:30" ht="15.75" x14ac:dyDescent="0.25">
      <c r="A304" s="4">
        <v>7</v>
      </c>
      <c r="B304" s="4">
        <v>14635</v>
      </c>
      <c r="C304" s="5" t="s">
        <v>46</v>
      </c>
      <c r="D304" s="6" t="s">
        <v>47</v>
      </c>
      <c r="E304" s="7" t="s">
        <v>8</v>
      </c>
      <c r="AD304" t="s">
        <v>801</v>
      </c>
    </row>
    <row r="305" spans="1:30" ht="15.75" x14ac:dyDescent="0.25">
      <c r="A305" s="4">
        <v>8</v>
      </c>
      <c r="B305" s="4">
        <v>14637</v>
      </c>
      <c r="C305" s="5" t="s">
        <v>641</v>
      </c>
      <c r="D305" s="6" t="s">
        <v>642</v>
      </c>
      <c r="E305" s="7" t="s">
        <v>7</v>
      </c>
      <c r="AD305" t="s">
        <v>801</v>
      </c>
    </row>
    <row r="306" spans="1:30" ht="15.75" x14ac:dyDescent="0.25">
      <c r="A306" s="4">
        <v>9</v>
      </c>
      <c r="B306" s="4">
        <v>14643</v>
      </c>
      <c r="C306" s="5" t="s">
        <v>301</v>
      </c>
      <c r="D306" s="6" t="s">
        <v>302</v>
      </c>
      <c r="E306" s="7" t="s">
        <v>7</v>
      </c>
      <c r="AD306" t="s">
        <v>801</v>
      </c>
    </row>
    <row r="307" spans="1:30" ht="15.75" x14ac:dyDescent="0.25">
      <c r="A307" s="4">
        <v>10</v>
      </c>
      <c r="B307" s="4">
        <v>14647</v>
      </c>
      <c r="C307" s="5" t="s">
        <v>724</v>
      </c>
      <c r="D307" s="6" t="s">
        <v>725</v>
      </c>
      <c r="E307" s="7" t="s">
        <v>8</v>
      </c>
      <c r="AD307" t="s">
        <v>801</v>
      </c>
    </row>
    <row r="308" spans="1:30" ht="15.75" x14ac:dyDescent="0.25">
      <c r="A308" s="4">
        <v>11</v>
      </c>
      <c r="B308" s="4">
        <v>14654</v>
      </c>
      <c r="C308" s="5" t="s">
        <v>661</v>
      </c>
      <c r="D308" s="6" t="s">
        <v>662</v>
      </c>
      <c r="E308" s="7" t="s">
        <v>7</v>
      </c>
      <c r="AD308" t="s">
        <v>801</v>
      </c>
    </row>
    <row r="309" spans="1:30" ht="15.75" x14ac:dyDescent="0.25">
      <c r="A309" s="4">
        <v>12</v>
      </c>
      <c r="B309" s="4">
        <v>14655</v>
      </c>
      <c r="C309" s="5" t="s">
        <v>663</v>
      </c>
      <c r="D309" s="6" t="s">
        <v>664</v>
      </c>
      <c r="E309" s="7" t="s">
        <v>7</v>
      </c>
      <c r="AD309" t="s">
        <v>801</v>
      </c>
    </row>
    <row r="310" spans="1:30" ht="15.75" x14ac:dyDescent="0.25">
      <c r="A310" s="4">
        <v>13</v>
      </c>
      <c r="B310" s="4">
        <v>14667</v>
      </c>
      <c r="C310" s="5" t="s">
        <v>262</v>
      </c>
      <c r="D310" s="6" t="s">
        <v>263</v>
      </c>
      <c r="E310" s="7" t="s">
        <v>7</v>
      </c>
      <c r="AD310" t="s">
        <v>801</v>
      </c>
    </row>
    <row r="311" spans="1:30" ht="15.75" x14ac:dyDescent="0.25">
      <c r="A311" s="4">
        <v>14</v>
      </c>
      <c r="B311" s="4">
        <v>14684</v>
      </c>
      <c r="C311" s="5" t="s">
        <v>42</v>
      </c>
      <c r="D311" s="6" t="s">
        <v>729</v>
      </c>
      <c r="E311" s="7" t="s">
        <v>7</v>
      </c>
      <c r="AD311" t="s">
        <v>801</v>
      </c>
    </row>
    <row r="312" spans="1:30" ht="15.75" x14ac:dyDescent="0.25">
      <c r="A312" s="4">
        <v>15</v>
      </c>
      <c r="B312" s="4">
        <v>14719</v>
      </c>
      <c r="C312" s="5" t="s">
        <v>127</v>
      </c>
      <c r="D312" s="6" t="s">
        <v>128</v>
      </c>
      <c r="E312" s="7" t="s">
        <v>8</v>
      </c>
      <c r="AD312" t="s">
        <v>801</v>
      </c>
    </row>
    <row r="313" spans="1:30" ht="15.75" x14ac:dyDescent="0.25">
      <c r="A313" s="4">
        <v>16</v>
      </c>
      <c r="B313" s="4">
        <v>14739</v>
      </c>
      <c r="C313" s="5" t="s">
        <v>14</v>
      </c>
      <c r="D313" s="6" t="s">
        <v>15</v>
      </c>
      <c r="E313" s="7" t="s">
        <v>8</v>
      </c>
      <c r="AD313" t="s">
        <v>801</v>
      </c>
    </row>
    <row r="314" spans="1:30" ht="15.75" x14ac:dyDescent="0.25">
      <c r="A314" s="4">
        <v>17</v>
      </c>
      <c r="B314" s="4">
        <v>14748</v>
      </c>
      <c r="C314" s="5" t="s">
        <v>222</v>
      </c>
      <c r="D314" s="6" t="s">
        <v>223</v>
      </c>
      <c r="E314" s="7" t="s">
        <v>7</v>
      </c>
      <c r="AD314" t="s">
        <v>801</v>
      </c>
    </row>
    <row r="315" spans="1:30" ht="15.75" x14ac:dyDescent="0.25">
      <c r="A315" s="4">
        <v>18</v>
      </c>
      <c r="B315" s="4">
        <v>14752</v>
      </c>
      <c r="C315" s="5" t="s">
        <v>622</v>
      </c>
      <c r="D315" s="6" t="s">
        <v>623</v>
      </c>
      <c r="E315" s="7" t="s">
        <v>7</v>
      </c>
      <c r="AD315" t="s">
        <v>801</v>
      </c>
    </row>
    <row r="316" spans="1:30" ht="15.75" x14ac:dyDescent="0.25">
      <c r="A316" s="4">
        <v>19</v>
      </c>
      <c r="B316" s="4">
        <v>14784</v>
      </c>
      <c r="C316" s="5" t="s">
        <v>89</v>
      </c>
      <c r="D316" s="6" t="s">
        <v>90</v>
      </c>
      <c r="E316" s="7" t="s">
        <v>8</v>
      </c>
      <c r="AD316" t="s">
        <v>801</v>
      </c>
    </row>
    <row r="317" spans="1:30" ht="15.75" x14ac:dyDescent="0.25">
      <c r="A317" s="4">
        <v>20</v>
      </c>
      <c r="B317" s="4">
        <v>14790</v>
      </c>
      <c r="C317" s="5" t="s">
        <v>545</v>
      </c>
      <c r="D317" s="6" t="s">
        <v>546</v>
      </c>
      <c r="E317" s="7" t="s">
        <v>8</v>
      </c>
      <c r="AD317" t="s">
        <v>801</v>
      </c>
    </row>
    <row r="318" spans="1:30" ht="15.75" x14ac:dyDescent="0.25">
      <c r="A318" s="4">
        <v>21</v>
      </c>
      <c r="B318" s="4">
        <v>14793</v>
      </c>
      <c r="C318" s="5" t="s">
        <v>303</v>
      </c>
      <c r="D318" s="6" t="s">
        <v>304</v>
      </c>
      <c r="E318" s="7" t="s">
        <v>8</v>
      </c>
      <c r="AD318" t="s">
        <v>801</v>
      </c>
    </row>
    <row r="319" spans="1:30" ht="15.75" x14ac:dyDescent="0.25">
      <c r="A319" s="4">
        <v>22</v>
      </c>
      <c r="B319" s="4">
        <v>14802</v>
      </c>
      <c r="C319" s="5" t="s">
        <v>404</v>
      </c>
      <c r="D319" s="5" t="s">
        <v>405</v>
      </c>
      <c r="E319" s="7" t="s">
        <v>8</v>
      </c>
      <c r="AD319" t="s">
        <v>801</v>
      </c>
    </row>
    <row r="320" spans="1:30" ht="15.75" x14ac:dyDescent="0.25">
      <c r="A320" s="4">
        <v>23</v>
      </c>
      <c r="B320" s="4">
        <v>14808</v>
      </c>
      <c r="C320" s="5" t="s">
        <v>541</v>
      </c>
      <c r="D320" s="6" t="s">
        <v>542</v>
      </c>
      <c r="E320" s="7" t="s">
        <v>8</v>
      </c>
      <c r="AD320" t="s">
        <v>801</v>
      </c>
    </row>
    <row r="321" spans="1:30" ht="15.75" x14ac:dyDescent="0.25">
      <c r="A321" s="4">
        <v>24</v>
      </c>
      <c r="B321" s="4">
        <v>14815</v>
      </c>
      <c r="C321" s="5" t="s">
        <v>68</v>
      </c>
      <c r="D321" s="6" t="s">
        <v>753</v>
      </c>
      <c r="E321" s="7" t="s">
        <v>8</v>
      </c>
      <c r="AD321" t="s">
        <v>801</v>
      </c>
    </row>
    <row r="322" spans="1:30" ht="15.75" x14ac:dyDescent="0.25">
      <c r="A322" s="4">
        <v>25</v>
      </c>
      <c r="B322" s="4">
        <v>14823</v>
      </c>
      <c r="C322" s="5" t="s">
        <v>129</v>
      </c>
      <c r="D322" s="5" t="s">
        <v>130</v>
      </c>
      <c r="E322" s="7" t="s">
        <v>8</v>
      </c>
      <c r="AD322" t="s">
        <v>801</v>
      </c>
    </row>
    <row r="323" spans="1:30" ht="15.75" x14ac:dyDescent="0.25">
      <c r="A323" s="4">
        <v>26</v>
      </c>
      <c r="B323" s="4">
        <v>14825</v>
      </c>
      <c r="C323" s="5" t="s">
        <v>473</v>
      </c>
      <c r="D323" s="6" t="s">
        <v>474</v>
      </c>
      <c r="E323" s="7" t="s">
        <v>8</v>
      </c>
      <c r="AD323" t="s">
        <v>801</v>
      </c>
    </row>
    <row r="324" spans="1:30" ht="15.75" x14ac:dyDescent="0.25">
      <c r="A324" s="4">
        <v>27</v>
      </c>
      <c r="B324" s="4">
        <v>14826</v>
      </c>
      <c r="C324" s="5" t="s">
        <v>771</v>
      </c>
      <c r="D324" s="6" t="s">
        <v>252</v>
      </c>
      <c r="E324" s="7" t="s">
        <v>7</v>
      </c>
      <c r="AD324" t="s">
        <v>801</v>
      </c>
    </row>
    <row r="325" spans="1:30" ht="15.75" x14ac:dyDescent="0.25">
      <c r="A325" s="4">
        <v>28</v>
      </c>
      <c r="B325" s="4">
        <v>14828</v>
      </c>
      <c r="C325" s="5" t="s">
        <v>336</v>
      </c>
      <c r="D325" s="6" t="s">
        <v>755</v>
      </c>
      <c r="E325" s="7" t="s">
        <v>7</v>
      </c>
      <c r="AD325" t="s">
        <v>801</v>
      </c>
    </row>
    <row r="326" spans="1:30" ht="15.75" x14ac:dyDescent="0.25">
      <c r="A326" s="4">
        <v>29</v>
      </c>
      <c r="B326" s="4">
        <v>14842</v>
      </c>
      <c r="C326" s="5" t="s">
        <v>772</v>
      </c>
      <c r="D326" s="6" t="s">
        <v>331</v>
      </c>
      <c r="E326" s="7" t="s">
        <v>8</v>
      </c>
      <c r="AD326" t="s">
        <v>801</v>
      </c>
    </row>
    <row r="327" spans="1:30" ht="15.75" x14ac:dyDescent="0.25">
      <c r="A327" s="4">
        <v>30</v>
      </c>
      <c r="B327" s="4">
        <v>14845</v>
      </c>
      <c r="C327" s="5" t="s">
        <v>210</v>
      </c>
      <c r="D327" s="6" t="s">
        <v>785</v>
      </c>
      <c r="E327" s="7" t="s">
        <v>8</v>
      </c>
      <c r="AD327" t="s">
        <v>801</v>
      </c>
    </row>
    <row r="328" spans="1:30" ht="15.75" x14ac:dyDescent="0.25">
      <c r="A328" s="4">
        <v>31</v>
      </c>
      <c r="B328" s="4">
        <v>14858</v>
      </c>
      <c r="C328" s="5" t="s">
        <v>95</v>
      </c>
      <c r="D328" s="6" t="s">
        <v>96</v>
      </c>
      <c r="E328" s="7" t="s">
        <v>7</v>
      </c>
      <c r="AD328" t="s">
        <v>801</v>
      </c>
    </row>
    <row r="329" spans="1:30" ht="15.75" x14ac:dyDescent="0.25">
      <c r="A329" s="4">
        <v>32</v>
      </c>
      <c r="B329" s="4">
        <v>14877</v>
      </c>
      <c r="C329" s="5" t="s">
        <v>430</v>
      </c>
      <c r="D329" s="6" t="s">
        <v>431</v>
      </c>
      <c r="E329" s="7" t="s">
        <v>8</v>
      </c>
      <c r="AD329" t="s">
        <v>801</v>
      </c>
    </row>
    <row r="330" spans="1:30" ht="15.75" x14ac:dyDescent="0.25">
      <c r="A330" s="4">
        <v>33</v>
      </c>
      <c r="B330" s="4">
        <v>14897</v>
      </c>
      <c r="C330" s="5" t="s">
        <v>155</v>
      </c>
      <c r="D330" s="6" t="s">
        <v>156</v>
      </c>
      <c r="E330" s="7" t="s">
        <v>7</v>
      </c>
      <c r="AD330" t="s">
        <v>801</v>
      </c>
    </row>
    <row r="331" spans="1:30" ht="15.75" x14ac:dyDescent="0.25">
      <c r="A331" s="4">
        <v>34</v>
      </c>
      <c r="B331" s="4">
        <v>14920</v>
      </c>
      <c r="C331" s="5" t="s">
        <v>44</v>
      </c>
      <c r="D331" s="6" t="s">
        <v>735</v>
      </c>
      <c r="E331" s="7" t="s">
        <v>7</v>
      </c>
      <c r="AD331" t="s">
        <v>801</v>
      </c>
    </row>
    <row r="332" spans="1:30" ht="15.75" x14ac:dyDescent="0.25">
      <c r="A332" s="4">
        <v>35</v>
      </c>
      <c r="B332" s="4">
        <v>14926</v>
      </c>
      <c r="C332" s="5" t="s">
        <v>669</v>
      </c>
      <c r="D332" s="6" t="s">
        <v>757</v>
      </c>
      <c r="E332" s="7" t="s">
        <v>8</v>
      </c>
      <c r="AD332" t="s">
        <v>801</v>
      </c>
    </row>
    <row r="333" spans="1:30" ht="15.75" x14ac:dyDescent="0.25">
      <c r="A333" s="4">
        <v>36</v>
      </c>
      <c r="B333" s="4">
        <v>14936</v>
      </c>
      <c r="C333" s="5" t="s">
        <v>297</v>
      </c>
      <c r="D333" s="6" t="s">
        <v>298</v>
      </c>
      <c r="E333" s="7" t="s">
        <v>7</v>
      </c>
      <c r="AD333" t="s">
        <v>801</v>
      </c>
    </row>
    <row r="334" spans="1:30" ht="15.75" x14ac:dyDescent="0.25">
      <c r="A334" s="4">
        <v>1</v>
      </c>
      <c r="B334" s="4">
        <v>14595</v>
      </c>
      <c r="C334" s="5" t="s">
        <v>602</v>
      </c>
      <c r="D334" s="6" t="s">
        <v>603</v>
      </c>
      <c r="E334" s="7" t="s">
        <v>8</v>
      </c>
      <c r="AD334" t="s">
        <v>802</v>
      </c>
    </row>
    <row r="335" spans="1:30" ht="15.75" x14ac:dyDescent="0.25">
      <c r="A335" s="4">
        <v>2</v>
      </c>
      <c r="B335" s="4">
        <v>14608</v>
      </c>
      <c r="C335" s="5" t="s">
        <v>22</v>
      </c>
      <c r="D335" s="6" t="s">
        <v>23</v>
      </c>
      <c r="E335" s="7" t="s">
        <v>8</v>
      </c>
      <c r="AD335" t="s">
        <v>802</v>
      </c>
    </row>
    <row r="336" spans="1:30" ht="15.75" x14ac:dyDescent="0.25">
      <c r="A336" s="4">
        <v>3</v>
      </c>
      <c r="B336" s="4">
        <v>14610</v>
      </c>
      <c r="C336" s="9" t="s">
        <v>283</v>
      </c>
      <c r="D336" s="6" t="s">
        <v>284</v>
      </c>
      <c r="E336" s="7" t="s">
        <v>7</v>
      </c>
      <c r="AD336" t="s">
        <v>802</v>
      </c>
    </row>
    <row r="337" spans="1:30" ht="15.75" x14ac:dyDescent="0.25">
      <c r="A337" s="4">
        <v>4</v>
      </c>
      <c r="B337" s="4">
        <v>14613</v>
      </c>
      <c r="C337" s="5" t="s">
        <v>416</v>
      </c>
      <c r="D337" s="6" t="s">
        <v>417</v>
      </c>
      <c r="E337" s="7" t="s">
        <v>8</v>
      </c>
      <c r="AD337" t="s">
        <v>802</v>
      </c>
    </row>
    <row r="338" spans="1:30" ht="15.75" x14ac:dyDescent="0.25">
      <c r="A338" s="4">
        <v>5</v>
      </c>
      <c r="B338" s="4">
        <v>14636</v>
      </c>
      <c r="C338" s="5" t="s">
        <v>224</v>
      </c>
      <c r="D338" s="6" t="s">
        <v>225</v>
      </c>
      <c r="E338" s="7" t="s">
        <v>7</v>
      </c>
      <c r="AD338" t="s">
        <v>802</v>
      </c>
    </row>
    <row r="339" spans="1:30" ht="15.75" x14ac:dyDescent="0.25">
      <c r="A339" s="4">
        <v>6</v>
      </c>
      <c r="B339" s="4">
        <v>14645</v>
      </c>
      <c r="C339" s="5" t="s">
        <v>157</v>
      </c>
      <c r="D339" s="6" t="s">
        <v>158</v>
      </c>
      <c r="E339" s="7" t="s">
        <v>8</v>
      </c>
      <c r="AD339" t="s">
        <v>802</v>
      </c>
    </row>
    <row r="340" spans="1:30" ht="15.75" x14ac:dyDescent="0.25">
      <c r="A340" s="4">
        <v>7</v>
      </c>
      <c r="B340" s="4">
        <v>14648</v>
      </c>
      <c r="C340" s="5" t="s">
        <v>376</v>
      </c>
      <c r="D340" s="6" t="s">
        <v>377</v>
      </c>
      <c r="E340" s="7" t="s">
        <v>7</v>
      </c>
      <c r="AD340" t="s">
        <v>802</v>
      </c>
    </row>
    <row r="341" spans="1:30" ht="15.75" x14ac:dyDescent="0.25">
      <c r="A341" s="4">
        <v>8</v>
      </c>
      <c r="B341" s="4">
        <v>14652</v>
      </c>
      <c r="C341" s="5" t="s">
        <v>253</v>
      </c>
      <c r="D341" s="6" t="s">
        <v>254</v>
      </c>
      <c r="E341" s="7" t="s">
        <v>7</v>
      </c>
      <c r="AD341" t="s">
        <v>802</v>
      </c>
    </row>
    <row r="342" spans="1:30" ht="15.75" x14ac:dyDescent="0.25">
      <c r="A342" s="4">
        <v>9</v>
      </c>
      <c r="B342" s="4">
        <v>14658</v>
      </c>
      <c r="C342" s="5" t="s">
        <v>232</v>
      </c>
      <c r="D342" s="6" t="s">
        <v>233</v>
      </c>
      <c r="E342" s="7" t="s">
        <v>8</v>
      </c>
      <c r="AD342" t="s">
        <v>802</v>
      </c>
    </row>
    <row r="343" spans="1:30" ht="15.75" x14ac:dyDescent="0.25">
      <c r="A343" s="4">
        <v>10</v>
      </c>
      <c r="B343" s="4">
        <v>14659</v>
      </c>
      <c r="C343" s="5" t="s">
        <v>610</v>
      </c>
      <c r="D343" s="6" t="s">
        <v>611</v>
      </c>
      <c r="E343" s="7" t="s">
        <v>7</v>
      </c>
      <c r="AD343" t="s">
        <v>802</v>
      </c>
    </row>
    <row r="344" spans="1:30" ht="15.75" x14ac:dyDescent="0.25">
      <c r="A344" s="4">
        <v>11</v>
      </c>
      <c r="B344" s="4">
        <v>14665</v>
      </c>
      <c r="C344" s="5" t="s">
        <v>137</v>
      </c>
      <c r="D344" s="6" t="s">
        <v>138</v>
      </c>
      <c r="E344" s="7" t="s">
        <v>7</v>
      </c>
      <c r="AD344" t="s">
        <v>802</v>
      </c>
    </row>
    <row r="345" spans="1:30" ht="15.75" x14ac:dyDescent="0.25">
      <c r="A345" s="4">
        <v>12</v>
      </c>
      <c r="B345" s="4">
        <v>14666</v>
      </c>
      <c r="C345" s="5" t="s">
        <v>344</v>
      </c>
      <c r="D345" s="6" t="s">
        <v>345</v>
      </c>
      <c r="E345" s="7" t="s">
        <v>7</v>
      </c>
      <c r="AD345" t="s">
        <v>802</v>
      </c>
    </row>
    <row r="346" spans="1:30" ht="15.75" x14ac:dyDescent="0.25">
      <c r="A346" s="4">
        <v>13</v>
      </c>
      <c r="B346" s="4">
        <v>14672</v>
      </c>
      <c r="C346" s="5" t="s">
        <v>773</v>
      </c>
      <c r="D346" s="6" t="s">
        <v>280</v>
      </c>
      <c r="E346" s="7" t="s">
        <v>7</v>
      </c>
      <c r="AD346" t="s">
        <v>802</v>
      </c>
    </row>
    <row r="347" spans="1:30" ht="15.75" x14ac:dyDescent="0.25">
      <c r="A347" s="4">
        <v>14</v>
      </c>
      <c r="B347" s="4">
        <v>14701</v>
      </c>
      <c r="C347" s="5" t="s">
        <v>420</v>
      </c>
      <c r="D347" s="6" t="s">
        <v>421</v>
      </c>
      <c r="E347" s="7" t="s">
        <v>7</v>
      </c>
      <c r="AD347" t="s">
        <v>802</v>
      </c>
    </row>
    <row r="348" spans="1:30" ht="15.75" x14ac:dyDescent="0.25">
      <c r="A348" s="4">
        <v>15</v>
      </c>
      <c r="B348" s="4">
        <v>14721</v>
      </c>
      <c r="C348" s="5" t="s">
        <v>66</v>
      </c>
      <c r="D348" s="6" t="s">
        <v>67</v>
      </c>
      <c r="E348" s="7" t="s">
        <v>7</v>
      </c>
      <c r="AD348" t="s">
        <v>802</v>
      </c>
    </row>
    <row r="349" spans="1:30" ht="15.75" x14ac:dyDescent="0.25">
      <c r="A349" s="4">
        <v>16</v>
      </c>
      <c r="B349" s="4">
        <v>14723</v>
      </c>
      <c r="C349" s="5" t="s">
        <v>592</v>
      </c>
      <c r="D349" s="6" t="s">
        <v>593</v>
      </c>
      <c r="E349" s="7" t="s">
        <v>8</v>
      </c>
      <c r="AD349" t="s">
        <v>802</v>
      </c>
    </row>
    <row r="350" spans="1:30" ht="15.75" x14ac:dyDescent="0.25">
      <c r="A350" s="4">
        <v>17</v>
      </c>
      <c r="B350" s="4">
        <v>14725</v>
      </c>
      <c r="C350" s="5" t="s">
        <v>34</v>
      </c>
      <c r="D350" s="6" t="s">
        <v>35</v>
      </c>
      <c r="E350" s="7" t="s">
        <v>7</v>
      </c>
      <c r="AD350" t="s">
        <v>802</v>
      </c>
    </row>
    <row r="351" spans="1:30" ht="15.75" x14ac:dyDescent="0.25">
      <c r="A351" s="4">
        <v>18</v>
      </c>
      <c r="B351" s="4">
        <v>14755</v>
      </c>
      <c r="C351" s="5" t="s">
        <v>319</v>
      </c>
      <c r="D351" s="6" t="s">
        <v>320</v>
      </c>
      <c r="E351" s="7" t="s">
        <v>7</v>
      </c>
      <c r="AD351" t="s">
        <v>802</v>
      </c>
    </row>
    <row r="352" spans="1:30" ht="15.75" x14ac:dyDescent="0.25">
      <c r="A352" s="4">
        <v>19</v>
      </c>
      <c r="B352" s="4">
        <v>14759</v>
      </c>
      <c r="C352" s="5" t="s">
        <v>248</v>
      </c>
      <c r="D352" s="6" t="s">
        <v>249</v>
      </c>
      <c r="E352" s="7" t="s">
        <v>8</v>
      </c>
      <c r="AD352" t="s">
        <v>802</v>
      </c>
    </row>
    <row r="353" spans="1:30" ht="15.75" x14ac:dyDescent="0.25">
      <c r="A353" s="4">
        <v>20</v>
      </c>
      <c r="B353" s="4">
        <v>14761</v>
      </c>
      <c r="C353" s="5" t="s">
        <v>384</v>
      </c>
      <c r="D353" s="6" t="s">
        <v>385</v>
      </c>
      <c r="E353" s="7" t="s">
        <v>8</v>
      </c>
      <c r="AD353" t="s">
        <v>802</v>
      </c>
    </row>
    <row r="354" spans="1:30" ht="15.75" x14ac:dyDescent="0.25">
      <c r="A354" s="4">
        <v>21</v>
      </c>
      <c r="B354" s="4">
        <v>14774</v>
      </c>
      <c r="C354" s="5" t="s">
        <v>51</v>
      </c>
      <c r="D354" s="6" t="s">
        <v>738</v>
      </c>
      <c r="E354" s="7" t="s">
        <v>7</v>
      </c>
      <c r="AD354" t="s">
        <v>802</v>
      </c>
    </row>
    <row r="355" spans="1:30" ht="15.75" x14ac:dyDescent="0.25">
      <c r="A355" s="4">
        <v>22</v>
      </c>
      <c r="B355" s="4">
        <v>14779</v>
      </c>
      <c r="C355" s="5" t="s">
        <v>479</v>
      </c>
      <c r="D355" s="6" t="s">
        <v>480</v>
      </c>
      <c r="E355" s="7" t="s">
        <v>8</v>
      </c>
      <c r="AD355" t="s">
        <v>802</v>
      </c>
    </row>
    <row r="356" spans="1:30" ht="15.75" x14ac:dyDescent="0.25">
      <c r="A356" s="4">
        <v>23</v>
      </c>
      <c r="B356" s="4">
        <v>14796</v>
      </c>
      <c r="C356" s="5" t="s">
        <v>99</v>
      </c>
      <c r="D356" s="5" t="s">
        <v>100</v>
      </c>
      <c r="E356" s="7" t="s">
        <v>8</v>
      </c>
      <c r="AD356" t="s">
        <v>802</v>
      </c>
    </row>
    <row r="357" spans="1:30" ht="15.75" x14ac:dyDescent="0.25">
      <c r="A357" s="4">
        <v>24</v>
      </c>
      <c r="B357" s="4">
        <v>14797</v>
      </c>
      <c r="C357" s="5" t="s">
        <v>462</v>
      </c>
      <c r="D357" s="6" t="s">
        <v>463</v>
      </c>
      <c r="E357" s="7" t="s">
        <v>8</v>
      </c>
      <c r="AD357" t="s">
        <v>802</v>
      </c>
    </row>
    <row r="358" spans="1:30" ht="15.75" x14ac:dyDescent="0.25">
      <c r="A358" s="4">
        <v>25</v>
      </c>
      <c r="B358" s="4">
        <v>14816</v>
      </c>
      <c r="C358" s="5" t="s">
        <v>675</v>
      </c>
      <c r="D358" s="6" t="s">
        <v>676</v>
      </c>
      <c r="E358" s="7" t="s">
        <v>8</v>
      </c>
      <c r="AD358" t="s">
        <v>802</v>
      </c>
    </row>
    <row r="359" spans="1:30" ht="15.75" x14ac:dyDescent="0.25">
      <c r="A359" s="4">
        <v>26</v>
      </c>
      <c r="B359" s="4">
        <v>14833</v>
      </c>
      <c r="C359" s="5" t="s">
        <v>48</v>
      </c>
      <c r="D359" s="6" t="s">
        <v>49</v>
      </c>
      <c r="E359" s="7" t="s">
        <v>8</v>
      </c>
      <c r="AD359" t="s">
        <v>802</v>
      </c>
    </row>
    <row r="360" spans="1:30" ht="15.75" x14ac:dyDescent="0.25">
      <c r="A360" s="4">
        <v>27</v>
      </c>
      <c r="B360" s="4">
        <v>14840</v>
      </c>
      <c r="C360" s="5" t="s">
        <v>153</v>
      </c>
      <c r="D360" s="6" t="s">
        <v>154</v>
      </c>
      <c r="E360" s="7" t="s">
        <v>8</v>
      </c>
      <c r="AD360" t="s">
        <v>802</v>
      </c>
    </row>
    <row r="361" spans="1:30" ht="15.75" x14ac:dyDescent="0.25">
      <c r="A361" s="4">
        <v>28</v>
      </c>
      <c r="B361" s="4">
        <v>14854</v>
      </c>
      <c r="C361" s="5" t="s">
        <v>543</v>
      </c>
      <c r="D361" s="5" t="s">
        <v>544</v>
      </c>
      <c r="E361" s="7" t="s">
        <v>8</v>
      </c>
      <c r="AD361" t="s">
        <v>802</v>
      </c>
    </row>
    <row r="362" spans="1:30" ht="15.75" x14ac:dyDescent="0.25">
      <c r="A362" s="4">
        <v>29</v>
      </c>
      <c r="B362" s="4">
        <v>14860</v>
      </c>
      <c r="C362" s="5" t="s">
        <v>32</v>
      </c>
      <c r="D362" s="6" t="s">
        <v>33</v>
      </c>
      <c r="E362" s="7" t="s">
        <v>7</v>
      </c>
      <c r="AD362" t="s">
        <v>802</v>
      </c>
    </row>
    <row r="363" spans="1:30" ht="15.75" x14ac:dyDescent="0.25">
      <c r="A363" s="4">
        <v>30</v>
      </c>
      <c r="B363" s="4">
        <v>14882</v>
      </c>
      <c r="C363" s="5" t="s">
        <v>408</v>
      </c>
      <c r="D363" s="6" t="s">
        <v>409</v>
      </c>
      <c r="E363" s="7" t="s">
        <v>8</v>
      </c>
      <c r="AD363" t="s">
        <v>802</v>
      </c>
    </row>
    <row r="364" spans="1:30" ht="15.75" x14ac:dyDescent="0.25">
      <c r="A364" s="4">
        <v>31</v>
      </c>
      <c r="B364" s="4">
        <v>14903</v>
      </c>
      <c r="C364" s="5" t="s">
        <v>432</v>
      </c>
      <c r="D364" s="6" t="s">
        <v>433</v>
      </c>
      <c r="E364" s="7" t="s">
        <v>7</v>
      </c>
      <c r="AD364" t="s">
        <v>802</v>
      </c>
    </row>
    <row r="365" spans="1:30" ht="15.75" x14ac:dyDescent="0.25">
      <c r="A365" s="4">
        <v>32</v>
      </c>
      <c r="B365" s="4">
        <v>14919</v>
      </c>
      <c r="C365" s="5" t="s">
        <v>159</v>
      </c>
      <c r="D365" s="6" t="s">
        <v>160</v>
      </c>
      <c r="E365" s="7" t="s">
        <v>7</v>
      </c>
      <c r="AD365" t="s">
        <v>802</v>
      </c>
    </row>
    <row r="366" spans="1:30" ht="15.75" x14ac:dyDescent="0.25">
      <c r="A366" s="4">
        <v>33</v>
      </c>
      <c r="B366" s="4">
        <v>14923</v>
      </c>
      <c r="C366" s="5" t="s">
        <v>144</v>
      </c>
      <c r="D366" s="6" t="s">
        <v>145</v>
      </c>
      <c r="E366" s="7" t="s">
        <v>8</v>
      </c>
      <c r="AD366" t="s">
        <v>802</v>
      </c>
    </row>
    <row r="367" spans="1:30" ht="15.75" x14ac:dyDescent="0.25">
      <c r="A367" s="4">
        <v>34</v>
      </c>
      <c r="B367" s="4">
        <v>14939</v>
      </c>
      <c r="C367" s="5" t="s">
        <v>180</v>
      </c>
      <c r="D367" s="6" t="s">
        <v>743</v>
      </c>
      <c r="E367" s="7" t="s">
        <v>8</v>
      </c>
      <c r="AD367" t="s">
        <v>802</v>
      </c>
    </row>
    <row r="368" spans="1:30" ht="15.75" x14ac:dyDescent="0.25">
      <c r="A368" s="4">
        <v>35</v>
      </c>
      <c r="B368" s="4">
        <v>14943</v>
      </c>
      <c r="C368" s="5" t="s">
        <v>620</v>
      </c>
      <c r="D368" s="6" t="s">
        <v>621</v>
      </c>
      <c r="E368" s="7" t="s">
        <v>7</v>
      </c>
      <c r="AD368" t="s">
        <v>802</v>
      </c>
    </row>
  </sheetData>
  <sortState xmlns:xlrd2="http://schemas.microsoft.com/office/spreadsheetml/2017/richdata2" ref="B10:AD368">
    <sortCondition ref="AD10:AD368"/>
  </sortState>
  <mergeCells count="16">
    <mergeCell ref="A1:AC1"/>
    <mergeCell ref="A2:AC2"/>
    <mergeCell ref="A3:AC3"/>
    <mergeCell ref="A4:AC4"/>
    <mergeCell ref="A7:A9"/>
    <mergeCell ref="B7:B9"/>
    <mergeCell ref="C7:C9"/>
    <mergeCell ref="D7:D9"/>
    <mergeCell ref="E7:E9"/>
    <mergeCell ref="F7:H7"/>
    <mergeCell ref="I7:S7"/>
    <mergeCell ref="T7:U7"/>
    <mergeCell ref="V7:AC7"/>
    <mergeCell ref="F8:M8"/>
    <mergeCell ref="N8:U8"/>
    <mergeCell ref="V8:AC8"/>
  </mergeCells>
  <conditionalFormatting sqref="D10:D28 D30:D42">
    <cfRule type="colorScale" priority="105">
      <colorScale>
        <cfvo type="min"/>
        <cfvo type="max"/>
        <color rgb="FFFCFCFF"/>
        <color rgb="FF63BE7B"/>
      </colorScale>
    </cfRule>
    <cfRule type="duplicateValues" dxfId="812" priority="106"/>
  </conditionalFormatting>
  <conditionalFormatting sqref="D29">
    <cfRule type="colorScale" priority="107">
      <colorScale>
        <cfvo type="min"/>
        <cfvo type="max"/>
        <color rgb="FFFCFCFF"/>
        <color rgb="FF63BE7B"/>
      </colorScale>
    </cfRule>
    <cfRule type="duplicateValues" dxfId="811" priority="108"/>
  </conditionalFormatting>
  <conditionalFormatting sqref="D43:D45">
    <cfRule type="colorScale" priority="103">
      <colorScale>
        <cfvo type="min"/>
        <cfvo type="max"/>
        <color rgb="FFFCFCFF"/>
        <color rgb="FF63BE7B"/>
      </colorScale>
    </cfRule>
    <cfRule type="duplicateValues" dxfId="810" priority="104"/>
  </conditionalFormatting>
  <conditionalFormatting sqref="D46:D64 D66:D68 D70:D78">
    <cfRule type="colorScale" priority="99">
      <colorScale>
        <cfvo type="min"/>
        <cfvo type="max"/>
        <color rgb="FFFCFCFF"/>
        <color rgb="FF63BE7B"/>
      </colorScale>
    </cfRule>
    <cfRule type="duplicateValues" dxfId="809" priority="100"/>
  </conditionalFormatting>
  <conditionalFormatting sqref="D65">
    <cfRule type="colorScale" priority="101">
      <colorScale>
        <cfvo type="min"/>
        <cfvo type="max"/>
        <color rgb="FFFCFCFF"/>
        <color rgb="FF63BE7B"/>
      </colorScale>
    </cfRule>
    <cfRule type="duplicateValues" dxfId="808" priority="102"/>
  </conditionalFormatting>
  <conditionalFormatting sqref="D69">
    <cfRule type="colorScale" priority="95">
      <colorScale>
        <cfvo type="min"/>
        <cfvo type="max"/>
        <color rgb="FFFCFCFF"/>
        <color rgb="FF63BE7B"/>
      </colorScale>
    </cfRule>
    <cfRule type="duplicateValues" dxfId="807" priority="96"/>
  </conditionalFormatting>
  <conditionalFormatting sqref="D79:D81">
    <cfRule type="colorScale" priority="97">
      <colorScale>
        <cfvo type="min"/>
        <cfvo type="max"/>
        <color rgb="FFFCFCFF"/>
        <color rgb="FF63BE7B"/>
      </colorScale>
    </cfRule>
    <cfRule type="duplicateValues" dxfId="806" priority="98"/>
  </conditionalFormatting>
  <conditionalFormatting sqref="D82:D98 D102:D114 D100">
    <cfRule type="colorScale" priority="91">
      <colorScale>
        <cfvo type="min"/>
        <cfvo type="max"/>
        <color rgb="FFFCFCFF"/>
        <color rgb="FF63BE7B"/>
      </colorScale>
    </cfRule>
    <cfRule type="duplicateValues" dxfId="805" priority="92"/>
  </conditionalFormatting>
  <conditionalFormatting sqref="D99">
    <cfRule type="colorScale" priority="87">
      <colorScale>
        <cfvo type="min"/>
        <cfvo type="max"/>
        <color rgb="FFFCFCFF"/>
        <color rgb="FF63BE7B"/>
      </colorScale>
    </cfRule>
    <cfRule type="duplicateValues" dxfId="804" priority="88"/>
  </conditionalFormatting>
  <conditionalFormatting sqref="D101">
    <cfRule type="colorScale" priority="93">
      <colorScale>
        <cfvo type="min"/>
        <cfvo type="max"/>
        <color rgb="FFFCFCFF"/>
        <color rgb="FF63BE7B"/>
      </colorScale>
    </cfRule>
    <cfRule type="duplicateValues" dxfId="803" priority="94"/>
  </conditionalFormatting>
  <conditionalFormatting sqref="D115:D117">
    <cfRule type="colorScale" priority="89">
      <colorScale>
        <cfvo type="min"/>
        <cfvo type="max"/>
        <color rgb="FFFCFCFF"/>
        <color rgb="FF63BE7B"/>
      </colorScale>
    </cfRule>
    <cfRule type="duplicateValues" dxfId="802" priority="90"/>
  </conditionalFormatting>
  <conditionalFormatting sqref="D118:D136 D138:D142 D144:D150">
    <cfRule type="colorScale" priority="83">
      <colorScale>
        <cfvo type="min"/>
        <cfvo type="max"/>
        <color rgb="FFFCFCFF"/>
        <color rgb="FF63BE7B"/>
      </colorScale>
    </cfRule>
    <cfRule type="duplicateValues" dxfId="801" priority="84"/>
  </conditionalFormatting>
  <conditionalFormatting sqref="D137">
    <cfRule type="colorScale" priority="85">
      <colorScale>
        <cfvo type="min"/>
        <cfvo type="max"/>
        <color rgb="FFFCFCFF"/>
        <color rgb="FF63BE7B"/>
      </colorScale>
    </cfRule>
    <cfRule type="duplicateValues" dxfId="800" priority="86"/>
  </conditionalFormatting>
  <conditionalFormatting sqref="D143">
    <cfRule type="colorScale" priority="79">
      <colorScale>
        <cfvo type="min"/>
        <cfvo type="max"/>
        <color rgb="FFFCFCFF"/>
        <color rgb="FF63BE7B"/>
      </colorScale>
    </cfRule>
    <cfRule type="duplicateValues" dxfId="799" priority="80"/>
  </conditionalFormatting>
  <conditionalFormatting sqref="D151:D153">
    <cfRule type="colorScale" priority="81">
      <colorScale>
        <cfvo type="min"/>
        <cfvo type="max"/>
        <color rgb="FFFCFCFF"/>
        <color rgb="FF63BE7B"/>
      </colorScale>
    </cfRule>
    <cfRule type="duplicateValues" dxfId="798" priority="82"/>
  </conditionalFormatting>
  <conditionalFormatting sqref="D154:D156 D174:D186 D158:D172">
    <cfRule type="colorScale" priority="75">
      <colorScale>
        <cfvo type="min"/>
        <cfvo type="max"/>
        <color rgb="FFFCFCFF"/>
        <color rgb="FF63BE7B"/>
      </colorScale>
    </cfRule>
    <cfRule type="duplicateValues" dxfId="797" priority="76"/>
  </conditionalFormatting>
  <conditionalFormatting sqref="D157">
    <cfRule type="colorScale" priority="71">
      <colorScale>
        <cfvo type="min"/>
        <cfvo type="max"/>
        <color rgb="FFFCFCFF"/>
        <color rgb="FF63BE7B"/>
      </colorScale>
    </cfRule>
    <cfRule type="duplicateValues" dxfId="796" priority="72"/>
  </conditionalFormatting>
  <conditionalFormatting sqref="D173">
    <cfRule type="colorScale" priority="77">
      <colorScale>
        <cfvo type="min"/>
        <cfvo type="max"/>
        <color rgb="FFFCFCFF"/>
        <color rgb="FF63BE7B"/>
      </colorScale>
    </cfRule>
    <cfRule type="duplicateValues" dxfId="795" priority="78"/>
  </conditionalFormatting>
  <conditionalFormatting sqref="D187:D189">
    <cfRule type="colorScale" priority="73">
      <colorScale>
        <cfvo type="min"/>
        <cfvo type="max"/>
        <color rgb="FFFCFCFF"/>
        <color rgb="FF63BE7B"/>
      </colorScale>
    </cfRule>
    <cfRule type="duplicateValues" dxfId="794" priority="74"/>
  </conditionalFormatting>
  <conditionalFormatting sqref="D190:D191 D210:D211 D193:D208 D213:D222">
    <cfRule type="colorScale" priority="67">
      <colorScale>
        <cfvo type="min"/>
        <cfvo type="max"/>
        <color rgb="FFFCFCFF"/>
        <color rgb="FF63BE7B"/>
      </colorScale>
    </cfRule>
    <cfRule type="duplicateValues" dxfId="793" priority="68"/>
  </conditionalFormatting>
  <conditionalFormatting sqref="D192">
    <cfRule type="colorScale" priority="63">
      <colorScale>
        <cfvo type="min"/>
        <cfvo type="max"/>
        <color rgb="FFFCFCFF"/>
        <color rgb="FF63BE7B"/>
      </colorScale>
    </cfRule>
    <cfRule type="duplicateValues" dxfId="792" priority="64"/>
  </conditionalFormatting>
  <conditionalFormatting sqref="D209">
    <cfRule type="colorScale" priority="69">
      <colorScale>
        <cfvo type="min"/>
        <cfvo type="max"/>
        <color rgb="FFFCFCFF"/>
        <color rgb="FF63BE7B"/>
      </colorScale>
    </cfRule>
    <cfRule type="duplicateValues" dxfId="791" priority="70"/>
  </conditionalFormatting>
  <conditionalFormatting sqref="D212">
    <cfRule type="colorScale" priority="61">
      <colorScale>
        <cfvo type="min"/>
        <cfvo type="max"/>
        <color rgb="FFFCFCFF"/>
        <color rgb="FF63BE7B"/>
      </colorScale>
    </cfRule>
    <cfRule type="duplicateValues" dxfId="790" priority="62"/>
  </conditionalFormatting>
  <conditionalFormatting sqref="D223:D225">
    <cfRule type="colorScale" priority="65">
      <colorScale>
        <cfvo type="min"/>
        <cfvo type="max"/>
        <color rgb="FFFCFCFF"/>
        <color rgb="FF63BE7B"/>
      </colorScale>
    </cfRule>
    <cfRule type="duplicateValues" dxfId="789" priority="66"/>
  </conditionalFormatting>
  <conditionalFormatting sqref="D227">
    <cfRule type="colorScale" priority="55">
      <colorScale>
        <cfvo type="min"/>
        <cfvo type="max"/>
        <color rgb="FFFCFCFF"/>
        <color rgb="FF63BE7B"/>
      </colorScale>
    </cfRule>
    <cfRule type="duplicateValues" dxfId="788" priority="56"/>
  </conditionalFormatting>
  <conditionalFormatting sqref="D228:D231 D226 D249:D253 D255:D258 D244 D233:D241">
    <cfRule type="colorScale" priority="53">
      <colorScale>
        <cfvo type="min"/>
        <cfvo type="max"/>
        <color rgb="FFFCFCFF"/>
        <color rgb="FF63BE7B"/>
      </colorScale>
    </cfRule>
    <cfRule type="duplicateValues" dxfId="787" priority="54"/>
  </conditionalFormatting>
  <conditionalFormatting sqref="D232">
    <cfRule type="colorScale" priority="39">
      <colorScale>
        <cfvo type="min"/>
        <cfvo type="max"/>
        <color rgb="FFFCFCFF"/>
        <color rgb="FF63BE7B"/>
      </colorScale>
    </cfRule>
    <cfRule type="duplicateValues" dxfId="786" priority="40"/>
  </conditionalFormatting>
  <conditionalFormatting sqref="D242">
    <cfRule type="colorScale" priority="45">
      <colorScale>
        <cfvo type="min"/>
        <cfvo type="max"/>
        <color rgb="FFFCFCFF"/>
        <color rgb="FF63BE7B"/>
      </colorScale>
    </cfRule>
    <cfRule type="duplicateValues" dxfId="785" priority="46"/>
  </conditionalFormatting>
  <conditionalFormatting sqref="D243">
    <cfRule type="colorScale" priority="41">
      <colorScale>
        <cfvo type="min"/>
        <cfvo type="max"/>
        <color rgb="FFFCFCFF"/>
        <color rgb="FF63BE7B"/>
      </colorScale>
    </cfRule>
    <cfRule type="duplicateValues" dxfId="784" priority="42"/>
  </conditionalFormatting>
  <conditionalFormatting sqref="D245">
    <cfRule type="colorScale" priority="59">
      <colorScale>
        <cfvo type="min"/>
        <cfvo type="max"/>
        <color rgb="FFFCFCFF"/>
        <color rgb="FF63BE7B"/>
      </colorScale>
    </cfRule>
    <cfRule type="duplicateValues" dxfId="783" priority="60"/>
  </conditionalFormatting>
  <conditionalFormatting sqref="D246">
    <cfRule type="colorScale" priority="37">
      <colorScale>
        <cfvo type="min"/>
        <cfvo type="max"/>
        <color rgb="FFFCFCFF"/>
        <color rgb="FF63BE7B"/>
      </colorScale>
    </cfRule>
    <cfRule type="duplicateValues" dxfId="782" priority="38"/>
  </conditionalFormatting>
  <conditionalFormatting sqref="D247">
    <cfRule type="colorScale" priority="43">
      <colorScale>
        <cfvo type="min"/>
        <cfvo type="max"/>
        <color rgb="FFFCFCFF"/>
        <color rgb="FF63BE7B"/>
      </colorScale>
    </cfRule>
    <cfRule type="duplicateValues" dxfId="781" priority="44"/>
  </conditionalFormatting>
  <conditionalFormatting sqref="D248">
    <cfRule type="colorScale" priority="51">
      <colorScale>
        <cfvo type="min"/>
        <cfvo type="max"/>
        <color rgb="FFFCFCFF"/>
        <color rgb="FF63BE7B"/>
      </colorScale>
    </cfRule>
    <cfRule type="duplicateValues" dxfId="780" priority="52"/>
  </conditionalFormatting>
  <conditionalFormatting sqref="D254">
    <cfRule type="colorScale" priority="47">
      <colorScale>
        <cfvo type="min"/>
        <cfvo type="max"/>
        <color rgb="FFFCFCFF"/>
        <color rgb="FF63BE7B"/>
      </colorScale>
    </cfRule>
    <cfRule type="duplicateValues" dxfId="779" priority="48"/>
  </conditionalFormatting>
  <conditionalFormatting sqref="D259">
    <cfRule type="colorScale" priority="49">
      <colorScale>
        <cfvo type="min"/>
        <cfvo type="max"/>
        <color rgb="FFFCFCFF"/>
        <color rgb="FF63BE7B"/>
      </colorScale>
    </cfRule>
    <cfRule type="duplicateValues" dxfId="778" priority="50"/>
  </conditionalFormatting>
  <conditionalFormatting sqref="D260:D261">
    <cfRule type="colorScale" priority="57">
      <colorScale>
        <cfvo type="min"/>
        <cfvo type="max"/>
        <color rgb="FFFCFCFF"/>
        <color rgb="FF63BE7B"/>
      </colorScale>
    </cfRule>
    <cfRule type="duplicateValues" dxfId="777" priority="58"/>
  </conditionalFormatting>
  <conditionalFormatting sqref="D262:D267 D287:D289 D282:D285 D291:D294 D269:D272 D274:D280">
    <cfRule type="colorScale" priority="29">
      <colorScale>
        <cfvo type="min"/>
        <cfvo type="max"/>
        <color rgb="FFFCFCFF"/>
        <color rgb="FF63BE7B"/>
      </colorScale>
    </cfRule>
    <cfRule type="duplicateValues" dxfId="776" priority="30"/>
  </conditionalFormatting>
  <conditionalFormatting sqref="D268">
    <cfRule type="colorScale" priority="23">
      <colorScale>
        <cfvo type="min"/>
        <cfvo type="max"/>
        <color rgb="FFFCFCFF"/>
        <color rgb="FF63BE7B"/>
      </colorScale>
    </cfRule>
    <cfRule type="duplicateValues" dxfId="775" priority="24"/>
  </conditionalFormatting>
  <conditionalFormatting sqref="D273">
    <cfRule type="colorScale" priority="21">
      <colorScale>
        <cfvo type="min"/>
        <cfvo type="max"/>
        <color rgb="FFFCFCFF"/>
        <color rgb="FF63BE7B"/>
      </colorScale>
    </cfRule>
    <cfRule type="duplicateValues" dxfId="774" priority="22"/>
  </conditionalFormatting>
  <conditionalFormatting sqref="D281">
    <cfRule type="colorScale" priority="35">
      <colorScale>
        <cfvo type="min"/>
        <cfvo type="max"/>
        <color rgb="FFFCFCFF"/>
        <color rgb="FF63BE7B"/>
      </colorScale>
    </cfRule>
    <cfRule type="duplicateValues" dxfId="773" priority="36"/>
  </conditionalFormatting>
  <conditionalFormatting sqref="D286">
    <cfRule type="colorScale" priority="31">
      <colorScale>
        <cfvo type="min"/>
        <cfvo type="max"/>
        <color rgb="FFFCFCFF"/>
        <color rgb="FF63BE7B"/>
      </colorScale>
    </cfRule>
    <cfRule type="duplicateValues" dxfId="772" priority="32"/>
  </conditionalFormatting>
  <conditionalFormatting sqref="D290">
    <cfRule type="colorScale" priority="25">
      <colorScale>
        <cfvo type="min"/>
        <cfvo type="max"/>
        <color rgb="FFFCFCFF"/>
        <color rgb="FF63BE7B"/>
      </colorScale>
    </cfRule>
    <cfRule type="duplicateValues" dxfId="771" priority="26"/>
  </conditionalFormatting>
  <conditionalFormatting sqref="D295">
    <cfRule type="colorScale" priority="27">
      <colorScale>
        <cfvo type="min"/>
        <cfvo type="max"/>
        <color rgb="FFFCFCFF"/>
        <color rgb="FF63BE7B"/>
      </colorScale>
    </cfRule>
    <cfRule type="duplicateValues" dxfId="770" priority="28"/>
  </conditionalFormatting>
  <conditionalFormatting sqref="D296:D297">
    <cfRule type="colorScale" priority="33">
      <colorScale>
        <cfvo type="min"/>
        <cfvo type="max"/>
        <color rgb="FFFCFCFF"/>
        <color rgb="FF63BE7B"/>
      </colorScale>
    </cfRule>
    <cfRule type="duplicateValues" dxfId="769" priority="34"/>
  </conditionalFormatting>
  <conditionalFormatting sqref="D298:D305 D318:D323 D307:D316 D325:D330">
    <cfRule type="colorScale" priority="17">
      <colorScale>
        <cfvo type="min"/>
        <cfvo type="max"/>
        <color rgb="FFFCFCFF"/>
        <color rgb="FF63BE7B"/>
      </colorScale>
    </cfRule>
    <cfRule type="duplicateValues" dxfId="768" priority="18"/>
  </conditionalFormatting>
  <conditionalFormatting sqref="D306">
    <cfRule type="colorScale" priority="13">
      <colorScale>
        <cfvo type="min"/>
        <cfvo type="max"/>
        <color rgb="FFFCFCFF"/>
        <color rgb="FF63BE7B"/>
      </colorScale>
    </cfRule>
    <cfRule type="duplicateValues" dxfId="767" priority="14"/>
  </conditionalFormatting>
  <conditionalFormatting sqref="D317">
    <cfRule type="colorScale" priority="19">
      <colorScale>
        <cfvo type="min"/>
        <cfvo type="max"/>
        <color rgb="FFFCFCFF"/>
        <color rgb="FF63BE7B"/>
      </colorScale>
    </cfRule>
    <cfRule type="duplicateValues" dxfId="766" priority="20"/>
  </conditionalFormatting>
  <conditionalFormatting sqref="D324">
    <cfRule type="colorScale" priority="11">
      <colorScale>
        <cfvo type="min"/>
        <cfvo type="max"/>
        <color rgb="FFFCFCFF"/>
        <color rgb="FF63BE7B"/>
      </colorScale>
    </cfRule>
    <cfRule type="duplicateValues" dxfId="765" priority="12"/>
  </conditionalFormatting>
  <conditionalFormatting sqref="D331:D333">
    <cfRule type="colorScale" priority="15">
      <colorScale>
        <cfvo type="min"/>
        <cfvo type="max"/>
        <color rgb="FFFCFCFF"/>
        <color rgb="FF63BE7B"/>
      </colorScale>
    </cfRule>
    <cfRule type="duplicateValues" dxfId="764" priority="16"/>
  </conditionalFormatting>
  <conditionalFormatting sqref="D334:D337 D354:D361 D339:D352 D363:D366">
    <cfRule type="colorScale" priority="7">
      <colorScale>
        <cfvo type="min"/>
        <cfvo type="max"/>
        <color rgb="FFFCFCFF"/>
        <color rgb="FF63BE7B"/>
      </colorScale>
    </cfRule>
    <cfRule type="duplicateValues" dxfId="763" priority="8"/>
  </conditionalFormatting>
  <conditionalFormatting sqref="D338">
    <cfRule type="colorScale" priority="3">
      <colorScale>
        <cfvo type="min"/>
        <cfvo type="max"/>
        <color rgb="FFFCFCFF"/>
        <color rgb="FF63BE7B"/>
      </colorScale>
    </cfRule>
    <cfRule type="duplicateValues" dxfId="762" priority="4"/>
  </conditionalFormatting>
  <conditionalFormatting sqref="D353">
    <cfRule type="colorScale" priority="9">
      <colorScale>
        <cfvo type="min"/>
        <cfvo type="max"/>
        <color rgb="FFFCFCFF"/>
        <color rgb="FF63BE7B"/>
      </colorScale>
    </cfRule>
    <cfRule type="duplicateValues" dxfId="761" priority="10"/>
  </conditionalFormatting>
  <conditionalFormatting sqref="D362">
    <cfRule type="colorScale" priority="1">
      <colorScale>
        <cfvo type="min"/>
        <cfvo type="max"/>
        <color rgb="FFFCFCFF"/>
        <color rgb="FF63BE7B"/>
      </colorScale>
    </cfRule>
    <cfRule type="duplicateValues" dxfId="760" priority="2"/>
  </conditionalFormatting>
  <conditionalFormatting sqref="D367:D368">
    <cfRule type="colorScale" priority="5">
      <colorScale>
        <cfvo type="min"/>
        <cfvo type="max"/>
        <color rgb="FFFCFCFF"/>
        <color rgb="FF63BE7B"/>
      </colorScale>
    </cfRule>
    <cfRule type="duplicateValues" dxfId="759" priority="6"/>
  </conditionalFormatting>
  <pageMargins left="0.23622047244094491" right="0.15748031496062992" top="0.45" bottom="0.64" header="0.31496062992125984" footer="0.31496062992125984"/>
  <pageSetup paperSize="9" scale="85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68"/>
  <sheetViews>
    <sheetView workbookViewId="0">
      <selection activeCell="B92" sqref="B92:E92"/>
    </sheetView>
  </sheetViews>
  <sheetFormatPr defaultColWidth="3.28515625" defaultRowHeight="15" x14ac:dyDescent="0.25"/>
  <cols>
    <col min="1" max="1" width="4.5703125" bestFit="1" customWidth="1"/>
    <col min="2" max="2" width="13" customWidth="1"/>
    <col min="3" max="3" width="11" bestFit="1" customWidth="1"/>
    <col min="4" max="4" width="34.28515625" customWidth="1"/>
    <col min="5" max="5" width="3.7109375" bestFit="1" customWidth="1"/>
    <col min="6" max="6" width="2" bestFit="1" customWidth="1"/>
    <col min="7" max="29" width="2.7109375" customWidth="1"/>
    <col min="31" max="31" width="9.42578125" hidden="1" customWidth="1"/>
    <col min="32" max="33" width="0" hidden="1" customWidth="1"/>
    <col min="34" max="34" width="11" hidden="1" customWidth="1"/>
    <col min="35" max="35" width="9" hidden="1" customWidth="1"/>
    <col min="36" max="49" width="0" hidden="1" customWidth="1"/>
  </cols>
  <sheetData>
    <row r="1" spans="1:36" x14ac:dyDescent="0.25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E1" s="15" t="s">
        <v>726</v>
      </c>
      <c r="AF1" t="s">
        <v>604</v>
      </c>
      <c r="AG1">
        <v>20527197</v>
      </c>
      <c r="AH1" t="s">
        <v>605</v>
      </c>
      <c r="AI1" t="s">
        <v>8</v>
      </c>
    </row>
    <row r="2" spans="1:36" ht="21.75" customHeight="1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E2" s="15" t="s">
        <v>726</v>
      </c>
      <c r="AF2" t="s">
        <v>570</v>
      </c>
      <c r="AG2">
        <v>20583363</v>
      </c>
      <c r="AH2" t="s">
        <v>571</v>
      </c>
      <c r="AI2" t="s">
        <v>7</v>
      </c>
    </row>
    <row r="3" spans="1:36" ht="20.25" customHeight="1" x14ac:dyDescent="0.25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E3" s="15" t="s">
        <v>726</v>
      </c>
      <c r="AF3" t="s">
        <v>465</v>
      </c>
      <c r="AG3">
        <v>20527197</v>
      </c>
      <c r="AH3" t="s">
        <v>466</v>
      </c>
      <c r="AI3" t="s">
        <v>8</v>
      </c>
    </row>
    <row r="4" spans="1:36" ht="21" x14ac:dyDescent="0.35">
      <c r="A4" s="55" t="s">
        <v>761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E4" s="18" t="s">
        <v>371</v>
      </c>
      <c r="AF4" t="s">
        <v>276</v>
      </c>
      <c r="AG4">
        <v>20527180</v>
      </c>
      <c r="AH4" t="s">
        <v>277</v>
      </c>
      <c r="AI4" t="s">
        <v>8</v>
      </c>
    </row>
    <row r="5" spans="1:36" x14ac:dyDescent="0.25">
      <c r="A5" s="1"/>
      <c r="B5" s="1"/>
      <c r="C5" s="2"/>
      <c r="P5" s="11"/>
      <c r="AE5" s="15" t="s">
        <v>726</v>
      </c>
      <c r="AF5" t="s">
        <v>697</v>
      </c>
      <c r="AG5">
        <v>20527202</v>
      </c>
      <c r="AH5" t="s">
        <v>698</v>
      </c>
      <c r="AI5" t="s">
        <v>8</v>
      </c>
    </row>
    <row r="6" spans="1:36" ht="3.75" customHeight="1" x14ac:dyDescent="0.25">
      <c r="A6" s="1"/>
      <c r="B6" s="1"/>
      <c r="C6" s="2"/>
      <c r="AE6" s="15" t="s">
        <v>726</v>
      </c>
      <c r="AF6" t="s">
        <v>527</v>
      </c>
      <c r="AG6">
        <v>20527180</v>
      </c>
      <c r="AH6" t="s">
        <v>528</v>
      </c>
      <c r="AI6" t="s">
        <v>7</v>
      </c>
    </row>
    <row r="7" spans="1:36" x14ac:dyDescent="0.25">
      <c r="A7" s="56" t="s">
        <v>0</v>
      </c>
      <c r="B7" s="57" t="s">
        <v>803</v>
      </c>
      <c r="C7" s="57" t="s">
        <v>1</v>
      </c>
      <c r="D7" s="56" t="s">
        <v>2</v>
      </c>
      <c r="E7" s="58" t="s">
        <v>3</v>
      </c>
      <c r="F7" s="59" t="s">
        <v>4</v>
      </c>
      <c r="G7" s="60"/>
      <c r="H7" s="61"/>
      <c r="I7" s="62" t="s">
        <v>774</v>
      </c>
      <c r="J7" s="63"/>
      <c r="K7" s="63"/>
      <c r="L7" s="63"/>
      <c r="M7" s="63"/>
      <c r="N7" s="63"/>
      <c r="O7" s="63"/>
      <c r="P7" s="63"/>
      <c r="Q7" s="63"/>
      <c r="R7" s="63"/>
      <c r="S7" s="64"/>
      <c r="T7" s="65" t="s">
        <v>5</v>
      </c>
      <c r="U7" s="65"/>
      <c r="V7" s="66" t="s">
        <v>775</v>
      </c>
      <c r="W7" s="67"/>
      <c r="X7" s="67"/>
      <c r="Y7" s="67"/>
      <c r="Z7" s="67"/>
      <c r="AA7" s="67"/>
      <c r="AB7" s="67"/>
      <c r="AC7" s="67"/>
      <c r="AE7" s="18" t="s">
        <v>371</v>
      </c>
      <c r="AF7" t="s">
        <v>236</v>
      </c>
      <c r="AG7">
        <v>20527197</v>
      </c>
      <c r="AH7" t="s">
        <v>237</v>
      </c>
      <c r="AI7" t="s">
        <v>8</v>
      </c>
    </row>
    <row r="8" spans="1:36" x14ac:dyDescent="0.25">
      <c r="A8" s="56"/>
      <c r="B8" s="57"/>
      <c r="C8" s="57"/>
      <c r="D8" s="56"/>
      <c r="E8" s="58"/>
      <c r="F8" s="68" t="s">
        <v>6</v>
      </c>
      <c r="G8" s="68"/>
      <c r="H8" s="68"/>
      <c r="I8" s="68"/>
      <c r="J8" s="68"/>
      <c r="K8" s="68"/>
      <c r="L8" s="68"/>
      <c r="M8" s="68"/>
      <c r="N8" s="68" t="s">
        <v>6</v>
      </c>
      <c r="O8" s="68"/>
      <c r="P8" s="68"/>
      <c r="Q8" s="68"/>
      <c r="R8" s="68"/>
      <c r="S8" s="68"/>
      <c r="T8" s="68"/>
      <c r="U8" s="68"/>
      <c r="V8" s="68" t="s">
        <v>6</v>
      </c>
      <c r="W8" s="68"/>
      <c r="X8" s="68"/>
      <c r="Y8" s="68"/>
      <c r="Z8" s="68"/>
      <c r="AA8" s="68"/>
      <c r="AB8" s="68"/>
      <c r="AC8" s="68"/>
      <c r="AE8" s="13" t="s">
        <v>50</v>
      </c>
      <c r="AF8" t="s">
        <v>42</v>
      </c>
      <c r="AG8">
        <v>20566545</v>
      </c>
      <c r="AH8" t="s">
        <v>43</v>
      </c>
      <c r="AI8" t="s">
        <v>7</v>
      </c>
    </row>
    <row r="9" spans="1:36" x14ac:dyDescent="0.25">
      <c r="A9" s="56"/>
      <c r="B9" s="57"/>
      <c r="C9" s="57"/>
      <c r="D9" s="56"/>
      <c r="E9" s="58"/>
      <c r="F9" s="3">
        <v>1</v>
      </c>
      <c r="G9" s="3">
        <v>2</v>
      </c>
      <c r="H9" s="3">
        <v>3</v>
      </c>
      <c r="I9" s="3">
        <v>4</v>
      </c>
      <c r="J9" s="3">
        <v>5</v>
      </c>
      <c r="K9" s="3">
        <v>6</v>
      </c>
      <c r="L9" s="3">
        <v>7</v>
      </c>
      <c r="M9" s="3">
        <v>8</v>
      </c>
      <c r="N9" s="3">
        <v>1</v>
      </c>
      <c r="O9" s="3">
        <v>2</v>
      </c>
      <c r="P9" s="3">
        <v>3</v>
      </c>
      <c r="Q9" s="3">
        <v>4</v>
      </c>
      <c r="R9" s="3">
        <v>5</v>
      </c>
      <c r="S9" s="3">
        <v>6</v>
      </c>
      <c r="T9" s="3">
        <v>7</v>
      </c>
      <c r="U9" s="3">
        <v>8</v>
      </c>
      <c r="V9" s="3">
        <v>1</v>
      </c>
      <c r="W9" s="3">
        <v>2</v>
      </c>
      <c r="X9" s="3">
        <v>3</v>
      </c>
      <c r="Y9" s="3">
        <v>4</v>
      </c>
      <c r="Z9" s="3">
        <v>5</v>
      </c>
      <c r="AA9" s="3">
        <v>6</v>
      </c>
      <c r="AB9" s="3">
        <v>7</v>
      </c>
      <c r="AC9" s="3">
        <v>8</v>
      </c>
      <c r="AE9" s="18" t="s">
        <v>371</v>
      </c>
      <c r="AF9" t="s">
        <v>361</v>
      </c>
      <c r="AG9">
        <v>20527193</v>
      </c>
      <c r="AH9" t="s">
        <v>362</v>
      </c>
      <c r="AI9" t="s">
        <v>8</v>
      </c>
    </row>
    <row r="10" spans="1:36" ht="20.100000000000001" customHeight="1" x14ac:dyDescent="0.25">
      <c r="A10" s="4">
        <v>1</v>
      </c>
      <c r="B10" s="4">
        <v>14589</v>
      </c>
      <c r="C10" s="5" t="s">
        <v>702</v>
      </c>
      <c r="D10" s="6" t="s">
        <v>703</v>
      </c>
      <c r="E10" s="7" t="s">
        <v>8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t="s">
        <v>796</v>
      </c>
      <c r="AE10" s="18" t="s">
        <v>371</v>
      </c>
      <c r="AF10" t="s">
        <v>272</v>
      </c>
      <c r="AG10">
        <v>20527180</v>
      </c>
      <c r="AH10" t="s">
        <v>273</v>
      </c>
      <c r="AI10" t="s">
        <v>7</v>
      </c>
      <c r="AJ10" t="str">
        <f>UPPER(D10)</f>
        <v>ABD HAMID MANAF</v>
      </c>
    </row>
    <row r="11" spans="1:36" ht="20.100000000000001" customHeight="1" x14ac:dyDescent="0.25">
      <c r="A11" s="4">
        <v>2</v>
      </c>
      <c r="B11" s="4">
        <v>14590</v>
      </c>
      <c r="C11" s="5" t="s">
        <v>685</v>
      </c>
      <c r="D11" s="6" t="s">
        <v>686</v>
      </c>
      <c r="E11" s="7" t="s">
        <v>8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t="s">
        <v>796</v>
      </c>
      <c r="AE11" s="14" t="s">
        <v>141</v>
      </c>
      <c r="AF11" t="s">
        <v>127</v>
      </c>
      <c r="AG11">
        <v>20528609</v>
      </c>
      <c r="AH11" t="s">
        <v>128</v>
      </c>
      <c r="AI11" t="s">
        <v>8</v>
      </c>
      <c r="AJ11" t="str">
        <f t="shared" ref="AJ11:AJ45" si="0">UPPER(D11)</f>
        <v>ABDURRAHMAN</v>
      </c>
    </row>
    <row r="12" spans="1:36" ht="20.100000000000001" customHeight="1" x14ac:dyDescent="0.25">
      <c r="A12" s="4">
        <v>3</v>
      </c>
      <c r="B12" s="4">
        <v>14591</v>
      </c>
      <c r="C12" s="5" t="s">
        <v>547</v>
      </c>
      <c r="D12" s="6" t="s">
        <v>548</v>
      </c>
      <c r="E12" s="7" t="s">
        <v>8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t="s">
        <v>793</v>
      </c>
      <c r="AE12" s="14" t="s">
        <v>141</v>
      </c>
      <c r="AF12" t="s">
        <v>81</v>
      </c>
      <c r="AG12">
        <v>20583410</v>
      </c>
      <c r="AH12" t="s">
        <v>82</v>
      </c>
      <c r="AI12" t="s">
        <v>8</v>
      </c>
      <c r="AJ12" t="str">
        <f t="shared" si="0"/>
        <v>ACH IMAM MURTADHO</v>
      </c>
    </row>
    <row r="13" spans="1:36" ht="20.100000000000001" customHeight="1" x14ac:dyDescent="0.25">
      <c r="A13" s="4">
        <v>4</v>
      </c>
      <c r="B13" s="4">
        <v>14592</v>
      </c>
      <c r="C13" s="9" t="s">
        <v>487</v>
      </c>
      <c r="D13" s="6" t="s">
        <v>488</v>
      </c>
      <c r="E13" s="7" t="s">
        <v>8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t="s">
        <v>796</v>
      </c>
      <c r="AE13" s="13" t="s">
        <v>50</v>
      </c>
      <c r="AF13" t="s">
        <v>14</v>
      </c>
      <c r="AG13">
        <v>20527185</v>
      </c>
      <c r="AH13" t="s">
        <v>15</v>
      </c>
      <c r="AI13" t="s">
        <v>8</v>
      </c>
      <c r="AJ13" t="str">
        <f t="shared" si="0"/>
        <v>ACH NURUL HIDAYAT</v>
      </c>
    </row>
    <row r="14" spans="1:36" ht="20.100000000000001" customHeight="1" x14ac:dyDescent="0.25">
      <c r="A14" s="4">
        <v>5</v>
      </c>
      <c r="B14" s="4">
        <v>14593</v>
      </c>
      <c r="C14" s="5" t="s">
        <v>388</v>
      </c>
      <c r="D14" s="6" t="s">
        <v>389</v>
      </c>
      <c r="E14" s="7" t="s">
        <v>8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t="s">
        <v>800</v>
      </c>
      <c r="AE14" s="15" t="s">
        <v>726</v>
      </c>
      <c r="AF14" t="s">
        <v>622</v>
      </c>
      <c r="AG14">
        <v>20527197</v>
      </c>
      <c r="AH14" t="s">
        <v>623</v>
      </c>
      <c r="AI14" t="s">
        <v>7</v>
      </c>
      <c r="AJ14" t="str">
        <f t="shared" si="0"/>
        <v>ACH RIZKY RAMADHANA R</v>
      </c>
    </row>
    <row r="15" spans="1:36" ht="20.100000000000001" customHeight="1" x14ac:dyDescent="0.25">
      <c r="A15" s="4">
        <v>6</v>
      </c>
      <c r="B15" s="4">
        <v>14594</v>
      </c>
      <c r="C15" s="5" t="s">
        <v>394</v>
      </c>
      <c r="D15" s="6" t="s">
        <v>395</v>
      </c>
      <c r="E15" s="7" t="s">
        <v>8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t="s">
        <v>801</v>
      </c>
      <c r="AE15" s="18" t="s">
        <v>371</v>
      </c>
      <c r="AF15" t="s">
        <v>240</v>
      </c>
      <c r="AG15">
        <v>20527197</v>
      </c>
      <c r="AH15" t="s">
        <v>241</v>
      </c>
      <c r="AI15" t="s">
        <v>7</v>
      </c>
      <c r="AJ15" t="str">
        <f t="shared" si="0"/>
        <v>ACHMAD AFIM INTI ISTIQAM</v>
      </c>
    </row>
    <row r="16" spans="1:36" ht="20.100000000000001" customHeight="1" x14ac:dyDescent="0.25">
      <c r="A16" s="4">
        <v>7</v>
      </c>
      <c r="B16" s="4">
        <v>14595</v>
      </c>
      <c r="C16" s="5" t="s">
        <v>602</v>
      </c>
      <c r="D16" s="6" t="s">
        <v>603</v>
      </c>
      <c r="E16" s="7" t="s">
        <v>8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t="s">
        <v>802</v>
      </c>
      <c r="AE16" s="18" t="s">
        <v>371</v>
      </c>
      <c r="AF16" t="s">
        <v>323</v>
      </c>
      <c r="AG16">
        <v>20528625</v>
      </c>
      <c r="AH16" t="s">
        <v>324</v>
      </c>
      <c r="AI16" t="s">
        <v>8</v>
      </c>
      <c r="AJ16" t="str">
        <f t="shared" si="0"/>
        <v>ACHMAD RAFI AKBAR</v>
      </c>
    </row>
    <row r="17" spans="1:36" ht="20.100000000000001" customHeight="1" x14ac:dyDescent="0.25">
      <c r="A17" s="4">
        <v>8</v>
      </c>
      <c r="B17" s="4">
        <v>14596</v>
      </c>
      <c r="C17" s="5" t="s">
        <v>604</v>
      </c>
      <c r="D17" s="6" t="s">
        <v>605</v>
      </c>
      <c r="E17" s="7" t="s">
        <v>8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t="s">
        <v>798</v>
      </c>
      <c r="AE17" s="15" t="s">
        <v>726</v>
      </c>
      <c r="AF17" t="s">
        <v>505</v>
      </c>
      <c r="AG17">
        <v>20527180</v>
      </c>
      <c r="AH17" t="s">
        <v>506</v>
      </c>
      <c r="AI17" t="s">
        <v>8</v>
      </c>
      <c r="AJ17" t="str">
        <f t="shared" si="0"/>
        <v>ACHMAD RIZQON JANUAR</v>
      </c>
    </row>
    <row r="18" spans="1:36" ht="20.100000000000001" customHeight="1" x14ac:dyDescent="0.25">
      <c r="A18" s="4">
        <v>9</v>
      </c>
      <c r="B18" s="4">
        <v>14597</v>
      </c>
      <c r="C18" s="5" t="s">
        <v>119</v>
      </c>
      <c r="D18" s="6" t="s">
        <v>120</v>
      </c>
      <c r="E18" s="7" t="s">
        <v>7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t="s">
        <v>801</v>
      </c>
      <c r="AE18" s="15" t="s">
        <v>726</v>
      </c>
      <c r="AF18" t="s">
        <v>434</v>
      </c>
      <c r="AG18">
        <v>20527197</v>
      </c>
      <c r="AH18" t="s">
        <v>435</v>
      </c>
      <c r="AI18" t="s">
        <v>8</v>
      </c>
      <c r="AJ18" t="str">
        <f t="shared" si="0"/>
        <v>ADELIA ZAHRA WIEGUNANDA</v>
      </c>
    </row>
    <row r="19" spans="1:36" ht="20.100000000000001" customHeight="1" x14ac:dyDescent="0.25">
      <c r="A19" s="4">
        <v>10</v>
      </c>
      <c r="B19" s="4">
        <v>14598</v>
      </c>
      <c r="C19" s="9" t="s">
        <v>519</v>
      </c>
      <c r="D19" s="6" t="s">
        <v>520</v>
      </c>
      <c r="E19" s="7" t="s">
        <v>7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t="s">
        <v>801</v>
      </c>
      <c r="AE19" s="15" t="s">
        <v>726</v>
      </c>
      <c r="AF19" t="s">
        <v>580</v>
      </c>
      <c r="AG19">
        <v>20527197</v>
      </c>
      <c r="AH19" t="s">
        <v>581</v>
      </c>
      <c r="AI19" t="s">
        <v>8</v>
      </c>
      <c r="AJ19" t="str">
        <f t="shared" si="0"/>
        <v>ADILA RASYADAH RAHMAN</v>
      </c>
    </row>
    <row r="20" spans="1:36" ht="20.100000000000001" customHeight="1" x14ac:dyDescent="0.25">
      <c r="A20" s="4">
        <v>11</v>
      </c>
      <c r="B20" s="4">
        <v>14599</v>
      </c>
      <c r="C20" s="5" t="s">
        <v>374</v>
      </c>
      <c r="D20" s="6" t="s">
        <v>375</v>
      </c>
      <c r="E20" s="7" t="s">
        <v>7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t="s">
        <v>801</v>
      </c>
      <c r="AE20" s="15" t="s">
        <v>726</v>
      </c>
      <c r="AF20" t="s">
        <v>651</v>
      </c>
      <c r="AG20">
        <v>20527197</v>
      </c>
      <c r="AH20" t="s">
        <v>652</v>
      </c>
      <c r="AI20" t="s">
        <v>8</v>
      </c>
      <c r="AJ20" t="str">
        <f t="shared" si="0"/>
        <v>ADINDA AYU RISTIANTI</v>
      </c>
    </row>
    <row r="21" spans="1:36" ht="20.100000000000001" customHeight="1" x14ac:dyDescent="0.25">
      <c r="A21" s="4">
        <v>12</v>
      </c>
      <c r="B21" s="4">
        <v>14600</v>
      </c>
      <c r="C21" s="5" t="s">
        <v>414</v>
      </c>
      <c r="D21" s="6" t="s">
        <v>415</v>
      </c>
      <c r="E21" s="7" t="s">
        <v>7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t="s">
        <v>800</v>
      </c>
      <c r="AE21" s="15" t="s">
        <v>726</v>
      </c>
      <c r="AF21" t="s">
        <v>398</v>
      </c>
      <c r="AG21">
        <v>69816340</v>
      </c>
      <c r="AH21" t="s">
        <v>399</v>
      </c>
      <c r="AI21" t="s">
        <v>8</v>
      </c>
      <c r="AJ21" t="str">
        <f t="shared" si="0"/>
        <v>ADINDA ZIFANNA OKTAFIA</v>
      </c>
    </row>
    <row r="22" spans="1:36" ht="20.100000000000001" customHeight="1" x14ac:dyDescent="0.25">
      <c r="A22" s="4">
        <v>13</v>
      </c>
      <c r="B22" s="4">
        <v>14601</v>
      </c>
      <c r="C22" s="5" t="s">
        <v>570</v>
      </c>
      <c r="D22" s="6" t="s">
        <v>727</v>
      </c>
      <c r="E22" s="7" t="s">
        <v>7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t="s">
        <v>793</v>
      </c>
      <c r="AE22" s="15" t="s">
        <v>726</v>
      </c>
      <c r="AF22" t="s">
        <v>386</v>
      </c>
      <c r="AG22">
        <v>20527197</v>
      </c>
      <c r="AH22" t="s">
        <v>387</v>
      </c>
      <c r="AI22" t="s">
        <v>7</v>
      </c>
      <c r="AJ22" t="str">
        <f t="shared" si="0"/>
        <v>ADINTYA DJASMINE AULIA</v>
      </c>
    </row>
    <row r="23" spans="1:36" ht="20.100000000000001" customHeight="1" x14ac:dyDescent="0.25">
      <c r="A23" s="4">
        <v>14</v>
      </c>
      <c r="B23" s="4">
        <v>14602</v>
      </c>
      <c r="C23" s="9" t="s">
        <v>693</v>
      </c>
      <c r="D23" s="6" t="s">
        <v>694</v>
      </c>
      <c r="E23" s="7" t="s">
        <v>8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t="s">
        <v>793</v>
      </c>
      <c r="AE23" s="17" t="s">
        <v>197</v>
      </c>
      <c r="AF23" t="s">
        <v>174</v>
      </c>
      <c r="AG23">
        <v>69991338</v>
      </c>
      <c r="AH23" t="s">
        <v>175</v>
      </c>
      <c r="AI23" t="s">
        <v>8</v>
      </c>
      <c r="AJ23" t="str">
        <f t="shared" si="0"/>
        <v>ADLI MOURA ADYTIA RAUF</v>
      </c>
    </row>
    <row r="24" spans="1:36" ht="20.100000000000001" customHeight="1" x14ac:dyDescent="0.25">
      <c r="A24" s="4">
        <v>15</v>
      </c>
      <c r="B24" s="4">
        <v>14603</v>
      </c>
      <c r="C24" s="5" t="s">
        <v>117</v>
      </c>
      <c r="D24" s="6" t="s">
        <v>118</v>
      </c>
      <c r="E24" s="7" t="s">
        <v>8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t="s">
        <v>793</v>
      </c>
      <c r="AE24" s="16" t="s">
        <v>80</v>
      </c>
      <c r="AF24" t="s">
        <v>74</v>
      </c>
      <c r="AG24">
        <v>20364507</v>
      </c>
      <c r="AH24" t="s">
        <v>75</v>
      </c>
      <c r="AI24" t="s">
        <v>7</v>
      </c>
      <c r="AJ24" t="str">
        <f t="shared" si="0"/>
        <v>ADLI YUSUF ALIFDI</v>
      </c>
    </row>
    <row r="25" spans="1:36" ht="20.100000000000001" customHeight="1" x14ac:dyDescent="0.25">
      <c r="A25" s="4">
        <v>16</v>
      </c>
      <c r="B25" s="4">
        <v>14604</v>
      </c>
      <c r="C25" s="5" t="s">
        <v>202</v>
      </c>
      <c r="D25" s="6" t="s">
        <v>203</v>
      </c>
      <c r="E25" s="7" t="s">
        <v>8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t="s">
        <v>798</v>
      </c>
      <c r="AE25" s="15" t="s">
        <v>726</v>
      </c>
      <c r="AF25" t="s">
        <v>543</v>
      </c>
      <c r="AG25">
        <v>20527180</v>
      </c>
      <c r="AH25" t="s">
        <v>544</v>
      </c>
      <c r="AI25" t="s">
        <v>8</v>
      </c>
      <c r="AJ25" t="str">
        <f t="shared" si="0"/>
        <v>ADLYANSYAH BUDIMAN</v>
      </c>
    </row>
    <row r="26" spans="1:36" ht="20.100000000000001" customHeight="1" x14ac:dyDescent="0.25">
      <c r="A26" s="4">
        <v>17</v>
      </c>
      <c r="B26" s="4">
        <v>14605</v>
      </c>
      <c r="C26" s="5" t="s">
        <v>649</v>
      </c>
      <c r="D26" s="6" t="s">
        <v>650</v>
      </c>
      <c r="E26" s="7" t="s">
        <v>8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t="s">
        <v>797</v>
      </c>
      <c r="AE26" s="15" t="s">
        <v>726</v>
      </c>
      <c r="AF26" t="s">
        <v>655</v>
      </c>
      <c r="AG26">
        <v>20527193</v>
      </c>
      <c r="AH26" t="s">
        <v>656</v>
      </c>
      <c r="AI26" t="s">
        <v>7</v>
      </c>
      <c r="AJ26" t="str">
        <f t="shared" si="0"/>
        <v>AGUNG AULIA AKBAR</v>
      </c>
    </row>
    <row r="27" spans="1:36" ht="20.100000000000001" customHeight="1" x14ac:dyDescent="0.25">
      <c r="A27" s="4">
        <v>18</v>
      </c>
      <c r="B27" s="4">
        <v>14606</v>
      </c>
      <c r="C27" s="9" t="s">
        <v>769</v>
      </c>
      <c r="D27" s="6" t="s">
        <v>640</v>
      </c>
      <c r="E27" s="7" t="s">
        <v>8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t="s">
        <v>800</v>
      </c>
      <c r="AE27" s="13" t="s">
        <v>50</v>
      </c>
      <c r="AF27" t="s">
        <v>18</v>
      </c>
      <c r="AG27">
        <v>20527202</v>
      </c>
      <c r="AH27" t="s">
        <v>19</v>
      </c>
      <c r="AI27" t="s">
        <v>7</v>
      </c>
      <c r="AJ27" t="str">
        <f t="shared" si="0"/>
        <v>AGUSDHANI WAFRI</v>
      </c>
    </row>
    <row r="28" spans="1:36" ht="20.100000000000001" customHeight="1" x14ac:dyDescent="0.25">
      <c r="A28" s="4">
        <v>19</v>
      </c>
      <c r="B28" s="4">
        <v>14607</v>
      </c>
      <c r="C28" s="5" t="s">
        <v>285</v>
      </c>
      <c r="D28" s="6" t="s">
        <v>733</v>
      </c>
      <c r="E28" s="7" t="s">
        <v>8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t="s">
        <v>797</v>
      </c>
      <c r="AE28" s="18" t="s">
        <v>371</v>
      </c>
      <c r="AF28">
        <v>3081834782</v>
      </c>
      <c r="AG28">
        <v>20528625</v>
      </c>
      <c r="AH28" t="s">
        <v>346</v>
      </c>
      <c r="AI28" t="s">
        <v>7</v>
      </c>
      <c r="AJ28" t="str">
        <f t="shared" si="0"/>
        <v>AHMAD FAIZ RAHMATILLAH</v>
      </c>
    </row>
    <row r="29" spans="1:36" ht="20.100000000000001" customHeight="1" x14ac:dyDescent="0.25">
      <c r="A29" s="4">
        <v>20</v>
      </c>
      <c r="B29" s="4">
        <v>14608</v>
      </c>
      <c r="C29" s="5" t="s">
        <v>22</v>
      </c>
      <c r="D29" s="6" t="s">
        <v>23</v>
      </c>
      <c r="E29" s="7" t="s">
        <v>8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t="s">
        <v>802</v>
      </c>
      <c r="AE29" s="15" t="s">
        <v>726</v>
      </c>
      <c r="AF29" t="s">
        <v>481</v>
      </c>
      <c r="AG29">
        <v>20527180</v>
      </c>
      <c r="AH29" t="s">
        <v>482</v>
      </c>
      <c r="AI29" t="s">
        <v>7</v>
      </c>
      <c r="AJ29" t="str">
        <f t="shared" si="0"/>
        <v>AHMAD FARHAN HAKIKI</v>
      </c>
    </row>
    <row r="30" spans="1:36" ht="20.100000000000001" customHeight="1" x14ac:dyDescent="0.25">
      <c r="A30" s="4">
        <v>21</v>
      </c>
      <c r="B30" s="4">
        <v>14609</v>
      </c>
      <c r="C30" s="9" t="s">
        <v>281</v>
      </c>
      <c r="D30" s="6" t="s">
        <v>282</v>
      </c>
      <c r="E30" s="7" t="s">
        <v>7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t="s">
        <v>797</v>
      </c>
      <c r="AE30" s="17" t="s">
        <v>197</v>
      </c>
      <c r="AF30" t="s">
        <v>155</v>
      </c>
      <c r="AG30">
        <v>20527193</v>
      </c>
      <c r="AH30" t="s">
        <v>156</v>
      </c>
      <c r="AI30" t="s">
        <v>7</v>
      </c>
      <c r="AJ30" t="str">
        <f t="shared" si="0"/>
        <v>AISYAH ANA HARIYANTO</v>
      </c>
    </row>
    <row r="31" spans="1:36" ht="20.100000000000001" customHeight="1" x14ac:dyDescent="0.25">
      <c r="A31" s="4">
        <v>22</v>
      </c>
      <c r="B31" s="4">
        <v>14610</v>
      </c>
      <c r="C31" s="9" t="s">
        <v>283</v>
      </c>
      <c r="D31" s="6" t="s">
        <v>284</v>
      </c>
      <c r="E31" s="7" t="s">
        <v>7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t="s">
        <v>802</v>
      </c>
      <c r="AE31" s="14" t="s">
        <v>141</v>
      </c>
      <c r="AF31" t="s">
        <v>113</v>
      </c>
      <c r="AG31">
        <v>20527180</v>
      </c>
      <c r="AH31" t="s">
        <v>114</v>
      </c>
      <c r="AI31" t="s">
        <v>7</v>
      </c>
      <c r="AJ31" t="str">
        <f t="shared" si="0"/>
        <v>AISYAH ANI HARIYANTO</v>
      </c>
    </row>
    <row r="32" spans="1:36" ht="20.100000000000001" customHeight="1" x14ac:dyDescent="0.25">
      <c r="A32" s="4">
        <v>23</v>
      </c>
      <c r="B32" s="4">
        <v>14611</v>
      </c>
      <c r="C32" s="5" t="s">
        <v>561</v>
      </c>
      <c r="D32" s="6" t="s">
        <v>562</v>
      </c>
      <c r="E32" s="7" t="s">
        <v>7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t="s">
        <v>796</v>
      </c>
      <c r="AE32" s="15" t="s">
        <v>726</v>
      </c>
      <c r="AF32" t="s">
        <v>432</v>
      </c>
      <c r="AG32">
        <v>20527197</v>
      </c>
      <c r="AH32" t="s">
        <v>433</v>
      </c>
      <c r="AI32" t="s">
        <v>7</v>
      </c>
      <c r="AJ32" t="str">
        <f t="shared" si="0"/>
        <v>AISYAH AZZAHRA</v>
      </c>
    </row>
    <row r="33" spans="1:36" ht="20.100000000000001" customHeight="1" x14ac:dyDescent="0.25">
      <c r="A33" s="4">
        <v>24</v>
      </c>
      <c r="B33" s="4">
        <v>14612</v>
      </c>
      <c r="C33" s="5" t="s">
        <v>624</v>
      </c>
      <c r="D33" s="6" t="s">
        <v>625</v>
      </c>
      <c r="E33" s="7" t="s">
        <v>7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t="s">
        <v>801</v>
      </c>
      <c r="AE33" s="18" t="s">
        <v>371</v>
      </c>
      <c r="AF33" t="s">
        <v>200</v>
      </c>
      <c r="AG33">
        <v>20583367</v>
      </c>
      <c r="AH33" t="s">
        <v>201</v>
      </c>
      <c r="AI33" t="s">
        <v>7</v>
      </c>
      <c r="AJ33" t="str">
        <f t="shared" si="0"/>
        <v>AIZZA RAHMATIN NUR NADIN</v>
      </c>
    </row>
    <row r="34" spans="1:36" ht="20.100000000000001" customHeight="1" x14ac:dyDescent="0.25">
      <c r="A34" s="4">
        <v>25</v>
      </c>
      <c r="B34" s="4">
        <v>14613</v>
      </c>
      <c r="C34" s="5" t="s">
        <v>416</v>
      </c>
      <c r="D34" s="6" t="s">
        <v>417</v>
      </c>
      <c r="E34" s="7" t="s">
        <v>8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t="s">
        <v>802</v>
      </c>
      <c r="AE34" s="18" t="s">
        <v>371</v>
      </c>
      <c r="AF34" t="s">
        <v>305</v>
      </c>
      <c r="AG34">
        <v>20527197</v>
      </c>
      <c r="AH34" t="s">
        <v>306</v>
      </c>
      <c r="AI34" t="s">
        <v>7</v>
      </c>
      <c r="AJ34" t="str">
        <f t="shared" si="0"/>
        <v>AJESIA PRABU ANGGORO HARIYANTO</v>
      </c>
    </row>
    <row r="35" spans="1:36" ht="20.100000000000001" customHeight="1" x14ac:dyDescent="0.25">
      <c r="A35" s="4">
        <v>26</v>
      </c>
      <c r="B35" s="4">
        <v>14614</v>
      </c>
      <c r="C35" s="5" t="s">
        <v>614</v>
      </c>
      <c r="D35" s="5" t="s">
        <v>615</v>
      </c>
      <c r="E35" s="7" t="s">
        <v>8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t="s">
        <v>793</v>
      </c>
      <c r="AE35" s="15" t="s">
        <v>726</v>
      </c>
      <c r="AF35" t="s">
        <v>687</v>
      </c>
      <c r="AG35">
        <v>20527180</v>
      </c>
      <c r="AH35" t="s">
        <v>688</v>
      </c>
      <c r="AI35" t="s">
        <v>7</v>
      </c>
      <c r="AJ35" t="str">
        <f t="shared" si="0"/>
        <v>AKBAR RAHMATULLAH RAMADHAN</v>
      </c>
    </row>
    <row r="36" spans="1:36" ht="20.100000000000001" customHeight="1" x14ac:dyDescent="0.25">
      <c r="A36" s="4">
        <v>27</v>
      </c>
      <c r="B36" s="4">
        <v>14615</v>
      </c>
      <c r="C36" s="5" t="s">
        <v>334</v>
      </c>
      <c r="D36" s="6" t="s">
        <v>786</v>
      </c>
      <c r="E36" s="7" t="s">
        <v>8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t="s">
        <v>800</v>
      </c>
      <c r="AE36" s="17" t="s">
        <v>197</v>
      </c>
      <c r="AF36" t="s">
        <v>142</v>
      </c>
      <c r="AG36">
        <v>20527197</v>
      </c>
      <c r="AH36" t="s">
        <v>143</v>
      </c>
      <c r="AI36" t="s">
        <v>8</v>
      </c>
      <c r="AJ36" t="str">
        <f t="shared" si="0"/>
        <v>AKH. RASYA EFENDI PUTRA</v>
      </c>
    </row>
    <row r="37" spans="1:36" ht="20.100000000000001" customHeight="1" x14ac:dyDescent="0.25">
      <c r="A37" s="4">
        <v>28</v>
      </c>
      <c r="B37" s="4">
        <v>14616</v>
      </c>
      <c r="C37" s="5" t="s">
        <v>511</v>
      </c>
      <c r="D37" s="6" t="s">
        <v>512</v>
      </c>
      <c r="E37" s="7" t="s">
        <v>8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t="s">
        <v>793</v>
      </c>
      <c r="AJ37" t="str">
        <f t="shared" si="0"/>
        <v>AKRAM ARKANANTA FIRDAUS</v>
      </c>
    </row>
    <row r="38" spans="1:36" ht="20.100000000000001" customHeight="1" x14ac:dyDescent="0.25">
      <c r="A38" s="4">
        <v>29</v>
      </c>
      <c r="B38" s="4">
        <v>14617</v>
      </c>
      <c r="C38" s="5" t="s">
        <v>230</v>
      </c>
      <c r="D38" s="6" t="s">
        <v>758</v>
      </c>
      <c r="E38" s="7" t="s">
        <v>8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t="s">
        <v>799</v>
      </c>
      <c r="AJ38" t="str">
        <f t="shared" si="0"/>
        <v>AKSA AHMAD</v>
      </c>
    </row>
    <row r="39" spans="1:36" ht="20.100000000000001" customHeight="1" x14ac:dyDescent="0.25">
      <c r="A39" s="4">
        <v>30</v>
      </c>
      <c r="B39" s="4">
        <v>14618</v>
      </c>
      <c r="C39" s="5" t="s">
        <v>448</v>
      </c>
      <c r="D39" s="6" t="s">
        <v>449</v>
      </c>
      <c r="E39" s="7" t="s">
        <v>8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t="s">
        <v>794</v>
      </c>
      <c r="AJ39" t="str">
        <f t="shared" si="0"/>
        <v>AL FATIH WAHYU BASALAMAH</v>
      </c>
    </row>
    <row r="40" spans="1:36" ht="20.100000000000001" customHeight="1" x14ac:dyDescent="0.25">
      <c r="A40" s="4">
        <v>31</v>
      </c>
      <c r="B40" s="4">
        <v>14619</v>
      </c>
      <c r="C40" s="5" t="s">
        <v>606</v>
      </c>
      <c r="D40" s="6" t="s">
        <v>607</v>
      </c>
      <c r="E40" s="7" t="s">
        <v>8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t="s">
        <v>793</v>
      </c>
      <c r="AJ40" t="str">
        <f t="shared" si="0"/>
        <v>ALDO SUKMA MAULIDZI</v>
      </c>
    </row>
    <row r="41" spans="1:36" ht="20.100000000000001" customHeight="1" x14ac:dyDescent="0.25">
      <c r="A41" s="4">
        <v>32</v>
      </c>
      <c r="B41" s="4">
        <v>14620</v>
      </c>
      <c r="C41" s="5" t="s">
        <v>198</v>
      </c>
      <c r="D41" s="6" t="s">
        <v>759</v>
      </c>
      <c r="E41" s="7" t="s">
        <v>7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t="s">
        <v>800</v>
      </c>
      <c r="AJ41" t="str">
        <f t="shared" si="0"/>
        <v>ALFISA SYAHIRA SUTIKNO</v>
      </c>
    </row>
    <row r="42" spans="1:36" ht="20.100000000000001" customHeight="1" x14ac:dyDescent="0.25">
      <c r="A42" s="4">
        <v>33</v>
      </c>
      <c r="B42" s="4">
        <v>14621</v>
      </c>
      <c r="C42" s="5" t="s">
        <v>681</v>
      </c>
      <c r="D42" s="6" t="s">
        <v>682</v>
      </c>
      <c r="E42" s="7" t="s">
        <v>7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t="s">
        <v>793</v>
      </c>
      <c r="AJ42" t="str">
        <f t="shared" si="0"/>
        <v>ALISHA RAMADHANI POERNOMO</v>
      </c>
    </row>
    <row r="43" spans="1:36" ht="20.100000000000001" customHeight="1" x14ac:dyDescent="0.25">
      <c r="A43" s="4">
        <v>34</v>
      </c>
      <c r="B43" s="4">
        <v>14622</v>
      </c>
      <c r="C43" s="5" t="s">
        <v>293</v>
      </c>
      <c r="D43" s="6" t="s">
        <v>294</v>
      </c>
      <c r="E43" s="7" t="s">
        <v>8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t="s">
        <v>794</v>
      </c>
      <c r="AJ43" t="str">
        <f t="shared" si="0"/>
        <v>ALLAFA ALYYUS SULTANSYAH WIDJAYA</v>
      </c>
    </row>
    <row r="44" spans="1:36" ht="20.100000000000001" customHeight="1" x14ac:dyDescent="0.25">
      <c r="A44" s="4">
        <v>35</v>
      </c>
      <c r="B44" s="4">
        <v>14623</v>
      </c>
      <c r="C44" s="9" t="s">
        <v>531</v>
      </c>
      <c r="D44" s="6" t="s">
        <v>532</v>
      </c>
      <c r="E44" s="7" t="s">
        <v>7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t="s">
        <v>794</v>
      </c>
      <c r="AJ44" t="str">
        <f t="shared" si="0"/>
        <v>ALLENA GIOVANNY SUGIARTO</v>
      </c>
    </row>
    <row r="45" spans="1:36" ht="20.100000000000001" customHeight="1" x14ac:dyDescent="0.25">
      <c r="A45" s="4">
        <v>36</v>
      </c>
      <c r="B45" s="4">
        <v>14624</v>
      </c>
      <c r="C45" s="5" t="s">
        <v>720</v>
      </c>
      <c r="D45" s="6" t="s">
        <v>721</v>
      </c>
      <c r="E45" s="7" t="s">
        <v>7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t="s">
        <v>797</v>
      </c>
      <c r="AJ45" t="str">
        <f t="shared" si="0"/>
        <v>ALVINA RIZKI ANDINI</v>
      </c>
    </row>
    <row r="46" spans="1:36" ht="20.100000000000001" customHeight="1" x14ac:dyDescent="0.25">
      <c r="A46" s="4">
        <v>1</v>
      </c>
      <c r="B46" s="4">
        <v>14625</v>
      </c>
      <c r="C46" s="5" t="s">
        <v>36</v>
      </c>
      <c r="D46" s="6" t="s">
        <v>37</v>
      </c>
      <c r="E46" s="7" t="s">
        <v>7</v>
      </c>
      <c r="AD46" t="s">
        <v>800</v>
      </c>
    </row>
    <row r="47" spans="1:36" ht="15.75" x14ac:dyDescent="0.25">
      <c r="A47" s="4">
        <v>2</v>
      </c>
      <c r="B47" s="4">
        <v>14626</v>
      </c>
      <c r="C47" s="5" t="s">
        <v>246</v>
      </c>
      <c r="D47" s="6" t="s">
        <v>247</v>
      </c>
      <c r="E47" s="7" t="s">
        <v>7</v>
      </c>
      <c r="AD47" t="s">
        <v>794</v>
      </c>
    </row>
    <row r="48" spans="1:36" ht="15.75" x14ac:dyDescent="0.25">
      <c r="A48" s="4">
        <v>3</v>
      </c>
      <c r="B48" s="4">
        <v>14627</v>
      </c>
      <c r="C48" s="5" t="s">
        <v>636</v>
      </c>
      <c r="D48" s="6" t="s">
        <v>637</v>
      </c>
      <c r="E48" s="7" t="s">
        <v>7</v>
      </c>
      <c r="AD48" t="s">
        <v>797</v>
      </c>
    </row>
    <row r="49" spans="1:30" ht="15.75" x14ac:dyDescent="0.25">
      <c r="A49" s="4">
        <v>4</v>
      </c>
      <c r="B49" s="4">
        <v>14628</v>
      </c>
      <c r="C49" s="5" t="s">
        <v>299</v>
      </c>
      <c r="D49" s="5" t="s">
        <v>300</v>
      </c>
      <c r="E49" s="7" t="s">
        <v>7</v>
      </c>
      <c r="AD49" t="s">
        <v>793</v>
      </c>
    </row>
    <row r="50" spans="1:30" ht="15.75" x14ac:dyDescent="0.25">
      <c r="A50" s="4">
        <v>5</v>
      </c>
      <c r="B50" s="4">
        <v>14629</v>
      </c>
      <c r="C50" s="5" t="s">
        <v>465</v>
      </c>
      <c r="D50" s="6" t="s">
        <v>466</v>
      </c>
      <c r="E50" s="7" t="s">
        <v>8</v>
      </c>
      <c r="AD50" t="s">
        <v>801</v>
      </c>
    </row>
    <row r="51" spans="1:30" ht="15.75" x14ac:dyDescent="0.25">
      <c r="A51" s="4">
        <v>6</v>
      </c>
      <c r="B51" s="4">
        <v>14630</v>
      </c>
      <c r="C51" s="5" t="s">
        <v>418</v>
      </c>
      <c r="D51" s="6" t="s">
        <v>419</v>
      </c>
      <c r="E51" s="7" t="s">
        <v>7</v>
      </c>
      <c r="AD51" t="s">
        <v>794</v>
      </c>
    </row>
    <row r="52" spans="1:30" ht="15.75" x14ac:dyDescent="0.25">
      <c r="A52" s="4">
        <v>7</v>
      </c>
      <c r="B52" s="4">
        <v>14631</v>
      </c>
      <c r="C52" s="5" t="s">
        <v>766</v>
      </c>
      <c r="D52" s="6" t="s">
        <v>194</v>
      </c>
      <c r="E52" s="7" t="s">
        <v>8</v>
      </c>
      <c r="AD52" t="s">
        <v>797</v>
      </c>
    </row>
    <row r="53" spans="1:30" ht="15.75" x14ac:dyDescent="0.25">
      <c r="A53" s="4">
        <v>8</v>
      </c>
      <c r="B53" s="4">
        <v>14632</v>
      </c>
      <c r="C53" s="5" t="s">
        <v>392</v>
      </c>
      <c r="D53" s="6" t="s">
        <v>393</v>
      </c>
      <c r="E53" s="7" t="s">
        <v>8</v>
      </c>
      <c r="AD53" t="s">
        <v>795</v>
      </c>
    </row>
    <row r="54" spans="1:30" ht="15.75" x14ac:dyDescent="0.25">
      <c r="A54" s="4">
        <v>9</v>
      </c>
      <c r="B54" s="4">
        <v>14633</v>
      </c>
      <c r="C54" s="5" t="s">
        <v>509</v>
      </c>
      <c r="D54" s="6" t="s">
        <v>510</v>
      </c>
      <c r="E54" s="7" t="s">
        <v>8</v>
      </c>
      <c r="AD54" t="s">
        <v>796</v>
      </c>
    </row>
    <row r="55" spans="1:30" ht="15.75" x14ac:dyDescent="0.25">
      <c r="A55" s="4">
        <v>10</v>
      </c>
      <c r="B55" s="4">
        <v>14634</v>
      </c>
      <c r="C55" s="5" t="s">
        <v>28</v>
      </c>
      <c r="D55" s="6" t="s">
        <v>29</v>
      </c>
      <c r="E55" s="7" t="s">
        <v>7</v>
      </c>
      <c r="AD55" t="s">
        <v>797</v>
      </c>
    </row>
    <row r="56" spans="1:30" ht="15.75" x14ac:dyDescent="0.25">
      <c r="A56" s="4">
        <v>11</v>
      </c>
      <c r="B56" s="4">
        <v>14635</v>
      </c>
      <c r="C56" s="5" t="s">
        <v>46</v>
      </c>
      <c r="D56" s="6" t="s">
        <v>47</v>
      </c>
      <c r="E56" s="7" t="s">
        <v>8</v>
      </c>
      <c r="AD56" t="s">
        <v>801</v>
      </c>
    </row>
    <row r="57" spans="1:30" ht="15.75" x14ac:dyDescent="0.25">
      <c r="A57" s="4">
        <v>12</v>
      </c>
      <c r="B57" s="4">
        <v>14636</v>
      </c>
      <c r="C57" s="5" t="s">
        <v>224</v>
      </c>
      <c r="D57" s="6" t="s">
        <v>225</v>
      </c>
      <c r="E57" s="7" t="s">
        <v>7</v>
      </c>
      <c r="AD57" t="s">
        <v>802</v>
      </c>
    </row>
    <row r="58" spans="1:30" ht="15.75" x14ac:dyDescent="0.25">
      <c r="A58" s="4">
        <v>13</v>
      </c>
      <c r="B58" s="4">
        <v>14637</v>
      </c>
      <c r="C58" s="5" t="s">
        <v>641</v>
      </c>
      <c r="D58" s="6" t="s">
        <v>642</v>
      </c>
      <c r="E58" s="7" t="s">
        <v>7</v>
      </c>
      <c r="AD58" t="s">
        <v>801</v>
      </c>
    </row>
    <row r="59" spans="1:30" ht="15.75" x14ac:dyDescent="0.25">
      <c r="A59" s="4">
        <v>14</v>
      </c>
      <c r="B59" s="4">
        <v>14638</v>
      </c>
      <c r="C59" s="9" t="s">
        <v>85</v>
      </c>
      <c r="D59" s="6" t="s">
        <v>86</v>
      </c>
      <c r="E59" s="7" t="s">
        <v>7</v>
      </c>
      <c r="AD59" t="s">
        <v>799</v>
      </c>
    </row>
    <row r="60" spans="1:30" ht="15.75" x14ac:dyDescent="0.25">
      <c r="A60" s="4">
        <v>15</v>
      </c>
      <c r="B60" s="4">
        <v>14639</v>
      </c>
      <c r="C60" s="5" t="s">
        <v>456</v>
      </c>
      <c r="D60" s="6" t="s">
        <v>457</v>
      </c>
      <c r="E60" s="7" t="s">
        <v>8</v>
      </c>
      <c r="AD60" t="s">
        <v>794</v>
      </c>
    </row>
    <row r="61" spans="1:30" ht="15.75" x14ac:dyDescent="0.25">
      <c r="A61" s="4">
        <v>16</v>
      </c>
      <c r="B61" s="4">
        <v>14640</v>
      </c>
      <c r="C61" s="5" t="s">
        <v>523</v>
      </c>
      <c r="D61" s="6" t="s">
        <v>524</v>
      </c>
      <c r="E61" s="7" t="s">
        <v>7</v>
      </c>
      <c r="AD61" t="s">
        <v>799</v>
      </c>
    </row>
    <row r="62" spans="1:30" ht="15.75" x14ac:dyDescent="0.25">
      <c r="A62" s="4">
        <v>17</v>
      </c>
      <c r="B62" s="4">
        <v>14641</v>
      </c>
      <c r="C62" s="5" t="s">
        <v>176</v>
      </c>
      <c r="D62" s="6" t="s">
        <v>177</v>
      </c>
      <c r="E62" s="7" t="s">
        <v>8</v>
      </c>
      <c r="AD62" t="s">
        <v>799</v>
      </c>
    </row>
    <row r="63" spans="1:30" ht="15.75" x14ac:dyDescent="0.25">
      <c r="A63" s="4">
        <v>18</v>
      </c>
      <c r="B63" s="4">
        <v>14642</v>
      </c>
      <c r="C63" s="5" t="s">
        <v>109</v>
      </c>
      <c r="D63" s="6" t="s">
        <v>760</v>
      </c>
      <c r="E63" s="7" t="s">
        <v>7</v>
      </c>
      <c r="AD63" t="s">
        <v>798</v>
      </c>
    </row>
    <row r="64" spans="1:30" ht="15.75" x14ac:dyDescent="0.25">
      <c r="A64" s="4">
        <v>19</v>
      </c>
      <c r="B64" s="4">
        <v>14643</v>
      </c>
      <c r="C64" s="5" t="s">
        <v>301</v>
      </c>
      <c r="D64" s="6" t="s">
        <v>302</v>
      </c>
      <c r="E64" s="7" t="s">
        <v>7</v>
      </c>
      <c r="AD64" t="s">
        <v>801</v>
      </c>
    </row>
    <row r="65" spans="1:30" ht="15.75" x14ac:dyDescent="0.25">
      <c r="A65" s="4">
        <v>20</v>
      </c>
      <c r="B65" s="4">
        <v>14644</v>
      </c>
      <c r="C65" s="5" t="s">
        <v>710</v>
      </c>
      <c r="D65" s="6" t="s">
        <v>711</v>
      </c>
      <c r="E65" s="7" t="s">
        <v>8</v>
      </c>
      <c r="AD65" t="s">
        <v>795</v>
      </c>
    </row>
    <row r="66" spans="1:30" ht="15.75" x14ac:dyDescent="0.25">
      <c r="A66" s="4">
        <v>21</v>
      </c>
      <c r="B66" s="4">
        <v>14645</v>
      </c>
      <c r="C66" s="5" t="s">
        <v>157</v>
      </c>
      <c r="D66" s="6" t="s">
        <v>158</v>
      </c>
      <c r="E66" s="7" t="s">
        <v>8</v>
      </c>
      <c r="AD66" t="s">
        <v>802</v>
      </c>
    </row>
    <row r="67" spans="1:30" ht="15.75" x14ac:dyDescent="0.25">
      <c r="A67" s="4">
        <v>22</v>
      </c>
      <c r="B67" s="4">
        <v>14646</v>
      </c>
      <c r="C67" s="9" t="s">
        <v>321</v>
      </c>
      <c r="D67" s="6" t="s">
        <v>322</v>
      </c>
      <c r="E67" s="7" t="s">
        <v>8</v>
      </c>
      <c r="AD67" t="s">
        <v>795</v>
      </c>
    </row>
    <row r="68" spans="1:30" ht="15.75" x14ac:dyDescent="0.25">
      <c r="A68" s="4">
        <v>23</v>
      </c>
      <c r="B68" s="4">
        <v>14647</v>
      </c>
      <c r="C68" s="5" t="s">
        <v>724</v>
      </c>
      <c r="D68" s="6" t="s">
        <v>725</v>
      </c>
      <c r="E68" s="7" t="s">
        <v>8</v>
      </c>
      <c r="AD68" t="s">
        <v>801</v>
      </c>
    </row>
    <row r="69" spans="1:30" ht="15.75" x14ac:dyDescent="0.25">
      <c r="A69" s="4">
        <v>24</v>
      </c>
      <c r="B69" s="4">
        <v>14648</v>
      </c>
      <c r="C69" s="5" t="s">
        <v>376</v>
      </c>
      <c r="D69" s="6" t="s">
        <v>377</v>
      </c>
      <c r="E69" s="7" t="s">
        <v>7</v>
      </c>
      <c r="AD69" t="s">
        <v>802</v>
      </c>
    </row>
    <row r="70" spans="1:30" ht="15.75" x14ac:dyDescent="0.25">
      <c r="A70" s="4">
        <v>25</v>
      </c>
      <c r="B70" s="4">
        <v>14649</v>
      </c>
      <c r="C70" s="5" t="s">
        <v>309</v>
      </c>
      <c r="D70" s="6" t="s">
        <v>737</v>
      </c>
      <c r="E70" s="7" t="s">
        <v>7</v>
      </c>
      <c r="AD70" t="s">
        <v>796</v>
      </c>
    </row>
    <row r="71" spans="1:30" ht="15.75" x14ac:dyDescent="0.25">
      <c r="A71" s="4">
        <v>26</v>
      </c>
      <c r="B71" s="4">
        <v>14650</v>
      </c>
      <c r="C71" s="5" t="s">
        <v>276</v>
      </c>
      <c r="D71" s="6" t="s">
        <v>277</v>
      </c>
      <c r="E71" s="7" t="s">
        <v>8</v>
      </c>
      <c r="AD71" t="s">
        <v>794</v>
      </c>
    </row>
    <row r="72" spans="1:30" ht="15.75" x14ac:dyDescent="0.25">
      <c r="A72" s="4">
        <v>27</v>
      </c>
      <c r="B72" s="4">
        <v>14651</v>
      </c>
      <c r="C72" s="5" t="s">
        <v>315</v>
      </c>
      <c r="D72" s="6" t="s">
        <v>316</v>
      </c>
      <c r="E72" s="7" t="s">
        <v>7</v>
      </c>
      <c r="AD72" t="s">
        <v>796</v>
      </c>
    </row>
    <row r="73" spans="1:30" ht="15.75" x14ac:dyDescent="0.25">
      <c r="A73" s="4">
        <v>28</v>
      </c>
      <c r="B73" s="4">
        <v>14652</v>
      </c>
      <c r="C73" s="5" t="s">
        <v>253</v>
      </c>
      <c r="D73" s="6" t="s">
        <v>254</v>
      </c>
      <c r="E73" s="7" t="s">
        <v>7</v>
      </c>
      <c r="AD73" t="s">
        <v>802</v>
      </c>
    </row>
    <row r="74" spans="1:30" ht="15.75" x14ac:dyDescent="0.25">
      <c r="A74" s="4">
        <v>29</v>
      </c>
      <c r="B74" s="4">
        <v>14653</v>
      </c>
      <c r="C74" s="5" t="s">
        <v>513</v>
      </c>
      <c r="D74" s="6" t="s">
        <v>514</v>
      </c>
      <c r="E74" s="7" t="s">
        <v>7</v>
      </c>
      <c r="AD74" t="s">
        <v>797</v>
      </c>
    </row>
    <row r="75" spans="1:30" ht="15.75" x14ac:dyDescent="0.25">
      <c r="A75" s="4">
        <v>30</v>
      </c>
      <c r="B75" s="4">
        <v>14654</v>
      </c>
      <c r="C75" s="5" t="s">
        <v>661</v>
      </c>
      <c r="D75" s="6" t="s">
        <v>662</v>
      </c>
      <c r="E75" s="7" t="s">
        <v>7</v>
      </c>
      <c r="AD75" t="s">
        <v>801</v>
      </c>
    </row>
    <row r="76" spans="1:30" ht="15.75" x14ac:dyDescent="0.25">
      <c r="A76" s="4">
        <v>31</v>
      </c>
      <c r="B76" s="4">
        <v>14655</v>
      </c>
      <c r="C76" s="5" t="s">
        <v>663</v>
      </c>
      <c r="D76" s="6" t="s">
        <v>664</v>
      </c>
      <c r="E76" s="7" t="s">
        <v>7</v>
      </c>
      <c r="AD76" t="s">
        <v>801</v>
      </c>
    </row>
    <row r="77" spans="1:30" ht="15.75" x14ac:dyDescent="0.25">
      <c r="A77" s="4">
        <v>32</v>
      </c>
      <c r="B77" s="4">
        <v>14656</v>
      </c>
      <c r="C77" s="5" t="s">
        <v>450</v>
      </c>
      <c r="D77" s="6" t="s">
        <v>792</v>
      </c>
      <c r="E77" s="7" t="s">
        <v>8</v>
      </c>
      <c r="AD77" t="s">
        <v>794</v>
      </c>
    </row>
    <row r="78" spans="1:30" ht="15.75" x14ac:dyDescent="0.25">
      <c r="A78" s="4">
        <v>33</v>
      </c>
      <c r="B78" s="4">
        <v>14657</v>
      </c>
      <c r="C78" s="5" t="s">
        <v>83</v>
      </c>
      <c r="D78" s="6" t="s">
        <v>84</v>
      </c>
      <c r="E78" s="7" t="s">
        <v>8</v>
      </c>
      <c r="AD78" t="s">
        <v>799</v>
      </c>
    </row>
    <row r="79" spans="1:30" ht="15.75" x14ac:dyDescent="0.25">
      <c r="A79" s="4">
        <v>34</v>
      </c>
      <c r="B79" s="4">
        <v>14658</v>
      </c>
      <c r="C79" s="5" t="s">
        <v>232</v>
      </c>
      <c r="D79" s="6" t="s">
        <v>233</v>
      </c>
      <c r="E79" s="7" t="s">
        <v>8</v>
      </c>
      <c r="AD79" t="s">
        <v>802</v>
      </c>
    </row>
    <row r="80" spans="1:30" ht="15.75" x14ac:dyDescent="0.25">
      <c r="A80" s="4">
        <v>35</v>
      </c>
      <c r="B80" s="4">
        <v>14659</v>
      </c>
      <c r="C80" s="5" t="s">
        <v>610</v>
      </c>
      <c r="D80" s="6" t="s">
        <v>611</v>
      </c>
      <c r="E80" s="7" t="s">
        <v>7</v>
      </c>
      <c r="AD80" t="s">
        <v>802</v>
      </c>
    </row>
    <row r="81" spans="1:30" ht="15.75" x14ac:dyDescent="0.25">
      <c r="A81" s="4">
        <v>36</v>
      </c>
      <c r="B81" s="4">
        <v>14660</v>
      </c>
      <c r="C81" s="5" t="s">
        <v>537</v>
      </c>
      <c r="D81" s="6" t="s">
        <v>538</v>
      </c>
      <c r="E81" s="7" t="s">
        <v>7</v>
      </c>
      <c r="AD81" t="s">
        <v>793</v>
      </c>
    </row>
    <row r="82" spans="1:30" ht="15.75" x14ac:dyDescent="0.25">
      <c r="A82" s="4">
        <v>1</v>
      </c>
      <c r="B82" s="4">
        <v>14661</v>
      </c>
      <c r="C82" s="5" t="s">
        <v>697</v>
      </c>
      <c r="D82" s="6" t="s">
        <v>728</v>
      </c>
      <c r="E82" s="7" t="s">
        <v>8</v>
      </c>
      <c r="AD82" t="s">
        <v>800</v>
      </c>
    </row>
    <row r="83" spans="1:30" ht="15.75" x14ac:dyDescent="0.25">
      <c r="A83" s="4">
        <v>2</v>
      </c>
      <c r="B83" s="4">
        <v>14662</v>
      </c>
      <c r="C83" s="9" t="s">
        <v>206</v>
      </c>
      <c r="D83" s="6" t="s">
        <v>740</v>
      </c>
      <c r="E83" s="7" t="s">
        <v>8</v>
      </c>
      <c r="AD83" t="s">
        <v>799</v>
      </c>
    </row>
    <row r="84" spans="1:30" ht="15.75" x14ac:dyDescent="0.25">
      <c r="A84" s="4">
        <v>3</v>
      </c>
      <c r="B84" s="4">
        <v>14663</v>
      </c>
      <c r="C84" s="5" t="s">
        <v>527</v>
      </c>
      <c r="D84" s="6" t="s">
        <v>528</v>
      </c>
      <c r="E84" s="7" t="s">
        <v>7</v>
      </c>
      <c r="AD84" t="s">
        <v>793</v>
      </c>
    </row>
    <row r="85" spans="1:30" ht="15.75" x14ac:dyDescent="0.25">
      <c r="A85" s="4">
        <v>4</v>
      </c>
      <c r="B85" s="4">
        <v>14664</v>
      </c>
      <c r="C85" s="5" t="s">
        <v>683</v>
      </c>
      <c r="D85" s="6" t="s">
        <v>747</v>
      </c>
      <c r="E85" s="7" t="s">
        <v>8</v>
      </c>
      <c r="AD85" t="s">
        <v>793</v>
      </c>
    </row>
    <row r="86" spans="1:30" ht="15.75" x14ac:dyDescent="0.25">
      <c r="A86" s="4">
        <v>5</v>
      </c>
      <c r="B86" s="4">
        <v>14665</v>
      </c>
      <c r="C86" s="5" t="s">
        <v>137</v>
      </c>
      <c r="D86" s="6" t="s">
        <v>138</v>
      </c>
      <c r="E86" s="7" t="s">
        <v>7</v>
      </c>
      <c r="AD86" t="s">
        <v>802</v>
      </c>
    </row>
    <row r="87" spans="1:30" ht="15.75" x14ac:dyDescent="0.25">
      <c r="A87" s="4">
        <v>6</v>
      </c>
      <c r="B87" s="4">
        <v>14666</v>
      </c>
      <c r="C87" s="5" t="s">
        <v>344</v>
      </c>
      <c r="D87" s="6" t="s">
        <v>345</v>
      </c>
      <c r="E87" s="7" t="s">
        <v>7</v>
      </c>
      <c r="AD87" t="s">
        <v>802</v>
      </c>
    </row>
    <row r="88" spans="1:30" ht="15.75" x14ac:dyDescent="0.25">
      <c r="A88" s="4">
        <v>7</v>
      </c>
      <c r="B88" s="4">
        <v>14667</v>
      </c>
      <c r="C88" s="5" t="s">
        <v>262</v>
      </c>
      <c r="D88" s="6" t="s">
        <v>263</v>
      </c>
      <c r="E88" s="7" t="s">
        <v>7</v>
      </c>
      <c r="AD88" t="s">
        <v>801</v>
      </c>
    </row>
    <row r="89" spans="1:30" ht="15.75" x14ac:dyDescent="0.25">
      <c r="A89" s="4">
        <v>8</v>
      </c>
      <c r="B89" s="4">
        <v>14668</v>
      </c>
      <c r="C89" s="5" t="s">
        <v>182</v>
      </c>
      <c r="D89" s="6" t="s">
        <v>183</v>
      </c>
      <c r="E89" s="7" t="s">
        <v>8</v>
      </c>
      <c r="AD89" t="s">
        <v>796</v>
      </c>
    </row>
    <row r="90" spans="1:30" ht="15.75" x14ac:dyDescent="0.25">
      <c r="A90" s="4">
        <v>9</v>
      </c>
      <c r="B90" s="4">
        <v>14669</v>
      </c>
      <c r="C90" s="5" t="s">
        <v>274</v>
      </c>
      <c r="D90" s="6" t="s">
        <v>275</v>
      </c>
      <c r="E90" s="7" t="s">
        <v>8</v>
      </c>
      <c r="AD90" t="s">
        <v>793</v>
      </c>
    </row>
    <row r="91" spans="1:30" ht="15.75" x14ac:dyDescent="0.25">
      <c r="A91" s="4">
        <v>10</v>
      </c>
      <c r="B91" s="4">
        <v>14670</v>
      </c>
      <c r="C91" s="5" t="s">
        <v>161</v>
      </c>
      <c r="D91" s="6" t="s">
        <v>162</v>
      </c>
      <c r="E91" s="7" t="s">
        <v>8</v>
      </c>
      <c r="AD91" t="s">
        <v>797</v>
      </c>
    </row>
    <row r="92" spans="1:30" ht="15.75" x14ac:dyDescent="0.25">
      <c r="A92" s="4">
        <v>11</v>
      </c>
      <c r="B92" s="4">
        <v>14671</v>
      </c>
      <c r="C92" s="5" t="s">
        <v>618</v>
      </c>
      <c r="D92" s="6" t="s">
        <v>619</v>
      </c>
      <c r="E92" s="7" t="s">
        <v>8</v>
      </c>
      <c r="AD92" t="s">
        <v>794</v>
      </c>
    </row>
    <row r="93" spans="1:30" ht="15.75" x14ac:dyDescent="0.25">
      <c r="A93" s="4">
        <v>12</v>
      </c>
      <c r="B93" s="4">
        <v>14672</v>
      </c>
      <c r="C93" s="5" t="s">
        <v>773</v>
      </c>
      <c r="D93" s="6" t="s">
        <v>280</v>
      </c>
      <c r="E93" s="7" t="s">
        <v>7</v>
      </c>
      <c r="AD93" t="s">
        <v>802</v>
      </c>
    </row>
    <row r="94" spans="1:30" ht="15.75" x14ac:dyDescent="0.25">
      <c r="A94" s="4">
        <v>13</v>
      </c>
      <c r="B94" s="4">
        <v>14673</v>
      </c>
      <c r="C94" s="5" t="s">
        <v>278</v>
      </c>
      <c r="D94" s="6" t="s">
        <v>279</v>
      </c>
      <c r="E94" s="7" t="s">
        <v>7</v>
      </c>
      <c r="AD94" t="s">
        <v>797</v>
      </c>
    </row>
    <row r="95" spans="1:30" ht="15.75" x14ac:dyDescent="0.25">
      <c r="A95" s="4">
        <v>14</v>
      </c>
      <c r="B95" s="4">
        <v>14674</v>
      </c>
      <c r="C95" s="5" t="s">
        <v>327</v>
      </c>
      <c r="D95" s="6" t="s">
        <v>328</v>
      </c>
      <c r="E95" s="7" t="s">
        <v>8</v>
      </c>
      <c r="AD95" t="s">
        <v>800</v>
      </c>
    </row>
    <row r="96" spans="1:30" ht="15.75" x14ac:dyDescent="0.25">
      <c r="A96" s="4">
        <v>15</v>
      </c>
      <c r="B96" s="4">
        <v>14675</v>
      </c>
      <c r="C96" s="5" t="s">
        <v>353</v>
      </c>
      <c r="D96" s="6" t="s">
        <v>354</v>
      </c>
      <c r="E96" s="7" t="s">
        <v>7</v>
      </c>
      <c r="AD96" t="s">
        <v>793</v>
      </c>
    </row>
    <row r="97" spans="1:30" ht="15.75" x14ac:dyDescent="0.25">
      <c r="A97" s="4">
        <v>16</v>
      </c>
      <c r="B97" s="4">
        <v>14676</v>
      </c>
      <c r="C97" s="5" t="s">
        <v>325</v>
      </c>
      <c r="D97" s="6" t="s">
        <v>746</v>
      </c>
      <c r="E97" s="7" t="s">
        <v>7</v>
      </c>
      <c r="AD97" t="s">
        <v>797</v>
      </c>
    </row>
    <row r="98" spans="1:30" ht="15.75" x14ac:dyDescent="0.25">
      <c r="A98" s="4">
        <v>17</v>
      </c>
      <c r="B98" s="4">
        <v>14677</v>
      </c>
      <c r="C98" s="5" t="s">
        <v>612</v>
      </c>
      <c r="D98" s="6" t="s">
        <v>613</v>
      </c>
      <c r="E98" s="7" t="s">
        <v>7</v>
      </c>
      <c r="AD98" t="s">
        <v>794</v>
      </c>
    </row>
    <row r="99" spans="1:30" ht="15.75" x14ac:dyDescent="0.25">
      <c r="A99" s="4">
        <v>18</v>
      </c>
      <c r="B99" s="4">
        <v>14678</v>
      </c>
      <c r="C99" s="5" t="s">
        <v>440</v>
      </c>
      <c r="D99" s="6" t="s">
        <v>441</v>
      </c>
      <c r="E99" s="7" t="s">
        <v>8</v>
      </c>
      <c r="AD99" t="s">
        <v>798</v>
      </c>
    </row>
    <row r="100" spans="1:30" ht="15.75" x14ac:dyDescent="0.25">
      <c r="A100" s="4">
        <v>19</v>
      </c>
      <c r="B100" s="4">
        <v>14679</v>
      </c>
      <c r="C100" s="5" t="s">
        <v>93</v>
      </c>
      <c r="D100" s="6" t="s">
        <v>94</v>
      </c>
      <c r="E100" s="7" t="s">
        <v>8</v>
      </c>
      <c r="AD100" t="s">
        <v>797</v>
      </c>
    </row>
    <row r="101" spans="1:30" ht="15.75" x14ac:dyDescent="0.25">
      <c r="A101" s="4">
        <v>20</v>
      </c>
      <c r="B101" s="4">
        <v>14680</v>
      </c>
      <c r="C101" s="5" t="s">
        <v>422</v>
      </c>
      <c r="D101" s="6" t="s">
        <v>423</v>
      </c>
      <c r="E101" s="7" t="s">
        <v>7</v>
      </c>
      <c r="AD101" t="s">
        <v>798</v>
      </c>
    </row>
    <row r="102" spans="1:30" ht="15.75" x14ac:dyDescent="0.25">
      <c r="A102" s="4">
        <v>21</v>
      </c>
      <c r="B102" s="4">
        <v>14681</v>
      </c>
      <c r="C102" s="5" t="s">
        <v>236</v>
      </c>
      <c r="D102" s="6" t="s">
        <v>237</v>
      </c>
      <c r="E102" s="7" t="s">
        <v>8</v>
      </c>
      <c r="AD102" t="s">
        <v>798</v>
      </c>
    </row>
    <row r="103" spans="1:30" ht="15.75" x14ac:dyDescent="0.25">
      <c r="A103" s="4">
        <v>22</v>
      </c>
      <c r="B103" s="4">
        <v>14682</v>
      </c>
      <c r="C103" s="5" t="s">
        <v>165</v>
      </c>
      <c r="D103" s="6" t="s">
        <v>166</v>
      </c>
      <c r="E103" s="7" t="s">
        <v>8</v>
      </c>
      <c r="AD103" t="s">
        <v>795</v>
      </c>
    </row>
    <row r="104" spans="1:30" ht="15.75" x14ac:dyDescent="0.25">
      <c r="A104" s="4">
        <v>23</v>
      </c>
      <c r="B104" s="4">
        <v>14683</v>
      </c>
      <c r="C104" s="5" t="s">
        <v>59</v>
      </c>
      <c r="D104" s="6" t="s">
        <v>60</v>
      </c>
      <c r="E104" s="7" t="s">
        <v>8</v>
      </c>
      <c r="AD104" t="s">
        <v>797</v>
      </c>
    </row>
    <row r="105" spans="1:30" ht="15.75" x14ac:dyDescent="0.25">
      <c r="A105" s="4">
        <v>24</v>
      </c>
      <c r="B105" s="4">
        <v>14684</v>
      </c>
      <c r="C105" s="5" t="s">
        <v>42</v>
      </c>
      <c r="D105" s="6" t="s">
        <v>729</v>
      </c>
      <c r="E105" s="7" t="s">
        <v>7</v>
      </c>
      <c r="AD105" t="s">
        <v>801</v>
      </c>
    </row>
    <row r="106" spans="1:30" ht="15.75" x14ac:dyDescent="0.25">
      <c r="A106" s="4">
        <v>25</v>
      </c>
      <c r="B106" s="4">
        <v>14685</v>
      </c>
      <c r="C106" s="5" t="s">
        <v>485</v>
      </c>
      <c r="D106" s="6" t="s">
        <v>486</v>
      </c>
      <c r="E106" s="7" t="s">
        <v>8</v>
      </c>
      <c r="AD106" t="s">
        <v>795</v>
      </c>
    </row>
    <row r="107" spans="1:30" ht="15.75" x14ac:dyDescent="0.25">
      <c r="A107" s="4">
        <v>26</v>
      </c>
      <c r="B107" s="4">
        <v>14686</v>
      </c>
      <c r="C107" s="5" t="s">
        <v>632</v>
      </c>
      <c r="D107" s="6" t="s">
        <v>633</v>
      </c>
      <c r="E107" s="7" t="s">
        <v>7</v>
      </c>
      <c r="AD107" t="s">
        <v>795</v>
      </c>
    </row>
    <row r="108" spans="1:30" ht="15.75" x14ac:dyDescent="0.25">
      <c r="A108" s="4">
        <v>27</v>
      </c>
      <c r="B108" s="4">
        <v>14687</v>
      </c>
      <c r="C108" s="5" t="s">
        <v>671</v>
      </c>
      <c r="D108" s="6" t="s">
        <v>672</v>
      </c>
      <c r="E108" s="7" t="s">
        <v>8</v>
      </c>
      <c r="AD108" t="s">
        <v>799</v>
      </c>
    </row>
    <row r="109" spans="1:30" ht="15.75" x14ac:dyDescent="0.25">
      <c r="A109" s="4">
        <v>28</v>
      </c>
      <c r="B109" s="4">
        <v>14688</v>
      </c>
      <c r="C109" s="5" t="s">
        <v>361</v>
      </c>
      <c r="D109" s="6" t="s">
        <v>730</v>
      </c>
      <c r="E109" s="7" t="s">
        <v>8</v>
      </c>
      <c r="AD109" t="s">
        <v>796</v>
      </c>
    </row>
    <row r="110" spans="1:30" ht="15.75" x14ac:dyDescent="0.25">
      <c r="A110" s="4">
        <v>29</v>
      </c>
      <c r="B110" s="4">
        <v>14689</v>
      </c>
      <c r="C110" s="5" t="s">
        <v>258</v>
      </c>
      <c r="D110" s="6" t="s">
        <v>259</v>
      </c>
      <c r="E110" s="7" t="s">
        <v>7</v>
      </c>
      <c r="AD110" t="s">
        <v>796</v>
      </c>
    </row>
    <row r="111" spans="1:30" ht="15.75" x14ac:dyDescent="0.25">
      <c r="A111" s="4">
        <v>30</v>
      </c>
      <c r="B111" s="4">
        <v>14690</v>
      </c>
      <c r="C111" s="5" t="s">
        <v>169</v>
      </c>
      <c r="D111" s="6" t="s">
        <v>170</v>
      </c>
      <c r="E111" s="7" t="s">
        <v>7</v>
      </c>
      <c r="AD111" t="s">
        <v>797</v>
      </c>
    </row>
    <row r="112" spans="1:30" ht="15.75" x14ac:dyDescent="0.25">
      <c r="A112" s="4">
        <v>31</v>
      </c>
      <c r="B112" s="4">
        <v>14691</v>
      </c>
      <c r="C112" s="5" t="s">
        <v>762</v>
      </c>
      <c r="D112" s="6" t="s">
        <v>255</v>
      </c>
      <c r="E112" s="7" t="s">
        <v>7</v>
      </c>
      <c r="AD112" t="s">
        <v>793</v>
      </c>
    </row>
    <row r="113" spans="1:30" ht="15.75" x14ac:dyDescent="0.25">
      <c r="A113" s="4">
        <v>32</v>
      </c>
      <c r="B113" s="4">
        <v>14692</v>
      </c>
      <c r="C113" s="5" t="s">
        <v>718</v>
      </c>
      <c r="D113" s="6" t="s">
        <v>719</v>
      </c>
      <c r="E113" s="7" t="s">
        <v>8</v>
      </c>
      <c r="AD113" t="s">
        <v>797</v>
      </c>
    </row>
    <row r="114" spans="1:30" ht="15.75" x14ac:dyDescent="0.25">
      <c r="A114" s="4">
        <v>33</v>
      </c>
      <c r="B114" s="4">
        <v>14693</v>
      </c>
      <c r="C114" s="5" t="s">
        <v>184</v>
      </c>
      <c r="D114" s="6" t="s">
        <v>185</v>
      </c>
      <c r="E114" s="7" t="s">
        <v>8</v>
      </c>
      <c r="AD114" t="s">
        <v>794</v>
      </c>
    </row>
    <row r="115" spans="1:30" ht="15.75" x14ac:dyDescent="0.25">
      <c r="A115" s="4">
        <v>34</v>
      </c>
      <c r="B115" s="4">
        <v>14694</v>
      </c>
      <c r="C115" s="5" t="s">
        <v>764</v>
      </c>
      <c r="D115" s="6" t="s">
        <v>563</v>
      </c>
      <c r="E115" s="7" t="s">
        <v>7</v>
      </c>
      <c r="AD115" t="s">
        <v>796</v>
      </c>
    </row>
    <row r="116" spans="1:30" ht="15.75" x14ac:dyDescent="0.25">
      <c r="A116" s="4">
        <v>35</v>
      </c>
      <c r="B116" s="4">
        <v>14695</v>
      </c>
      <c r="C116" s="5" t="s">
        <v>16</v>
      </c>
      <c r="D116" s="6" t="s">
        <v>17</v>
      </c>
      <c r="E116" s="7" t="s">
        <v>7</v>
      </c>
      <c r="AD116" t="s">
        <v>794</v>
      </c>
    </row>
    <row r="117" spans="1:30" ht="15.75" x14ac:dyDescent="0.25">
      <c r="A117" s="4">
        <v>36</v>
      </c>
      <c r="B117" s="4">
        <v>14696</v>
      </c>
      <c r="C117" s="5" t="s">
        <v>582</v>
      </c>
      <c r="D117" s="6" t="s">
        <v>583</v>
      </c>
      <c r="E117" s="7" t="s">
        <v>8</v>
      </c>
      <c r="AD117" t="s">
        <v>798</v>
      </c>
    </row>
    <row r="118" spans="1:30" ht="15.75" x14ac:dyDescent="0.25">
      <c r="A118" s="4">
        <v>1</v>
      </c>
      <c r="B118" s="4">
        <v>14697</v>
      </c>
      <c r="C118" s="5" t="s">
        <v>695</v>
      </c>
      <c r="D118" s="6" t="s">
        <v>696</v>
      </c>
      <c r="E118" s="7" t="s">
        <v>8</v>
      </c>
      <c r="AD118" t="s">
        <v>797</v>
      </c>
    </row>
    <row r="119" spans="1:30" ht="15.75" x14ac:dyDescent="0.25">
      <c r="A119" s="4">
        <v>2</v>
      </c>
      <c r="B119" s="4">
        <v>14698</v>
      </c>
      <c r="C119" s="5" t="s">
        <v>188</v>
      </c>
      <c r="D119" s="6" t="s">
        <v>748</v>
      </c>
      <c r="E119" s="7" t="s">
        <v>8</v>
      </c>
      <c r="AD119" t="s">
        <v>797</v>
      </c>
    </row>
    <row r="120" spans="1:30" ht="15.75" x14ac:dyDescent="0.25">
      <c r="A120" s="4">
        <v>3</v>
      </c>
      <c r="B120" s="4">
        <v>14699</v>
      </c>
      <c r="C120" s="5" t="s">
        <v>436</v>
      </c>
      <c r="D120" s="6" t="s">
        <v>437</v>
      </c>
      <c r="E120" s="7" t="s">
        <v>7</v>
      </c>
      <c r="AD120" t="s">
        <v>798</v>
      </c>
    </row>
    <row r="121" spans="1:30" ht="15.75" x14ac:dyDescent="0.25">
      <c r="A121" s="4">
        <v>4</v>
      </c>
      <c r="B121" s="4">
        <v>14700</v>
      </c>
      <c r="C121" s="5" t="s">
        <v>139</v>
      </c>
      <c r="D121" s="6" t="s">
        <v>140</v>
      </c>
      <c r="E121" s="7" t="s">
        <v>8</v>
      </c>
      <c r="AD121" t="s">
        <v>799</v>
      </c>
    </row>
    <row r="122" spans="1:30" ht="15.75" x14ac:dyDescent="0.25">
      <c r="A122" s="4">
        <v>5</v>
      </c>
      <c r="B122" s="4">
        <v>14701</v>
      </c>
      <c r="C122" s="5" t="s">
        <v>420</v>
      </c>
      <c r="D122" s="6" t="s">
        <v>421</v>
      </c>
      <c r="E122" s="7" t="s">
        <v>7</v>
      </c>
      <c r="AD122" t="s">
        <v>802</v>
      </c>
    </row>
    <row r="123" spans="1:30" ht="15.75" x14ac:dyDescent="0.25">
      <c r="A123" s="4">
        <v>6</v>
      </c>
      <c r="B123" s="4">
        <v>14702</v>
      </c>
      <c r="C123" s="5" t="s">
        <v>111</v>
      </c>
      <c r="D123" s="6" t="s">
        <v>112</v>
      </c>
      <c r="E123" s="7" t="s">
        <v>8</v>
      </c>
      <c r="AD123" t="s">
        <v>800</v>
      </c>
    </row>
    <row r="124" spans="1:30" ht="15.75" x14ac:dyDescent="0.25">
      <c r="A124" s="4">
        <v>7</v>
      </c>
      <c r="B124" s="4">
        <v>14703</v>
      </c>
      <c r="C124" s="5" t="s">
        <v>367</v>
      </c>
      <c r="D124" s="6" t="s">
        <v>368</v>
      </c>
      <c r="E124" s="7" t="s">
        <v>8</v>
      </c>
      <c r="AD124" t="s">
        <v>793</v>
      </c>
    </row>
    <row r="125" spans="1:30" ht="15.75" x14ac:dyDescent="0.25">
      <c r="A125" s="4">
        <v>8</v>
      </c>
      <c r="B125" s="4">
        <v>14704</v>
      </c>
      <c r="C125" s="5" t="s">
        <v>716</v>
      </c>
      <c r="D125" s="6" t="s">
        <v>717</v>
      </c>
      <c r="E125" s="7" t="s">
        <v>8</v>
      </c>
      <c r="AD125" t="s">
        <v>800</v>
      </c>
    </row>
    <row r="126" spans="1:30" ht="15.75" x14ac:dyDescent="0.25">
      <c r="A126" s="4">
        <v>9</v>
      </c>
      <c r="B126" s="4">
        <v>14705</v>
      </c>
      <c r="C126" s="5" t="s">
        <v>226</v>
      </c>
      <c r="D126" s="6" t="s">
        <v>227</v>
      </c>
      <c r="E126" s="7" t="s">
        <v>8</v>
      </c>
      <c r="AD126" t="s">
        <v>794</v>
      </c>
    </row>
    <row r="127" spans="1:30" ht="15.75" x14ac:dyDescent="0.25">
      <c r="A127" s="4">
        <v>10</v>
      </c>
      <c r="B127" s="4">
        <v>14706</v>
      </c>
      <c r="C127" s="5" t="s">
        <v>307</v>
      </c>
      <c r="D127" s="6" t="s">
        <v>308</v>
      </c>
      <c r="E127" s="7" t="s">
        <v>7</v>
      </c>
      <c r="AD127" t="s">
        <v>795</v>
      </c>
    </row>
    <row r="128" spans="1:30" ht="15.75" x14ac:dyDescent="0.25">
      <c r="A128" s="4">
        <v>11</v>
      </c>
      <c r="B128" s="4">
        <v>14707</v>
      </c>
      <c r="C128" s="5" t="s">
        <v>444</v>
      </c>
      <c r="D128" s="6" t="s">
        <v>445</v>
      </c>
      <c r="E128" s="7" t="s">
        <v>7</v>
      </c>
      <c r="AD128" t="s">
        <v>798</v>
      </c>
    </row>
    <row r="129" spans="1:30" ht="15.75" x14ac:dyDescent="0.25">
      <c r="A129" s="4">
        <v>12</v>
      </c>
      <c r="B129" s="4">
        <v>14708</v>
      </c>
      <c r="C129" s="5" t="s">
        <v>70</v>
      </c>
      <c r="D129" s="6" t="s">
        <v>71</v>
      </c>
      <c r="E129" s="7" t="s">
        <v>7</v>
      </c>
      <c r="AD129" t="s">
        <v>794</v>
      </c>
    </row>
    <row r="130" spans="1:30" ht="15.75" x14ac:dyDescent="0.25">
      <c r="A130" s="4">
        <v>13</v>
      </c>
      <c r="B130" s="4">
        <v>14709</v>
      </c>
      <c r="C130" s="5" t="s">
        <v>722</v>
      </c>
      <c r="D130" s="6" t="s">
        <v>723</v>
      </c>
      <c r="E130" s="7" t="s">
        <v>8</v>
      </c>
      <c r="AD130" t="s">
        <v>793</v>
      </c>
    </row>
    <row r="131" spans="1:30" ht="15.75" x14ac:dyDescent="0.25">
      <c r="A131" s="4">
        <v>14</v>
      </c>
      <c r="B131" s="4">
        <v>14710</v>
      </c>
      <c r="C131" s="5" t="s">
        <v>359</v>
      </c>
      <c r="D131" s="6" t="s">
        <v>360</v>
      </c>
      <c r="E131" s="7" t="s">
        <v>7</v>
      </c>
      <c r="AD131" t="s">
        <v>800</v>
      </c>
    </row>
    <row r="132" spans="1:30" ht="15.75" x14ac:dyDescent="0.25">
      <c r="A132" s="4">
        <v>15</v>
      </c>
      <c r="B132" s="4">
        <v>14711</v>
      </c>
      <c r="C132" s="5" t="s">
        <v>491</v>
      </c>
      <c r="D132" s="6" t="s">
        <v>492</v>
      </c>
      <c r="E132" s="7" t="s">
        <v>7</v>
      </c>
      <c r="AD132" t="s">
        <v>798</v>
      </c>
    </row>
    <row r="133" spans="1:30" ht="15.75" x14ac:dyDescent="0.25">
      <c r="A133" s="4">
        <v>16</v>
      </c>
      <c r="B133" s="4">
        <v>14712</v>
      </c>
      <c r="C133" s="5" t="s">
        <v>475</v>
      </c>
      <c r="D133" s="6" t="s">
        <v>476</v>
      </c>
      <c r="E133" s="7" t="s">
        <v>7</v>
      </c>
      <c r="AD133" t="s">
        <v>795</v>
      </c>
    </row>
    <row r="134" spans="1:30" ht="15.75" x14ac:dyDescent="0.25">
      <c r="A134" s="4">
        <v>17</v>
      </c>
      <c r="B134" s="4">
        <v>14713</v>
      </c>
      <c r="C134" s="5" t="s">
        <v>338</v>
      </c>
      <c r="D134" s="6" t="s">
        <v>339</v>
      </c>
      <c r="E134" s="7" t="s">
        <v>7</v>
      </c>
      <c r="AD134" t="s">
        <v>793</v>
      </c>
    </row>
    <row r="135" spans="1:30" ht="15.75" x14ac:dyDescent="0.25">
      <c r="A135" s="4">
        <v>18</v>
      </c>
      <c r="B135" s="4">
        <v>14714</v>
      </c>
      <c r="C135" s="5" t="s">
        <v>272</v>
      </c>
      <c r="D135" s="6" t="s">
        <v>273</v>
      </c>
      <c r="E135" s="7" t="s">
        <v>7</v>
      </c>
      <c r="AD135" t="s">
        <v>794</v>
      </c>
    </row>
    <row r="136" spans="1:30" ht="15.75" x14ac:dyDescent="0.25">
      <c r="A136" s="4">
        <v>19</v>
      </c>
      <c r="B136" s="4">
        <v>14715</v>
      </c>
      <c r="C136" s="5" t="s">
        <v>218</v>
      </c>
      <c r="D136" s="6" t="s">
        <v>219</v>
      </c>
      <c r="E136" s="7" t="s">
        <v>8</v>
      </c>
      <c r="AD136" t="s">
        <v>794</v>
      </c>
    </row>
    <row r="137" spans="1:30" ht="15.75" x14ac:dyDescent="0.25">
      <c r="A137" s="4">
        <v>20</v>
      </c>
      <c r="B137" s="4">
        <v>14716</v>
      </c>
      <c r="C137" s="5" t="s">
        <v>564</v>
      </c>
      <c r="D137" s="6" t="s">
        <v>565</v>
      </c>
      <c r="E137" s="7" t="s">
        <v>7</v>
      </c>
      <c r="AD137" t="s">
        <v>799</v>
      </c>
    </row>
    <row r="138" spans="1:30" ht="15.75" x14ac:dyDescent="0.25">
      <c r="A138" s="4">
        <v>21</v>
      </c>
      <c r="B138" s="4">
        <v>14717</v>
      </c>
      <c r="C138" s="5" t="s">
        <v>517</v>
      </c>
      <c r="D138" s="6" t="s">
        <v>518</v>
      </c>
      <c r="E138" s="7" t="s">
        <v>8</v>
      </c>
      <c r="AD138" t="s">
        <v>795</v>
      </c>
    </row>
    <row r="139" spans="1:30" ht="15.75" x14ac:dyDescent="0.25">
      <c r="A139" s="4">
        <v>22</v>
      </c>
      <c r="B139" s="4">
        <v>14718</v>
      </c>
      <c r="C139" s="5" t="s">
        <v>483</v>
      </c>
      <c r="D139" s="6" t="s">
        <v>484</v>
      </c>
      <c r="E139" s="7" t="s">
        <v>8</v>
      </c>
      <c r="AD139" t="s">
        <v>796</v>
      </c>
    </row>
    <row r="140" spans="1:30" ht="15.75" x14ac:dyDescent="0.25">
      <c r="A140" s="4">
        <v>23</v>
      </c>
      <c r="B140" s="4">
        <v>14719</v>
      </c>
      <c r="C140" s="5" t="s">
        <v>127</v>
      </c>
      <c r="D140" s="6" t="s">
        <v>128</v>
      </c>
      <c r="E140" s="7" t="s">
        <v>8</v>
      </c>
      <c r="AD140" t="s">
        <v>801</v>
      </c>
    </row>
    <row r="141" spans="1:30" ht="15.75" x14ac:dyDescent="0.25">
      <c r="A141" s="4">
        <v>24</v>
      </c>
      <c r="B141" s="4">
        <v>14720</v>
      </c>
      <c r="C141" s="5" t="s">
        <v>596</v>
      </c>
      <c r="D141" s="6" t="s">
        <v>597</v>
      </c>
      <c r="E141" s="7" t="s">
        <v>8</v>
      </c>
      <c r="AD141" t="s">
        <v>798</v>
      </c>
    </row>
    <row r="142" spans="1:30" ht="15.75" x14ac:dyDescent="0.25">
      <c r="A142" s="4">
        <v>25</v>
      </c>
      <c r="B142" s="4">
        <v>14721</v>
      </c>
      <c r="C142" s="5" t="s">
        <v>66</v>
      </c>
      <c r="D142" s="6" t="s">
        <v>67</v>
      </c>
      <c r="E142" s="7" t="s">
        <v>7</v>
      </c>
      <c r="AD142" t="s">
        <v>802</v>
      </c>
    </row>
    <row r="143" spans="1:30" ht="15.75" x14ac:dyDescent="0.25">
      <c r="A143" s="4">
        <v>26</v>
      </c>
      <c r="B143" s="4">
        <v>14722</v>
      </c>
      <c r="C143" s="5" t="s">
        <v>400</v>
      </c>
      <c r="D143" s="6" t="s">
        <v>401</v>
      </c>
      <c r="E143" s="7" t="s">
        <v>8</v>
      </c>
      <c r="AD143" t="s">
        <v>798</v>
      </c>
    </row>
    <row r="144" spans="1:30" ht="15.75" x14ac:dyDescent="0.25">
      <c r="A144" s="4">
        <v>27</v>
      </c>
      <c r="B144" s="4">
        <v>14723</v>
      </c>
      <c r="C144" s="5" t="s">
        <v>592</v>
      </c>
      <c r="D144" s="6" t="s">
        <v>593</v>
      </c>
      <c r="E144" s="7" t="s">
        <v>8</v>
      </c>
      <c r="AD144" t="s">
        <v>802</v>
      </c>
    </row>
    <row r="145" spans="1:30" ht="15.75" x14ac:dyDescent="0.25">
      <c r="A145" s="4">
        <v>28</v>
      </c>
      <c r="B145" s="4">
        <v>14724</v>
      </c>
      <c r="C145" s="5" t="s">
        <v>691</v>
      </c>
      <c r="D145" s="6" t="s">
        <v>692</v>
      </c>
      <c r="E145" s="7" t="s">
        <v>7</v>
      </c>
      <c r="AD145" t="s">
        <v>799</v>
      </c>
    </row>
    <row r="146" spans="1:30" ht="15.75" x14ac:dyDescent="0.25">
      <c r="A146" s="4">
        <v>29</v>
      </c>
      <c r="B146" s="4">
        <v>14725</v>
      </c>
      <c r="C146" s="5" t="s">
        <v>34</v>
      </c>
      <c r="D146" s="6" t="s">
        <v>35</v>
      </c>
      <c r="E146" s="7" t="s">
        <v>7</v>
      </c>
      <c r="AD146" t="s">
        <v>802</v>
      </c>
    </row>
    <row r="147" spans="1:30" ht="15.75" x14ac:dyDescent="0.25">
      <c r="A147" s="4">
        <v>30</v>
      </c>
      <c r="B147" s="4">
        <v>14726</v>
      </c>
      <c r="C147" s="5" t="s">
        <v>467</v>
      </c>
      <c r="D147" s="6" t="s">
        <v>468</v>
      </c>
      <c r="E147" s="7" t="s">
        <v>7</v>
      </c>
      <c r="AD147" t="s">
        <v>794</v>
      </c>
    </row>
    <row r="148" spans="1:30" ht="15.75" x14ac:dyDescent="0.25">
      <c r="A148" s="4">
        <v>31</v>
      </c>
      <c r="B148" s="4">
        <v>14727</v>
      </c>
      <c r="C148" s="5" t="s">
        <v>103</v>
      </c>
      <c r="D148" s="6" t="s">
        <v>104</v>
      </c>
      <c r="E148" s="7" t="s">
        <v>8</v>
      </c>
      <c r="AD148" t="s">
        <v>794</v>
      </c>
    </row>
    <row r="149" spans="1:30" ht="15.75" x14ac:dyDescent="0.25">
      <c r="A149" s="4">
        <v>32</v>
      </c>
      <c r="B149" s="4">
        <v>14728</v>
      </c>
      <c r="C149" s="5" t="s">
        <v>105</v>
      </c>
      <c r="D149" s="6" t="s">
        <v>106</v>
      </c>
      <c r="E149" s="7" t="s">
        <v>8</v>
      </c>
      <c r="AD149" t="s">
        <v>793</v>
      </c>
    </row>
    <row r="150" spans="1:30" ht="15.75" x14ac:dyDescent="0.25">
      <c r="A150" s="4">
        <v>33</v>
      </c>
      <c r="B150" s="4">
        <v>14729</v>
      </c>
      <c r="C150" s="5" t="s">
        <v>81</v>
      </c>
      <c r="D150" s="6" t="s">
        <v>82</v>
      </c>
      <c r="E150" s="7" t="s">
        <v>8</v>
      </c>
      <c r="AD150" t="s">
        <v>797</v>
      </c>
    </row>
    <row r="151" spans="1:30" ht="15.75" x14ac:dyDescent="0.25">
      <c r="A151" s="4">
        <v>34</v>
      </c>
      <c r="B151" s="4">
        <v>14730</v>
      </c>
      <c r="C151" s="5" t="s">
        <v>559</v>
      </c>
      <c r="D151" s="6" t="s">
        <v>560</v>
      </c>
      <c r="E151" s="7" t="s">
        <v>7</v>
      </c>
      <c r="AD151" t="s">
        <v>799</v>
      </c>
    </row>
    <row r="152" spans="1:30" ht="15.75" x14ac:dyDescent="0.25">
      <c r="A152" s="4">
        <v>35</v>
      </c>
      <c r="B152" s="4">
        <v>14731</v>
      </c>
      <c r="C152" s="5" t="s">
        <v>588</v>
      </c>
      <c r="D152" s="6" t="s">
        <v>589</v>
      </c>
      <c r="E152" s="7" t="s">
        <v>8</v>
      </c>
      <c r="AD152" t="s">
        <v>799</v>
      </c>
    </row>
    <row r="153" spans="1:30" ht="15.75" x14ac:dyDescent="0.25">
      <c r="A153" s="4">
        <v>36</v>
      </c>
      <c r="B153" s="4">
        <v>14732</v>
      </c>
      <c r="C153" s="5" t="s">
        <v>97</v>
      </c>
      <c r="D153" s="6" t="s">
        <v>98</v>
      </c>
      <c r="E153" s="7" t="s">
        <v>7</v>
      </c>
      <c r="AD153" t="s">
        <v>797</v>
      </c>
    </row>
    <row r="154" spans="1:30" ht="15.75" x14ac:dyDescent="0.25">
      <c r="A154" s="4">
        <v>1</v>
      </c>
      <c r="B154" s="4">
        <v>14733</v>
      </c>
      <c r="C154" s="5" t="s">
        <v>714</v>
      </c>
      <c r="D154" s="6" t="s">
        <v>715</v>
      </c>
      <c r="E154" s="7" t="s">
        <v>8</v>
      </c>
      <c r="AD154" t="s">
        <v>798</v>
      </c>
    </row>
    <row r="155" spans="1:30" ht="15.75" x14ac:dyDescent="0.25">
      <c r="A155" s="4">
        <v>2</v>
      </c>
      <c r="B155" s="4">
        <v>14734</v>
      </c>
      <c r="C155" s="5" t="s">
        <v>515</v>
      </c>
      <c r="D155" s="6" t="s">
        <v>516</v>
      </c>
      <c r="E155" s="7" t="s">
        <v>7</v>
      </c>
      <c r="AD155" t="s">
        <v>794</v>
      </c>
    </row>
    <row r="156" spans="1:30" ht="15.75" x14ac:dyDescent="0.25">
      <c r="A156" s="4">
        <v>3</v>
      </c>
      <c r="B156" s="4">
        <v>14735</v>
      </c>
      <c r="C156" s="5" t="s">
        <v>708</v>
      </c>
      <c r="D156" s="6" t="s">
        <v>709</v>
      </c>
      <c r="E156" s="7" t="s">
        <v>7</v>
      </c>
      <c r="AD156" t="s">
        <v>800</v>
      </c>
    </row>
    <row r="157" spans="1:30" ht="15.75" x14ac:dyDescent="0.25">
      <c r="A157" s="4">
        <v>4</v>
      </c>
      <c r="B157" s="4">
        <v>14736</v>
      </c>
      <c r="C157" s="5" t="s">
        <v>600</v>
      </c>
      <c r="D157" s="6" t="s">
        <v>601</v>
      </c>
      <c r="E157" s="7" t="s">
        <v>7</v>
      </c>
      <c r="AD157" t="s">
        <v>799</v>
      </c>
    </row>
    <row r="158" spans="1:30" ht="15.75" x14ac:dyDescent="0.25">
      <c r="A158" s="4">
        <v>5</v>
      </c>
      <c r="B158" s="4">
        <v>14737</v>
      </c>
      <c r="C158" s="5" t="s">
        <v>608</v>
      </c>
      <c r="D158" s="6" t="s">
        <v>791</v>
      </c>
      <c r="E158" s="7" t="s">
        <v>7</v>
      </c>
      <c r="AD158" t="s">
        <v>796</v>
      </c>
    </row>
    <row r="159" spans="1:30" ht="15.75" x14ac:dyDescent="0.25">
      <c r="A159" s="4">
        <v>6</v>
      </c>
      <c r="B159" s="4">
        <v>14738</v>
      </c>
      <c r="C159" s="5" t="s">
        <v>503</v>
      </c>
      <c r="D159" s="6" t="s">
        <v>504</v>
      </c>
      <c r="E159" s="7" t="s">
        <v>7</v>
      </c>
      <c r="AD159" t="s">
        <v>796</v>
      </c>
    </row>
    <row r="160" spans="1:30" ht="15.75" x14ac:dyDescent="0.25">
      <c r="A160" s="4">
        <v>7</v>
      </c>
      <c r="B160" s="4">
        <v>14739</v>
      </c>
      <c r="C160" s="5" t="s">
        <v>14</v>
      </c>
      <c r="D160" s="6" t="s">
        <v>15</v>
      </c>
      <c r="E160" s="7" t="s">
        <v>8</v>
      </c>
      <c r="AD160" t="s">
        <v>801</v>
      </c>
    </row>
    <row r="161" spans="1:30" ht="15.75" x14ac:dyDescent="0.25">
      <c r="A161" s="4">
        <v>8</v>
      </c>
      <c r="B161" s="4">
        <v>14740</v>
      </c>
      <c r="C161" s="5" t="s">
        <v>572</v>
      </c>
      <c r="D161" s="6" t="s">
        <v>573</v>
      </c>
      <c r="E161" s="7" t="s">
        <v>8</v>
      </c>
      <c r="AD161" t="s">
        <v>798</v>
      </c>
    </row>
    <row r="162" spans="1:30" ht="15.75" x14ac:dyDescent="0.25">
      <c r="A162" s="4">
        <v>9</v>
      </c>
      <c r="B162" s="4">
        <v>14741</v>
      </c>
      <c r="C162" s="5" t="s">
        <v>647</v>
      </c>
      <c r="D162" s="6" t="s">
        <v>648</v>
      </c>
      <c r="E162" s="7" t="s">
        <v>7</v>
      </c>
      <c r="AD162" t="s">
        <v>799</v>
      </c>
    </row>
    <row r="163" spans="1:30" ht="15.75" x14ac:dyDescent="0.25">
      <c r="A163" s="4">
        <v>10</v>
      </c>
      <c r="B163" s="4">
        <v>14742</v>
      </c>
      <c r="C163" s="5" t="s">
        <v>347</v>
      </c>
      <c r="D163" s="6" t="s">
        <v>734</v>
      </c>
      <c r="E163" s="7" t="s">
        <v>7</v>
      </c>
      <c r="AD163" t="s">
        <v>800</v>
      </c>
    </row>
    <row r="164" spans="1:30" ht="15.75" x14ac:dyDescent="0.25">
      <c r="A164" s="4">
        <v>11</v>
      </c>
      <c r="B164" s="4">
        <v>14743</v>
      </c>
      <c r="C164" s="5" t="s">
        <v>208</v>
      </c>
      <c r="D164" s="6" t="s">
        <v>209</v>
      </c>
      <c r="E164" s="7" t="s">
        <v>7</v>
      </c>
      <c r="AD164" t="s">
        <v>797</v>
      </c>
    </row>
    <row r="165" spans="1:30" ht="15.75" x14ac:dyDescent="0.25">
      <c r="A165" s="4">
        <v>12</v>
      </c>
      <c r="B165" s="4">
        <v>14744</v>
      </c>
      <c r="C165" s="5" t="s">
        <v>712</v>
      </c>
      <c r="D165" s="6" t="s">
        <v>713</v>
      </c>
      <c r="E165" s="7" t="s">
        <v>8</v>
      </c>
      <c r="AD165" t="s">
        <v>799</v>
      </c>
    </row>
    <row r="166" spans="1:30" ht="15.75" x14ac:dyDescent="0.25">
      <c r="A166" s="4">
        <v>13</v>
      </c>
      <c r="B166" s="4">
        <v>14745</v>
      </c>
      <c r="C166" s="5" t="s">
        <v>529</v>
      </c>
      <c r="D166" s="6" t="s">
        <v>530</v>
      </c>
      <c r="E166" s="7" t="s">
        <v>7</v>
      </c>
      <c r="AD166" t="s">
        <v>795</v>
      </c>
    </row>
    <row r="167" spans="1:30" ht="15.75" x14ac:dyDescent="0.25">
      <c r="A167" s="4">
        <v>14</v>
      </c>
      <c r="B167" s="4">
        <v>14746</v>
      </c>
      <c r="C167" s="5" t="s">
        <v>763</v>
      </c>
      <c r="D167" s="6" t="s">
        <v>741</v>
      </c>
      <c r="E167" s="7" t="s">
        <v>7</v>
      </c>
      <c r="AD167" t="s">
        <v>793</v>
      </c>
    </row>
    <row r="168" spans="1:30" ht="15.75" x14ac:dyDescent="0.25">
      <c r="A168" s="4">
        <v>15</v>
      </c>
      <c r="B168" s="4">
        <v>14747</v>
      </c>
      <c r="C168" s="5" t="s">
        <v>767</v>
      </c>
      <c r="D168" s="6" t="s">
        <v>173</v>
      </c>
      <c r="E168" s="7" t="s">
        <v>8</v>
      </c>
      <c r="AD168" t="s">
        <v>799</v>
      </c>
    </row>
    <row r="169" spans="1:30" ht="15.75" x14ac:dyDescent="0.25">
      <c r="A169" s="4">
        <v>16</v>
      </c>
      <c r="B169" s="4">
        <v>14748</v>
      </c>
      <c r="C169" s="5" t="s">
        <v>222</v>
      </c>
      <c r="D169" s="6" t="s">
        <v>223</v>
      </c>
      <c r="E169" s="7" t="s">
        <v>7</v>
      </c>
      <c r="AD169" t="s">
        <v>801</v>
      </c>
    </row>
    <row r="170" spans="1:30" ht="15.75" x14ac:dyDescent="0.25">
      <c r="A170" s="4">
        <v>17</v>
      </c>
      <c r="B170" s="4">
        <v>14749</v>
      </c>
      <c r="C170" s="5" t="s">
        <v>62</v>
      </c>
      <c r="D170" s="6" t="s">
        <v>63</v>
      </c>
      <c r="E170" s="7" t="s">
        <v>7</v>
      </c>
      <c r="AD170" t="s">
        <v>794</v>
      </c>
    </row>
    <row r="171" spans="1:30" ht="15.75" x14ac:dyDescent="0.25">
      <c r="A171" s="4">
        <v>18</v>
      </c>
      <c r="B171" s="4">
        <v>14750</v>
      </c>
      <c r="C171" s="5" t="s">
        <v>55</v>
      </c>
      <c r="D171" s="6" t="s">
        <v>744</v>
      </c>
      <c r="E171" s="7" t="s">
        <v>7</v>
      </c>
      <c r="AD171" t="s">
        <v>800</v>
      </c>
    </row>
    <row r="172" spans="1:30" ht="15.75" x14ac:dyDescent="0.25">
      <c r="A172" s="4">
        <v>19</v>
      </c>
      <c r="B172" s="4">
        <v>14751</v>
      </c>
      <c r="C172" s="5" t="s">
        <v>584</v>
      </c>
      <c r="D172" s="6" t="s">
        <v>585</v>
      </c>
      <c r="E172" s="7" t="s">
        <v>7</v>
      </c>
      <c r="AD172" t="s">
        <v>794</v>
      </c>
    </row>
    <row r="173" spans="1:30" ht="15.75" x14ac:dyDescent="0.25">
      <c r="A173" s="4">
        <v>20</v>
      </c>
      <c r="B173" s="4">
        <v>14752</v>
      </c>
      <c r="C173" s="5" t="s">
        <v>622</v>
      </c>
      <c r="D173" s="6" t="s">
        <v>623</v>
      </c>
      <c r="E173" s="7" t="s">
        <v>7</v>
      </c>
      <c r="AD173" t="s">
        <v>801</v>
      </c>
    </row>
    <row r="174" spans="1:30" ht="15.75" x14ac:dyDescent="0.25">
      <c r="A174" s="4">
        <v>21</v>
      </c>
      <c r="B174" s="4">
        <v>14753</v>
      </c>
      <c r="C174" s="5" t="s">
        <v>107</v>
      </c>
      <c r="D174" s="6" t="s">
        <v>108</v>
      </c>
      <c r="E174" s="7" t="s">
        <v>7</v>
      </c>
      <c r="AD174" t="s">
        <v>798</v>
      </c>
    </row>
    <row r="175" spans="1:30" ht="15.75" x14ac:dyDescent="0.25">
      <c r="A175" s="4">
        <v>22</v>
      </c>
      <c r="B175" s="4">
        <v>14754</v>
      </c>
      <c r="C175" s="5" t="s">
        <v>406</v>
      </c>
      <c r="D175" s="5" t="s">
        <v>407</v>
      </c>
      <c r="E175" s="7" t="s">
        <v>7</v>
      </c>
      <c r="AD175" t="s">
        <v>797</v>
      </c>
    </row>
    <row r="176" spans="1:30" ht="15.75" x14ac:dyDescent="0.25">
      <c r="A176" s="4">
        <v>23</v>
      </c>
      <c r="B176" s="4">
        <v>14755</v>
      </c>
      <c r="C176" s="5" t="s">
        <v>319</v>
      </c>
      <c r="D176" s="6" t="s">
        <v>320</v>
      </c>
      <c r="E176" s="7" t="s">
        <v>7</v>
      </c>
      <c r="AD176" t="s">
        <v>802</v>
      </c>
    </row>
    <row r="177" spans="1:30" ht="15.75" x14ac:dyDescent="0.25">
      <c r="A177" s="4">
        <v>24</v>
      </c>
      <c r="B177" s="4">
        <v>14756</v>
      </c>
      <c r="C177" s="5" t="s">
        <v>212</v>
      </c>
      <c r="D177" s="6" t="s">
        <v>213</v>
      </c>
      <c r="E177" s="7" t="s">
        <v>7</v>
      </c>
      <c r="AD177" t="s">
        <v>799</v>
      </c>
    </row>
    <row r="178" spans="1:30" ht="15.75" x14ac:dyDescent="0.25">
      <c r="A178" s="4">
        <v>25</v>
      </c>
      <c r="B178" s="4">
        <v>14757</v>
      </c>
      <c r="C178" s="5" t="s">
        <v>365</v>
      </c>
      <c r="D178" s="6" t="s">
        <v>366</v>
      </c>
      <c r="E178" s="7" t="s">
        <v>7</v>
      </c>
      <c r="AD178" t="s">
        <v>795</v>
      </c>
    </row>
    <row r="179" spans="1:30" ht="15.75" x14ac:dyDescent="0.25">
      <c r="A179" s="4">
        <v>26</v>
      </c>
      <c r="B179" s="4">
        <v>14758</v>
      </c>
      <c r="C179" s="5" t="s">
        <v>295</v>
      </c>
      <c r="D179" s="6" t="s">
        <v>296</v>
      </c>
      <c r="E179" s="7" t="s">
        <v>7</v>
      </c>
      <c r="AD179" t="s">
        <v>799</v>
      </c>
    </row>
    <row r="180" spans="1:30" ht="15.75" x14ac:dyDescent="0.25">
      <c r="A180" s="4">
        <v>27</v>
      </c>
      <c r="B180" s="4">
        <v>14759</v>
      </c>
      <c r="C180" s="5" t="s">
        <v>248</v>
      </c>
      <c r="D180" s="6" t="s">
        <v>249</v>
      </c>
      <c r="E180" s="7" t="s">
        <v>8</v>
      </c>
      <c r="AD180" t="s">
        <v>802</v>
      </c>
    </row>
    <row r="181" spans="1:30" ht="15.75" x14ac:dyDescent="0.25">
      <c r="A181" s="4">
        <v>28</v>
      </c>
      <c r="B181" s="4">
        <v>14760</v>
      </c>
      <c r="C181" s="5" t="s">
        <v>566</v>
      </c>
      <c r="D181" s="6" t="s">
        <v>567</v>
      </c>
      <c r="E181" s="7" t="s">
        <v>8</v>
      </c>
      <c r="AD181" t="s">
        <v>796</v>
      </c>
    </row>
    <row r="182" spans="1:30" ht="15.75" x14ac:dyDescent="0.25">
      <c r="A182" s="4">
        <v>29</v>
      </c>
      <c r="B182" s="4">
        <v>14761</v>
      </c>
      <c r="C182" s="5" t="s">
        <v>384</v>
      </c>
      <c r="D182" s="6" t="s">
        <v>385</v>
      </c>
      <c r="E182" s="7" t="s">
        <v>8</v>
      </c>
      <c r="AD182" t="s">
        <v>802</v>
      </c>
    </row>
    <row r="183" spans="1:30" ht="15.75" x14ac:dyDescent="0.25">
      <c r="A183" s="4">
        <v>30</v>
      </c>
      <c r="B183" s="4">
        <v>14762</v>
      </c>
      <c r="C183" s="5" t="s">
        <v>250</v>
      </c>
      <c r="D183" s="6" t="s">
        <v>251</v>
      </c>
      <c r="E183" s="7" t="s">
        <v>7</v>
      </c>
      <c r="AD183" t="s">
        <v>800</v>
      </c>
    </row>
    <row r="184" spans="1:30" ht="15.75" x14ac:dyDescent="0.25">
      <c r="A184" s="4">
        <v>31</v>
      </c>
      <c r="B184" s="4">
        <v>14763</v>
      </c>
      <c r="C184" s="5" t="s">
        <v>244</v>
      </c>
      <c r="D184" s="6" t="s">
        <v>245</v>
      </c>
      <c r="E184" s="7" t="s">
        <v>8</v>
      </c>
      <c r="AD184" t="s">
        <v>798</v>
      </c>
    </row>
    <row r="185" spans="1:30" ht="15.75" x14ac:dyDescent="0.25">
      <c r="A185" s="4">
        <v>32</v>
      </c>
      <c r="B185" s="4">
        <v>14764</v>
      </c>
      <c r="C185" s="5" t="s">
        <v>214</v>
      </c>
      <c r="D185" s="6" t="s">
        <v>215</v>
      </c>
      <c r="E185" s="7" t="s">
        <v>7</v>
      </c>
      <c r="AD185" t="s">
        <v>798</v>
      </c>
    </row>
    <row r="186" spans="1:30" ht="15.75" x14ac:dyDescent="0.25">
      <c r="A186" s="4">
        <v>33</v>
      </c>
      <c r="B186" s="4">
        <v>14765</v>
      </c>
      <c r="C186" s="5" t="s">
        <v>20</v>
      </c>
      <c r="D186" s="6" t="s">
        <v>21</v>
      </c>
      <c r="E186" s="7" t="s">
        <v>7</v>
      </c>
      <c r="AD186" t="s">
        <v>793</v>
      </c>
    </row>
    <row r="187" spans="1:30" ht="15.75" x14ac:dyDescent="0.25">
      <c r="A187" s="4">
        <v>34</v>
      </c>
      <c r="B187" s="4">
        <v>14766</v>
      </c>
      <c r="C187" s="5" t="s">
        <v>240</v>
      </c>
      <c r="D187" s="6" t="s">
        <v>241</v>
      </c>
      <c r="E187" s="7" t="s">
        <v>7</v>
      </c>
      <c r="AD187" t="s">
        <v>798</v>
      </c>
    </row>
    <row r="188" spans="1:30" ht="15.75" x14ac:dyDescent="0.25">
      <c r="A188" s="4">
        <v>35</v>
      </c>
      <c r="B188" s="4">
        <v>14767</v>
      </c>
      <c r="C188" s="5" t="s">
        <v>260</v>
      </c>
      <c r="D188" s="6" t="s">
        <v>749</v>
      </c>
      <c r="E188" s="7" t="s">
        <v>8</v>
      </c>
      <c r="AD188" t="s">
        <v>795</v>
      </c>
    </row>
    <row r="189" spans="1:30" ht="15.75" x14ac:dyDescent="0.25">
      <c r="A189" s="4">
        <v>36</v>
      </c>
      <c r="B189" s="4">
        <v>14768</v>
      </c>
      <c r="C189" s="5" t="s">
        <v>679</v>
      </c>
      <c r="D189" s="5" t="s">
        <v>680</v>
      </c>
      <c r="E189" s="7" t="s">
        <v>8</v>
      </c>
      <c r="AD189" t="s">
        <v>793</v>
      </c>
    </row>
    <row r="190" spans="1:30" ht="15.75" x14ac:dyDescent="0.25">
      <c r="A190" s="4">
        <v>1</v>
      </c>
      <c r="B190" s="4">
        <v>14769</v>
      </c>
      <c r="C190" s="5" t="s">
        <v>539</v>
      </c>
      <c r="D190" s="6" t="s">
        <v>540</v>
      </c>
      <c r="E190" s="7" t="s">
        <v>7</v>
      </c>
      <c r="AD190" t="s">
        <v>795</v>
      </c>
    </row>
    <row r="191" spans="1:30" ht="15.75" x14ac:dyDescent="0.25">
      <c r="A191" s="4">
        <v>2</v>
      </c>
      <c r="B191" s="4">
        <v>14770</v>
      </c>
      <c r="C191" s="5" t="s">
        <v>557</v>
      </c>
      <c r="D191" s="6" t="s">
        <v>558</v>
      </c>
      <c r="E191" s="7" t="s">
        <v>7</v>
      </c>
      <c r="AD191" t="s">
        <v>800</v>
      </c>
    </row>
    <row r="192" spans="1:30" ht="15.75" x14ac:dyDescent="0.25">
      <c r="A192" s="4">
        <v>3</v>
      </c>
      <c r="B192" s="4">
        <v>14771</v>
      </c>
      <c r="C192" s="5" t="s">
        <v>291</v>
      </c>
      <c r="D192" s="6" t="s">
        <v>292</v>
      </c>
      <c r="E192" s="7" t="s">
        <v>8</v>
      </c>
      <c r="AD192" t="s">
        <v>796</v>
      </c>
    </row>
    <row r="193" spans="1:30" ht="15.75" x14ac:dyDescent="0.25">
      <c r="A193" s="4">
        <v>4</v>
      </c>
      <c r="B193" s="4">
        <v>14772</v>
      </c>
      <c r="C193" s="5" t="s">
        <v>228</v>
      </c>
      <c r="D193" s="6" t="s">
        <v>229</v>
      </c>
      <c r="E193" s="7" t="s">
        <v>7</v>
      </c>
      <c r="AD193" t="s">
        <v>793</v>
      </c>
    </row>
    <row r="194" spans="1:30" ht="15.75" x14ac:dyDescent="0.25">
      <c r="A194" s="4">
        <v>5</v>
      </c>
      <c r="B194" s="4">
        <v>14773</v>
      </c>
      <c r="C194" s="5" t="s">
        <v>91</v>
      </c>
      <c r="D194" s="6" t="s">
        <v>92</v>
      </c>
      <c r="E194" s="7" t="s">
        <v>7</v>
      </c>
      <c r="AD194" t="s">
        <v>800</v>
      </c>
    </row>
    <row r="195" spans="1:30" ht="15.75" x14ac:dyDescent="0.25">
      <c r="A195" s="4">
        <v>6</v>
      </c>
      <c r="B195" s="4">
        <v>14774</v>
      </c>
      <c r="C195" s="5" t="s">
        <v>51</v>
      </c>
      <c r="D195" s="6" t="s">
        <v>738</v>
      </c>
      <c r="E195" s="7" t="s">
        <v>7</v>
      </c>
      <c r="AD195" t="s">
        <v>802</v>
      </c>
    </row>
    <row r="196" spans="1:30" ht="15.75" x14ac:dyDescent="0.25">
      <c r="A196" s="4">
        <v>7</v>
      </c>
      <c r="B196" s="4">
        <v>14775</v>
      </c>
      <c r="C196" s="5" t="s">
        <v>323</v>
      </c>
      <c r="D196" s="6" t="s">
        <v>324</v>
      </c>
      <c r="E196" s="7" t="s">
        <v>8</v>
      </c>
      <c r="AD196" t="s">
        <v>800</v>
      </c>
    </row>
    <row r="197" spans="1:30" ht="15.75" x14ac:dyDescent="0.25">
      <c r="A197" s="4">
        <v>8</v>
      </c>
      <c r="B197" s="4">
        <v>14776</v>
      </c>
      <c r="C197" s="5" t="s">
        <v>438</v>
      </c>
      <c r="D197" s="6" t="s">
        <v>439</v>
      </c>
      <c r="E197" s="7" t="s">
        <v>7</v>
      </c>
      <c r="AD197" t="s">
        <v>797</v>
      </c>
    </row>
    <row r="198" spans="1:30" ht="15.75" x14ac:dyDescent="0.25">
      <c r="A198" s="4">
        <v>9</v>
      </c>
      <c r="B198" s="4">
        <v>14777</v>
      </c>
      <c r="C198" s="5" t="s">
        <v>704</v>
      </c>
      <c r="D198" s="5" t="s">
        <v>705</v>
      </c>
      <c r="E198" s="7" t="s">
        <v>7</v>
      </c>
      <c r="AD198" t="s">
        <v>800</v>
      </c>
    </row>
    <row r="199" spans="1:30" ht="15.75" x14ac:dyDescent="0.25">
      <c r="A199" s="4">
        <v>10</v>
      </c>
      <c r="B199" s="4">
        <v>14778</v>
      </c>
      <c r="C199" s="5" t="s">
        <v>616</v>
      </c>
      <c r="D199" s="6" t="s">
        <v>617</v>
      </c>
      <c r="E199" s="7" t="s">
        <v>8</v>
      </c>
      <c r="AD199" t="s">
        <v>794</v>
      </c>
    </row>
    <row r="200" spans="1:30" ht="15.75" x14ac:dyDescent="0.25">
      <c r="A200" s="4">
        <v>11</v>
      </c>
      <c r="B200" s="4">
        <v>14779</v>
      </c>
      <c r="C200" s="5" t="s">
        <v>479</v>
      </c>
      <c r="D200" s="6" t="s">
        <v>480</v>
      </c>
      <c r="E200" s="7" t="s">
        <v>8</v>
      </c>
      <c r="AD200" t="s">
        <v>802</v>
      </c>
    </row>
    <row r="201" spans="1:30" ht="15.75" x14ac:dyDescent="0.25">
      <c r="A201" s="4">
        <v>12</v>
      </c>
      <c r="B201" s="4">
        <v>14780</v>
      </c>
      <c r="C201" s="8" t="s">
        <v>149</v>
      </c>
      <c r="D201" s="6" t="s">
        <v>150</v>
      </c>
      <c r="E201" s="7" t="s">
        <v>8</v>
      </c>
      <c r="AD201" t="s">
        <v>800</v>
      </c>
    </row>
    <row r="202" spans="1:30" ht="15.75" x14ac:dyDescent="0.25">
      <c r="A202" s="4">
        <v>13</v>
      </c>
      <c r="B202" s="4">
        <v>14781</v>
      </c>
      <c r="C202" s="5" t="s">
        <v>525</v>
      </c>
      <c r="D202" s="6" t="s">
        <v>526</v>
      </c>
      <c r="E202" s="7" t="s">
        <v>8</v>
      </c>
      <c r="AD202" t="s">
        <v>798</v>
      </c>
    </row>
    <row r="203" spans="1:30" ht="15.75" x14ac:dyDescent="0.25">
      <c r="A203" s="4">
        <v>14</v>
      </c>
      <c r="B203" s="4">
        <v>14782</v>
      </c>
      <c r="C203" s="5" t="s">
        <v>378</v>
      </c>
      <c r="D203" s="6" t="s">
        <v>379</v>
      </c>
      <c r="E203" s="7" t="s">
        <v>8</v>
      </c>
      <c r="AD203" t="s">
        <v>796</v>
      </c>
    </row>
    <row r="204" spans="1:30" ht="15.75" x14ac:dyDescent="0.25">
      <c r="A204" s="4">
        <v>15</v>
      </c>
      <c r="B204" s="4">
        <v>14783</v>
      </c>
      <c r="C204" s="5" t="s">
        <v>505</v>
      </c>
      <c r="D204" s="5" t="s">
        <v>506</v>
      </c>
      <c r="E204" s="7" t="s">
        <v>8</v>
      </c>
      <c r="AD204" t="s">
        <v>794</v>
      </c>
    </row>
    <row r="205" spans="1:30" ht="15.75" x14ac:dyDescent="0.25">
      <c r="A205" s="4">
        <v>16</v>
      </c>
      <c r="B205" s="4">
        <v>14784</v>
      </c>
      <c r="C205" s="5" t="s">
        <v>89</v>
      </c>
      <c r="D205" s="6" t="s">
        <v>90</v>
      </c>
      <c r="E205" s="7" t="s">
        <v>8</v>
      </c>
      <c r="AD205" t="s">
        <v>801</v>
      </c>
    </row>
    <row r="206" spans="1:30" ht="15.75" x14ac:dyDescent="0.25">
      <c r="A206" s="4">
        <v>17</v>
      </c>
      <c r="B206" s="4">
        <v>14785</v>
      </c>
      <c r="C206" s="5" t="s">
        <v>428</v>
      </c>
      <c r="D206" s="6" t="s">
        <v>429</v>
      </c>
      <c r="E206" s="7" t="s">
        <v>8</v>
      </c>
      <c r="AD206" t="s">
        <v>800</v>
      </c>
    </row>
    <row r="207" spans="1:30" ht="15.75" x14ac:dyDescent="0.25">
      <c r="A207" s="4">
        <v>18</v>
      </c>
      <c r="B207" s="4">
        <v>14786</v>
      </c>
      <c r="C207" s="5" t="s">
        <v>434</v>
      </c>
      <c r="D207" s="6" t="s">
        <v>435</v>
      </c>
      <c r="E207" s="7" t="s">
        <v>8</v>
      </c>
      <c r="AD207" t="s">
        <v>797</v>
      </c>
    </row>
    <row r="208" spans="1:30" ht="15.75" x14ac:dyDescent="0.25">
      <c r="A208" s="4">
        <v>19</v>
      </c>
      <c r="B208" s="4">
        <v>14787</v>
      </c>
      <c r="C208" s="5" t="s">
        <v>501</v>
      </c>
      <c r="D208" s="6" t="s">
        <v>502</v>
      </c>
      <c r="E208" s="7" t="s">
        <v>8</v>
      </c>
      <c r="AD208" t="s">
        <v>798</v>
      </c>
    </row>
    <row r="209" spans="1:30" ht="15.75" x14ac:dyDescent="0.25">
      <c r="A209" s="4">
        <v>20</v>
      </c>
      <c r="B209" s="4">
        <v>14788</v>
      </c>
      <c r="C209" s="5" t="s">
        <v>332</v>
      </c>
      <c r="D209" s="6" t="s">
        <v>333</v>
      </c>
      <c r="E209" s="7" t="s">
        <v>8</v>
      </c>
      <c r="AD209" t="s">
        <v>795</v>
      </c>
    </row>
    <row r="210" spans="1:30" ht="15.75" x14ac:dyDescent="0.25">
      <c r="A210" s="4">
        <v>21</v>
      </c>
      <c r="B210" s="4">
        <v>14789</v>
      </c>
      <c r="C210" s="5" t="s">
        <v>580</v>
      </c>
      <c r="D210" s="6" t="s">
        <v>581</v>
      </c>
      <c r="E210" s="7" t="s">
        <v>8</v>
      </c>
      <c r="AD210" t="s">
        <v>799</v>
      </c>
    </row>
    <row r="211" spans="1:30" ht="15.75" x14ac:dyDescent="0.25">
      <c r="A211" s="4">
        <v>22</v>
      </c>
      <c r="B211" s="4">
        <v>14790</v>
      </c>
      <c r="C211" s="5" t="s">
        <v>545</v>
      </c>
      <c r="D211" s="6" t="s">
        <v>546</v>
      </c>
      <c r="E211" s="7" t="s">
        <v>8</v>
      </c>
      <c r="AD211" t="s">
        <v>801</v>
      </c>
    </row>
    <row r="212" spans="1:30" ht="15.75" x14ac:dyDescent="0.25">
      <c r="A212" s="4">
        <v>23</v>
      </c>
      <c r="B212" s="4">
        <v>14791</v>
      </c>
      <c r="C212" s="5" t="s">
        <v>287</v>
      </c>
      <c r="D212" s="6" t="s">
        <v>288</v>
      </c>
      <c r="E212" s="7" t="s">
        <v>8</v>
      </c>
      <c r="AD212" t="s">
        <v>795</v>
      </c>
    </row>
    <row r="213" spans="1:30" ht="15.75" x14ac:dyDescent="0.25">
      <c r="A213" s="4">
        <v>24</v>
      </c>
      <c r="B213" s="4">
        <v>14792</v>
      </c>
      <c r="C213" s="5" t="s">
        <v>317</v>
      </c>
      <c r="D213" s="6" t="s">
        <v>318</v>
      </c>
      <c r="E213" s="7" t="s">
        <v>8</v>
      </c>
      <c r="AD213" t="s">
        <v>796</v>
      </c>
    </row>
    <row r="214" spans="1:30" ht="15.75" x14ac:dyDescent="0.25">
      <c r="A214" s="4">
        <v>25</v>
      </c>
      <c r="B214" s="4">
        <v>14793</v>
      </c>
      <c r="C214" s="5" t="s">
        <v>303</v>
      </c>
      <c r="D214" s="6" t="s">
        <v>304</v>
      </c>
      <c r="E214" s="7" t="s">
        <v>8</v>
      </c>
      <c r="AD214" t="s">
        <v>801</v>
      </c>
    </row>
    <row r="215" spans="1:30" ht="15.75" x14ac:dyDescent="0.25">
      <c r="A215" s="4">
        <v>26</v>
      </c>
      <c r="B215" s="4">
        <v>14794</v>
      </c>
      <c r="C215" s="5" t="s">
        <v>626</v>
      </c>
      <c r="D215" s="6" t="s">
        <v>787</v>
      </c>
      <c r="E215" s="7" t="s">
        <v>8</v>
      </c>
      <c r="AD215" t="s">
        <v>800</v>
      </c>
    </row>
    <row r="216" spans="1:30" ht="15.75" x14ac:dyDescent="0.25">
      <c r="A216" s="4">
        <v>27</v>
      </c>
      <c r="B216" s="4">
        <v>14795</v>
      </c>
      <c r="C216" s="5" t="s">
        <v>382</v>
      </c>
      <c r="D216" s="6" t="s">
        <v>383</v>
      </c>
      <c r="E216" s="7" t="s">
        <v>8</v>
      </c>
      <c r="AD216" t="s">
        <v>794</v>
      </c>
    </row>
    <row r="217" spans="1:30" ht="15.75" x14ac:dyDescent="0.25">
      <c r="A217" s="4">
        <v>28</v>
      </c>
      <c r="B217" s="4">
        <v>14796</v>
      </c>
      <c r="C217" s="5" t="s">
        <v>99</v>
      </c>
      <c r="D217" s="5" t="s">
        <v>100</v>
      </c>
      <c r="E217" s="7" t="s">
        <v>8</v>
      </c>
      <c r="AD217" t="s">
        <v>802</v>
      </c>
    </row>
    <row r="218" spans="1:30" ht="15.75" x14ac:dyDescent="0.25">
      <c r="A218" s="4">
        <v>29</v>
      </c>
      <c r="B218" s="4">
        <v>14797</v>
      </c>
      <c r="C218" s="5" t="s">
        <v>462</v>
      </c>
      <c r="D218" s="6" t="s">
        <v>463</v>
      </c>
      <c r="E218" s="7" t="s">
        <v>8</v>
      </c>
      <c r="AD218" t="s">
        <v>802</v>
      </c>
    </row>
    <row r="219" spans="1:30" ht="15.75" x14ac:dyDescent="0.25">
      <c r="A219" s="4">
        <v>30</v>
      </c>
      <c r="B219" s="4">
        <v>14798</v>
      </c>
      <c r="C219" s="5" t="s">
        <v>471</v>
      </c>
      <c r="D219" s="6" t="s">
        <v>472</v>
      </c>
      <c r="E219" s="7" t="s">
        <v>8</v>
      </c>
      <c r="AD219" t="s">
        <v>797</v>
      </c>
    </row>
    <row r="220" spans="1:30" ht="15.75" x14ac:dyDescent="0.25">
      <c r="A220" s="4">
        <v>31</v>
      </c>
      <c r="B220" s="4">
        <v>14799</v>
      </c>
      <c r="C220" s="5" t="s">
        <v>706</v>
      </c>
      <c r="D220" s="23" t="s">
        <v>707</v>
      </c>
      <c r="E220" s="7" t="s">
        <v>8</v>
      </c>
      <c r="AD220" t="s">
        <v>793</v>
      </c>
    </row>
    <row r="221" spans="1:30" ht="15.75" x14ac:dyDescent="0.25">
      <c r="A221" s="4">
        <v>32</v>
      </c>
      <c r="B221" s="4">
        <v>14800</v>
      </c>
      <c r="C221" s="5" t="s">
        <v>551</v>
      </c>
      <c r="D221" s="6" t="s">
        <v>552</v>
      </c>
      <c r="E221" s="7" t="s">
        <v>8</v>
      </c>
      <c r="AD221" t="s">
        <v>800</v>
      </c>
    </row>
    <row r="222" spans="1:30" ht="15.75" x14ac:dyDescent="0.25">
      <c r="A222" s="4">
        <v>33</v>
      </c>
      <c r="B222" s="4">
        <v>14801</v>
      </c>
      <c r="C222" s="5" t="s">
        <v>586</v>
      </c>
      <c r="D222" s="6" t="s">
        <v>587</v>
      </c>
      <c r="E222" s="7" t="s">
        <v>8</v>
      </c>
      <c r="AD222" t="s">
        <v>798</v>
      </c>
    </row>
    <row r="223" spans="1:30" ht="15.75" x14ac:dyDescent="0.25">
      <c r="A223" s="4">
        <v>34</v>
      </c>
      <c r="B223" s="4">
        <v>14802</v>
      </c>
      <c r="C223" s="5" t="s">
        <v>404</v>
      </c>
      <c r="D223" s="5" t="s">
        <v>405</v>
      </c>
      <c r="E223" s="7" t="s">
        <v>8</v>
      </c>
      <c r="AD223" t="s">
        <v>801</v>
      </c>
    </row>
    <row r="224" spans="1:30" ht="15.75" x14ac:dyDescent="0.25">
      <c r="A224" s="4">
        <v>35</v>
      </c>
      <c r="B224" s="4">
        <v>14803</v>
      </c>
      <c r="C224" s="5" t="s">
        <v>651</v>
      </c>
      <c r="D224" s="5" t="s">
        <v>652</v>
      </c>
      <c r="E224" s="7" t="s">
        <v>8</v>
      </c>
      <c r="AD224" t="s">
        <v>798</v>
      </c>
    </row>
    <row r="225" spans="1:30" ht="15.75" x14ac:dyDescent="0.25">
      <c r="A225" s="4">
        <v>36</v>
      </c>
      <c r="B225" s="4">
        <v>14804</v>
      </c>
      <c r="C225" s="5" t="s">
        <v>216</v>
      </c>
      <c r="D225" s="6" t="s">
        <v>217</v>
      </c>
      <c r="E225" s="7" t="s">
        <v>8</v>
      </c>
      <c r="AD225" t="s">
        <v>800</v>
      </c>
    </row>
    <row r="226" spans="1:30" ht="15.75" x14ac:dyDescent="0.25">
      <c r="A226" s="4">
        <v>1</v>
      </c>
      <c r="B226" s="4">
        <v>14805</v>
      </c>
      <c r="C226" s="5" t="s">
        <v>535</v>
      </c>
      <c r="D226" s="23" t="s">
        <v>536</v>
      </c>
      <c r="E226" s="7" t="s">
        <v>8</v>
      </c>
      <c r="AD226" t="s">
        <v>795</v>
      </c>
    </row>
    <row r="227" spans="1:30" ht="15.75" x14ac:dyDescent="0.25">
      <c r="A227" s="4">
        <v>2</v>
      </c>
      <c r="B227" s="4">
        <v>14806</v>
      </c>
      <c r="C227" s="5" t="s">
        <v>311</v>
      </c>
      <c r="D227" s="6" t="s">
        <v>789</v>
      </c>
      <c r="E227" s="7" t="s">
        <v>8</v>
      </c>
      <c r="AD227" t="s">
        <v>799</v>
      </c>
    </row>
    <row r="228" spans="1:30" ht="15.75" x14ac:dyDescent="0.25">
      <c r="A228" s="4">
        <v>3</v>
      </c>
      <c r="B228" s="4">
        <v>14807</v>
      </c>
      <c r="C228" s="5" t="s">
        <v>151</v>
      </c>
      <c r="D228" s="6" t="s">
        <v>152</v>
      </c>
      <c r="E228" s="7" t="s">
        <v>8</v>
      </c>
      <c r="AD228" t="s">
        <v>794</v>
      </c>
    </row>
    <row r="229" spans="1:30" ht="15.75" x14ac:dyDescent="0.25">
      <c r="A229" s="4">
        <v>4</v>
      </c>
      <c r="B229" s="4">
        <v>14808</v>
      </c>
      <c r="C229" s="5" t="s">
        <v>541</v>
      </c>
      <c r="D229" s="6" t="s">
        <v>542</v>
      </c>
      <c r="E229" s="7" t="s">
        <v>8</v>
      </c>
      <c r="AD229" t="s">
        <v>801</v>
      </c>
    </row>
    <row r="230" spans="1:30" ht="15.75" x14ac:dyDescent="0.25">
      <c r="A230" s="4">
        <v>5</v>
      </c>
      <c r="B230" s="4">
        <v>14809</v>
      </c>
      <c r="C230" s="5" t="s">
        <v>256</v>
      </c>
      <c r="D230" s="6" t="s">
        <v>257</v>
      </c>
      <c r="E230" s="7" t="s">
        <v>8</v>
      </c>
      <c r="AD230" t="s">
        <v>793</v>
      </c>
    </row>
    <row r="231" spans="1:30" ht="15.75" x14ac:dyDescent="0.25">
      <c r="A231" s="4">
        <v>6</v>
      </c>
      <c r="B231" s="4">
        <v>14810</v>
      </c>
      <c r="C231" s="5" t="s">
        <v>398</v>
      </c>
      <c r="D231" s="6" t="s">
        <v>399</v>
      </c>
      <c r="E231" s="7" t="s">
        <v>8</v>
      </c>
      <c r="AD231" t="s">
        <v>795</v>
      </c>
    </row>
    <row r="232" spans="1:30" ht="15.75" x14ac:dyDescent="0.25">
      <c r="A232" s="4">
        <v>7</v>
      </c>
      <c r="B232" s="4">
        <v>14811</v>
      </c>
      <c r="C232" s="5" t="s">
        <v>460</v>
      </c>
      <c r="D232" s="6" t="s">
        <v>461</v>
      </c>
      <c r="E232" s="7" t="s">
        <v>8</v>
      </c>
      <c r="AD232" t="s">
        <v>797</v>
      </c>
    </row>
    <row r="233" spans="1:30" ht="15.75" x14ac:dyDescent="0.25">
      <c r="A233" s="4">
        <v>8</v>
      </c>
      <c r="B233" s="4">
        <v>14812</v>
      </c>
      <c r="C233" s="5" t="s">
        <v>115</v>
      </c>
      <c r="D233" s="5" t="s">
        <v>116</v>
      </c>
      <c r="E233" s="7" t="s">
        <v>8</v>
      </c>
      <c r="AD233" t="s">
        <v>798</v>
      </c>
    </row>
    <row r="234" spans="1:30" ht="15.75" x14ac:dyDescent="0.25">
      <c r="A234" s="4">
        <v>9</v>
      </c>
      <c r="B234" s="4">
        <v>14813</v>
      </c>
      <c r="C234" s="5" t="s">
        <v>380</v>
      </c>
      <c r="D234" s="23" t="s">
        <v>381</v>
      </c>
      <c r="E234" s="7" t="s">
        <v>8</v>
      </c>
      <c r="AD234" t="s">
        <v>795</v>
      </c>
    </row>
    <row r="235" spans="1:30" ht="15.75" x14ac:dyDescent="0.25">
      <c r="A235" s="4">
        <v>10</v>
      </c>
      <c r="B235" s="4">
        <v>14814</v>
      </c>
      <c r="C235" s="5" t="s">
        <v>342</v>
      </c>
      <c r="D235" s="6" t="s">
        <v>343</v>
      </c>
      <c r="E235" s="7" t="s">
        <v>8</v>
      </c>
      <c r="AD235" t="s">
        <v>796</v>
      </c>
    </row>
    <row r="236" spans="1:30" ht="15.75" x14ac:dyDescent="0.25">
      <c r="A236" s="4">
        <v>11</v>
      </c>
      <c r="B236" s="4">
        <v>14815</v>
      </c>
      <c r="C236" s="5" t="s">
        <v>68</v>
      </c>
      <c r="D236" s="6" t="s">
        <v>753</v>
      </c>
      <c r="E236" s="7" t="s">
        <v>8</v>
      </c>
      <c r="AD236" t="s">
        <v>801</v>
      </c>
    </row>
    <row r="237" spans="1:30" ht="15.75" x14ac:dyDescent="0.25">
      <c r="A237" s="4">
        <v>12</v>
      </c>
      <c r="B237" s="4">
        <v>14816</v>
      </c>
      <c r="C237" s="5" t="s">
        <v>675</v>
      </c>
      <c r="D237" s="6" t="s">
        <v>676</v>
      </c>
      <c r="E237" s="7" t="s">
        <v>8</v>
      </c>
      <c r="AD237" t="s">
        <v>802</v>
      </c>
    </row>
    <row r="238" spans="1:30" ht="15.75" x14ac:dyDescent="0.25">
      <c r="A238" s="4">
        <v>13</v>
      </c>
      <c r="B238" s="4">
        <v>14817</v>
      </c>
      <c r="C238" s="5" t="s">
        <v>653</v>
      </c>
      <c r="D238" s="6" t="s">
        <v>654</v>
      </c>
      <c r="E238" s="7" t="s">
        <v>8</v>
      </c>
      <c r="AD238" t="s">
        <v>794</v>
      </c>
    </row>
    <row r="239" spans="1:30" ht="15.75" x14ac:dyDescent="0.25">
      <c r="A239" s="4">
        <v>14</v>
      </c>
      <c r="B239" s="4">
        <v>14818</v>
      </c>
      <c r="C239" s="5" t="s">
        <v>426</v>
      </c>
      <c r="D239" s="6" t="s">
        <v>427</v>
      </c>
      <c r="E239" s="7" t="s">
        <v>8</v>
      </c>
      <c r="AD239" t="s">
        <v>797</v>
      </c>
    </row>
    <row r="240" spans="1:30" ht="15.75" x14ac:dyDescent="0.25">
      <c r="A240" s="4">
        <v>15</v>
      </c>
      <c r="B240" s="4">
        <v>14819</v>
      </c>
      <c r="C240" s="5" t="s">
        <v>351</v>
      </c>
      <c r="D240" s="6" t="s">
        <v>754</v>
      </c>
      <c r="E240" s="7" t="s">
        <v>8</v>
      </c>
      <c r="AD240" t="s">
        <v>796</v>
      </c>
    </row>
    <row r="241" spans="1:30" ht="15.75" x14ac:dyDescent="0.25">
      <c r="A241" s="4">
        <v>16</v>
      </c>
      <c r="B241" s="4">
        <v>14820</v>
      </c>
      <c r="C241" s="5" t="s">
        <v>677</v>
      </c>
      <c r="D241" s="5" t="s">
        <v>745</v>
      </c>
      <c r="E241" s="7" t="s">
        <v>8</v>
      </c>
      <c r="AD241" t="s">
        <v>797</v>
      </c>
    </row>
    <row r="242" spans="1:30" ht="15.75" x14ac:dyDescent="0.25">
      <c r="A242" s="4">
        <v>17</v>
      </c>
      <c r="B242" s="4">
        <v>14821</v>
      </c>
      <c r="C242" s="5" t="s">
        <v>555</v>
      </c>
      <c r="D242" s="5" t="s">
        <v>750</v>
      </c>
      <c r="E242" s="7" t="s">
        <v>8</v>
      </c>
      <c r="AD242" t="s">
        <v>793</v>
      </c>
    </row>
    <row r="243" spans="1:30" ht="15.75" x14ac:dyDescent="0.25">
      <c r="A243" s="4">
        <v>18</v>
      </c>
      <c r="B243" s="4">
        <v>14822</v>
      </c>
      <c r="C243" s="5" t="s">
        <v>101</v>
      </c>
      <c r="D243" s="6" t="s">
        <v>102</v>
      </c>
      <c r="E243" s="7" t="s">
        <v>8</v>
      </c>
      <c r="AD243" t="s">
        <v>796</v>
      </c>
    </row>
    <row r="244" spans="1:30" ht="15.75" x14ac:dyDescent="0.25">
      <c r="A244" s="4">
        <v>19</v>
      </c>
      <c r="B244" s="4">
        <v>14823</v>
      </c>
      <c r="C244" s="5" t="s">
        <v>129</v>
      </c>
      <c r="D244" s="5" t="s">
        <v>130</v>
      </c>
      <c r="E244" s="7" t="s">
        <v>8</v>
      </c>
      <c r="AD244" t="s">
        <v>801</v>
      </c>
    </row>
    <row r="245" spans="1:30" ht="15.75" x14ac:dyDescent="0.25">
      <c r="A245" s="4">
        <v>20</v>
      </c>
      <c r="B245" s="4">
        <v>14824</v>
      </c>
      <c r="C245" s="5" t="s">
        <v>357</v>
      </c>
      <c r="D245" s="6" t="s">
        <v>358</v>
      </c>
      <c r="E245" s="7" t="s">
        <v>8</v>
      </c>
      <c r="AD245" t="s">
        <v>795</v>
      </c>
    </row>
    <row r="246" spans="1:30" ht="15.75" x14ac:dyDescent="0.25">
      <c r="A246" s="4">
        <v>21</v>
      </c>
      <c r="B246" s="4">
        <v>14825</v>
      </c>
      <c r="C246" s="5" t="s">
        <v>473</v>
      </c>
      <c r="D246" s="6" t="s">
        <v>474</v>
      </c>
      <c r="E246" s="7" t="s">
        <v>8</v>
      </c>
      <c r="AD246" t="s">
        <v>801</v>
      </c>
    </row>
    <row r="247" spans="1:30" ht="15.75" x14ac:dyDescent="0.25">
      <c r="A247" s="4">
        <v>22</v>
      </c>
      <c r="B247" s="4">
        <v>14826</v>
      </c>
      <c r="C247" s="5" t="s">
        <v>771</v>
      </c>
      <c r="D247" s="6" t="s">
        <v>252</v>
      </c>
      <c r="E247" s="7" t="s">
        <v>7</v>
      </c>
      <c r="AD247" t="s">
        <v>801</v>
      </c>
    </row>
    <row r="248" spans="1:30" ht="15.75" x14ac:dyDescent="0.25">
      <c r="A248" s="4">
        <v>23</v>
      </c>
      <c r="B248" s="4">
        <v>14827</v>
      </c>
      <c r="C248" s="5" t="s">
        <v>410</v>
      </c>
      <c r="D248" s="5" t="s">
        <v>411</v>
      </c>
      <c r="E248" s="7" t="s">
        <v>7</v>
      </c>
      <c r="AD248" t="s">
        <v>800</v>
      </c>
    </row>
    <row r="249" spans="1:30" ht="15.75" x14ac:dyDescent="0.25">
      <c r="A249" s="4">
        <v>24</v>
      </c>
      <c r="B249" s="4">
        <v>14828</v>
      </c>
      <c r="C249" s="5" t="s">
        <v>336</v>
      </c>
      <c r="D249" s="6" t="s">
        <v>755</v>
      </c>
      <c r="E249" s="7" t="s">
        <v>7</v>
      </c>
      <c r="AD249" t="s">
        <v>801</v>
      </c>
    </row>
    <row r="250" spans="1:30" ht="15.75" x14ac:dyDescent="0.25">
      <c r="A250" s="4">
        <v>25</v>
      </c>
      <c r="B250" s="4">
        <v>14829</v>
      </c>
      <c r="C250" s="5" t="s">
        <v>163</v>
      </c>
      <c r="D250" s="6" t="s">
        <v>164</v>
      </c>
      <c r="E250" s="7" t="s">
        <v>7</v>
      </c>
      <c r="AD250" t="s">
        <v>800</v>
      </c>
    </row>
    <row r="251" spans="1:30" ht="15.75" x14ac:dyDescent="0.25">
      <c r="A251" s="4">
        <v>26</v>
      </c>
      <c r="B251" s="4">
        <v>14830</v>
      </c>
      <c r="C251" s="5" t="s">
        <v>234</v>
      </c>
      <c r="D251" s="6" t="s">
        <v>235</v>
      </c>
      <c r="E251" s="7" t="s">
        <v>7</v>
      </c>
      <c r="AD251" t="s">
        <v>798</v>
      </c>
    </row>
    <row r="252" spans="1:30" ht="15.75" x14ac:dyDescent="0.25">
      <c r="A252" s="4">
        <v>27</v>
      </c>
      <c r="B252" s="4">
        <v>14831</v>
      </c>
      <c r="C252" s="5" t="s">
        <v>355</v>
      </c>
      <c r="D252" s="5" t="s">
        <v>356</v>
      </c>
      <c r="E252" s="7" t="s">
        <v>7</v>
      </c>
      <c r="AD252" t="s">
        <v>794</v>
      </c>
    </row>
    <row r="253" spans="1:30" ht="15.75" x14ac:dyDescent="0.25">
      <c r="A253" s="4">
        <v>28</v>
      </c>
      <c r="B253" s="4">
        <v>14832</v>
      </c>
      <c r="C253" s="5" t="s">
        <v>386</v>
      </c>
      <c r="D253" s="6" t="s">
        <v>387</v>
      </c>
      <c r="E253" s="7" t="s">
        <v>7</v>
      </c>
      <c r="AD253" t="s">
        <v>796</v>
      </c>
    </row>
    <row r="254" spans="1:30" ht="15.75" x14ac:dyDescent="0.25">
      <c r="A254" s="4">
        <v>29</v>
      </c>
      <c r="B254" s="4">
        <v>14833</v>
      </c>
      <c r="C254" s="5" t="s">
        <v>48</v>
      </c>
      <c r="D254" s="6" t="s">
        <v>49</v>
      </c>
      <c r="E254" s="7" t="s">
        <v>8</v>
      </c>
      <c r="AD254" t="s">
        <v>802</v>
      </c>
    </row>
    <row r="255" spans="1:30" ht="15.75" x14ac:dyDescent="0.25">
      <c r="A255" s="4">
        <v>30</v>
      </c>
      <c r="B255" s="4">
        <v>14834</v>
      </c>
      <c r="C255" s="5" t="s">
        <v>442</v>
      </c>
      <c r="D255" s="6" t="s">
        <v>443</v>
      </c>
      <c r="E255" s="7" t="s">
        <v>8</v>
      </c>
      <c r="AD255" t="s">
        <v>799</v>
      </c>
    </row>
    <row r="256" spans="1:30" ht="15.75" x14ac:dyDescent="0.25">
      <c r="A256" s="4">
        <v>31</v>
      </c>
      <c r="B256" s="4">
        <v>14835</v>
      </c>
      <c r="C256" s="5" t="s">
        <v>242</v>
      </c>
      <c r="D256" s="6" t="s">
        <v>243</v>
      </c>
      <c r="E256" s="7" t="s">
        <v>7</v>
      </c>
      <c r="AD256" t="s">
        <v>798</v>
      </c>
    </row>
    <row r="257" spans="1:30" ht="15.75" x14ac:dyDescent="0.25">
      <c r="A257" s="4">
        <v>32</v>
      </c>
      <c r="B257" s="4">
        <v>14836</v>
      </c>
      <c r="C257" s="5" t="s">
        <v>628</v>
      </c>
      <c r="D257" s="23" t="s">
        <v>629</v>
      </c>
      <c r="E257" s="7" t="s">
        <v>7</v>
      </c>
      <c r="AD257" t="s">
        <v>795</v>
      </c>
    </row>
    <row r="258" spans="1:30" ht="15.75" x14ac:dyDescent="0.25">
      <c r="A258" s="4">
        <v>33</v>
      </c>
      <c r="B258" s="4">
        <v>14837</v>
      </c>
      <c r="C258" s="5" t="s">
        <v>87</v>
      </c>
      <c r="D258" s="6" t="s">
        <v>88</v>
      </c>
      <c r="E258" s="7" t="s">
        <v>7</v>
      </c>
      <c r="AD258" t="s">
        <v>799</v>
      </c>
    </row>
    <row r="259" spans="1:30" ht="15.75" x14ac:dyDescent="0.25">
      <c r="A259" s="4">
        <v>34</v>
      </c>
      <c r="B259" s="4">
        <v>14838</v>
      </c>
      <c r="C259" s="5" t="s">
        <v>72</v>
      </c>
      <c r="D259" s="5" t="s">
        <v>73</v>
      </c>
      <c r="E259" s="7" t="s">
        <v>8</v>
      </c>
      <c r="AD259" t="s">
        <v>800</v>
      </c>
    </row>
    <row r="260" spans="1:30" ht="15.75" x14ac:dyDescent="0.25">
      <c r="A260" s="4">
        <v>35</v>
      </c>
      <c r="B260" s="4">
        <v>14839</v>
      </c>
      <c r="C260" s="5" t="s">
        <v>174</v>
      </c>
      <c r="D260" s="5" t="s">
        <v>175</v>
      </c>
      <c r="E260" s="7" t="s">
        <v>8</v>
      </c>
      <c r="AD260" t="s">
        <v>793</v>
      </c>
    </row>
    <row r="261" spans="1:30" ht="15.75" x14ac:dyDescent="0.25">
      <c r="A261" s="4">
        <v>36</v>
      </c>
      <c r="B261" s="4">
        <v>14840</v>
      </c>
      <c r="C261" s="5" t="s">
        <v>153</v>
      </c>
      <c r="D261" s="6" t="s">
        <v>154</v>
      </c>
      <c r="E261" s="7" t="s">
        <v>8</v>
      </c>
      <c r="AD261" t="s">
        <v>802</v>
      </c>
    </row>
    <row r="262" spans="1:30" ht="15.75" x14ac:dyDescent="0.25">
      <c r="A262" s="4">
        <v>1</v>
      </c>
      <c r="B262" s="4">
        <v>14841</v>
      </c>
      <c r="C262" s="5" t="s">
        <v>507</v>
      </c>
      <c r="D262" s="6" t="s">
        <v>508</v>
      </c>
      <c r="E262" s="7" t="s">
        <v>8</v>
      </c>
      <c r="AD262" t="s">
        <v>795</v>
      </c>
    </row>
    <row r="263" spans="1:30" ht="15.75" x14ac:dyDescent="0.25">
      <c r="A263" s="4">
        <v>2</v>
      </c>
      <c r="B263" s="4">
        <v>14842</v>
      </c>
      <c r="C263" s="5" t="s">
        <v>772</v>
      </c>
      <c r="D263" s="6" t="s">
        <v>331</v>
      </c>
      <c r="E263" s="7" t="s">
        <v>8</v>
      </c>
      <c r="AD263" t="s">
        <v>801</v>
      </c>
    </row>
    <row r="264" spans="1:30" ht="15.75" x14ac:dyDescent="0.25">
      <c r="A264" s="4">
        <v>3</v>
      </c>
      <c r="B264" s="4">
        <v>14843</v>
      </c>
      <c r="C264" s="5" t="s">
        <v>24</v>
      </c>
      <c r="D264" s="6" t="s">
        <v>739</v>
      </c>
      <c r="E264" s="7" t="s">
        <v>7</v>
      </c>
      <c r="AD264" t="s">
        <v>793</v>
      </c>
    </row>
    <row r="265" spans="1:30" ht="15.75" x14ac:dyDescent="0.25">
      <c r="A265" s="4">
        <v>4</v>
      </c>
      <c r="B265" s="4">
        <v>14844</v>
      </c>
      <c r="C265" s="5" t="s">
        <v>446</v>
      </c>
      <c r="D265" s="6" t="s">
        <v>447</v>
      </c>
      <c r="E265" s="7" t="s">
        <v>7</v>
      </c>
      <c r="AD265" t="s">
        <v>798</v>
      </c>
    </row>
    <row r="266" spans="1:30" ht="15.75" x14ac:dyDescent="0.25">
      <c r="A266" s="4">
        <v>5</v>
      </c>
      <c r="B266" s="4">
        <v>14845</v>
      </c>
      <c r="C266" s="5" t="s">
        <v>210</v>
      </c>
      <c r="D266" s="6" t="s">
        <v>785</v>
      </c>
      <c r="E266" s="7" t="s">
        <v>8</v>
      </c>
      <c r="AD266" t="s">
        <v>801</v>
      </c>
    </row>
    <row r="267" spans="1:30" ht="15.75" x14ac:dyDescent="0.25">
      <c r="A267" s="4">
        <v>6</v>
      </c>
      <c r="B267" s="4">
        <v>14846</v>
      </c>
      <c r="C267" s="5" t="s">
        <v>186</v>
      </c>
      <c r="D267" s="6" t="s">
        <v>751</v>
      </c>
      <c r="E267" s="7" t="s">
        <v>7</v>
      </c>
      <c r="AD267" t="s">
        <v>799</v>
      </c>
    </row>
    <row r="268" spans="1:30" ht="15.75" x14ac:dyDescent="0.25">
      <c r="A268" s="4">
        <v>7</v>
      </c>
      <c r="B268" s="4">
        <v>14847</v>
      </c>
      <c r="C268" s="5" t="s">
        <v>133</v>
      </c>
      <c r="D268" s="6" t="s">
        <v>752</v>
      </c>
      <c r="E268" s="7" t="s">
        <v>7</v>
      </c>
      <c r="AD268" t="s">
        <v>793</v>
      </c>
    </row>
    <row r="269" spans="1:30" ht="15.75" x14ac:dyDescent="0.25">
      <c r="A269" s="4">
        <v>8</v>
      </c>
      <c r="B269" s="4">
        <v>14848</v>
      </c>
      <c r="C269" s="5" t="s">
        <v>349</v>
      </c>
      <c r="D269" s="6" t="s">
        <v>350</v>
      </c>
      <c r="E269" s="7" t="s">
        <v>7</v>
      </c>
      <c r="AD269" t="s">
        <v>793</v>
      </c>
    </row>
    <row r="270" spans="1:30" ht="15.75" x14ac:dyDescent="0.25">
      <c r="A270" s="4">
        <v>9</v>
      </c>
      <c r="B270" s="4">
        <v>14849</v>
      </c>
      <c r="C270" s="5" t="s">
        <v>313</v>
      </c>
      <c r="D270" s="5" t="s">
        <v>314</v>
      </c>
      <c r="E270" s="7" t="s">
        <v>7</v>
      </c>
      <c r="AD270" t="s">
        <v>796</v>
      </c>
    </row>
    <row r="271" spans="1:30" ht="15.75" x14ac:dyDescent="0.25">
      <c r="A271" s="4">
        <v>10</v>
      </c>
      <c r="B271" s="4">
        <v>14850</v>
      </c>
      <c r="C271" s="5" t="s">
        <v>74</v>
      </c>
      <c r="D271" s="6" t="s">
        <v>75</v>
      </c>
      <c r="E271" s="7" t="s">
        <v>7</v>
      </c>
      <c r="AD271" t="s">
        <v>793</v>
      </c>
    </row>
    <row r="272" spans="1:30" ht="15.75" x14ac:dyDescent="0.25">
      <c r="A272" s="4">
        <v>11</v>
      </c>
      <c r="B272" s="4">
        <v>14851</v>
      </c>
      <c r="C272" s="5" t="s">
        <v>266</v>
      </c>
      <c r="D272" s="6" t="s">
        <v>267</v>
      </c>
      <c r="E272" s="7" t="s">
        <v>7</v>
      </c>
      <c r="AD272" t="s">
        <v>794</v>
      </c>
    </row>
    <row r="273" spans="1:30" ht="15.75" x14ac:dyDescent="0.25">
      <c r="A273" s="4">
        <v>12</v>
      </c>
      <c r="B273" s="4">
        <v>14852</v>
      </c>
      <c r="C273" s="5" t="s">
        <v>699</v>
      </c>
      <c r="D273" s="6" t="s">
        <v>700</v>
      </c>
      <c r="E273" s="7" t="s">
        <v>8</v>
      </c>
      <c r="AD273" t="s">
        <v>799</v>
      </c>
    </row>
    <row r="274" spans="1:30" ht="15.75" x14ac:dyDescent="0.25">
      <c r="A274" s="4">
        <v>13</v>
      </c>
      <c r="B274" s="4">
        <v>14853</v>
      </c>
      <c r="C274" s="5" t="s">
        <v>673</v>
      </c>
      <c r="D274" s="6" t="s">
        <v>674</v>
      </c>
      <c r="E274" s="7" t="s">
        <v>7</v>
      </c>
      <c r="AD274" t="s">
        <v>797</v>
      </c>
    </row>
    <row r="275" spans="1:30" ht="15.75" x14ac:dyDescent="0.25">
      <c r="A275" s="4">
        <v>14</v>
      </c>
      <c r="B275" s="4">
        <v>14854</v>
      </c>
      <c r="C275" s="5" t="s">
        <v>543</v>
      </c>
      <c r="D275" s="5" t="s">
        <v>544</v>
      </c>
      <c r="E275" s="7" t="s">
        <v>8</v>
      </c>
      <c r="AD275" t="s">
        <v>802</v>
      </c>
    </row>
    <row r="276" spans="1:30" ht="15.75" x14ac:dyDescent="0.25">
      <c r="A276" s="4">
        <v>15</v>
      </c>
      <c r="B276" s="4">
        <v>14855</v>
      </c>
      <c r="C276" s="5" t="s">
        <v>665</v>
      </c>
      <c r="D276" s="6" t="s">
        <v>666</v>
      </c>
      <c r="E276" s="7" t="s">
        <v>7</v>
      </c>
      <c r="AD276" t="s">
        <v>797</v>
      </c>
    </row>
    <row r="277" spans="1:30" ht="15.75" x14ac:dyDescent="0.25">
      <c r="A277" s="4">
        <v>16</v>
      </c>
      <c r="B277" s="4">
        <v>14856</v>
      </c>
      <c r="C277" s="5" t="s">
        <v>549</v>
      </c>
      <c r="D277" s="5" t="s">
        <v>550</v>
      </c>
      <c r="E277" s="7" t="s">
        <v>8</v>
      </c>
      <c r="AD277" t="s">
        <v>798</v>
      </c>
    </row>
    <row r="278" spans="1:30" ht="15.75" x14ac:dyDescent="0.25">
      <c r="A278" s="4">
        <v>17</v>
      </c>
      <c r="B278" s="4">
        <v>14857</v>
      </c>
      <c r="C278" s="5" t="s">
        <v>131</v>
      </c>
      <c r="D278" s="6" t="s">
        <v>132</v>
      </c>
      <c r="E278" s="7" t="s">
        <v>7</v>
      </c>
      <c r="AD278" t="s">
        <v>799</v>
      </c>
    </row>
    <row r="279" spans="1:30" ht="15.75" x14ac:dyDescent="0.25">
      <c r="A279" s="4">
        <v>18</v>
      </c>
      <c r="B279" s="4">
        <v>14858</v>
      </c>
      <c r="C279" s="5" t="s">
        <v>95</v>
      </c>
      <c r="D279" s="6" t="s">
        <v>96</v>
      </c>
      <c r="E279" s="7" t="s">
        <v>7</v>
      </c>
      <c r="AD279" t="s">
        <v>801</v>
      </c>
    </row>
    <row r="280" spans="1:30" ht="15.75" x14ac:dyDescent="0.25">
      <c r="A280" s="4">
        <v>19</v>
      </c>
      <c r="B280" s="4">
        <v>14859</v>
      </c>
      <c r="C280" s="5" t="s">
        <v>655</v>
      </c>
      <c r="D280" s="6" t="s">
        <v>656</v>
      </c>
      <c r="E280" s="7" t="s">
        <v>7</v>
      </c>
      <c r="AD280" t="s">
        <v>800</v>
      </c>
    </row>
    <row r="281" spans="1:30" ht="15.75" x14ac:dyDescent="0.25">
      <c r="A281" s="4">
        <v>20</v>
      </c>
      <c r="B281" s="4">
        <v>14860</v>
      </c>
      <c r="C281" s="20" t="s">
        <v>32</v>
      </c>
      <c r="D281" s="6" t="s">
        <v>33</v>
      </c>
      <c r="E281" s="7" t="s">
        <v>7</v>
      </c>
      <c r="AD281" t="s">
        <v>802</v>
      </c>
    </row>
    <row r="282" spans="1:30" ht="15.75" x14ac:dyDescent="0.25">
      <c r="A282" s="4">
        <v>21</v>
      </c>
      <c r="B282" s="4">
        <v>14861</v>
      </c>
      <c r="C282" s="5" t="s">
        <v>18</v>
      </c>
      <c r="D282" s="5" t="s">
        <v>731</v>
      </c>
      <c r="E282" s="7" t="s">
        <v>7</v>
      </c>
      <c r="AD282" t="s">
        <v>795</v>
      </c>
    </row>
    <row r="283" spans="1:30" ht="15.75" x14ac:dyDescent="0.25">
      <c r="A283" s="4">
        <v>22</v>
      </c>
      <c r="B283" s="4">
        <v>14862</v>
      </c>
      <c r="C283" s="5" t="s">
        <v>657</v>
      </c>
      <c r="D283" s="6" t="s">
        <v>658</v>
      </c>
      <c r="E283" s="7" t="s">
        <v>7</v>
      </c>
      <c r="AD283" t="s">
        <v>797</v>
      </c>
    </row>
    <row r="284" spans="1:30" ht="15.75" x14ac:dyDescent="0.25">
      <c r="A284" s="4">
        <v>23</v>
      </c>
      <c r="B284" s="4">
        <v>14863</v>
      </c>
      <c r="C284" s="5" t="s">
        <v>372</v>
      </c>
      <c r="D284" s="6" t="s">
        <v>373</v>
      </c>
      <c r="E284" s="7" t="s">
        <v>8</v>
      </c>
      <c r="AD284" t="s">
        <v>793</v>
      </c>
    </row>
    <row r="285" spans="1:30" ht="15.75" x14ac:dyDescent="0.25">
      <c r="A285" s="4">
        <v>24</v>
      </c>
      <c r="B285" s="4">
        <v>14864</v>
      </c>
      <c r="C285" s="5" t="s">
        <v>30</v>
      </c>
      <c r="D285" s="6" t="s">
        <v>31</v>
      </c>
      <c r="E285" s="7" t="s">
        <v>7</v>
      </c>
      <c r="AD285" t="s">
        <v>798</v>
      </c>
    </row>
    <row r="286" spans="1:30" ht="15.75" x14ac:dyDescent="0.25">
      <c r="A286" s="4">
        <v>25</v>
      </c>
      <c r="B286" s="4">
        <v>14865</v>
      </c>
      <c r="C286" s="5" t="s">
        <v>270</v>
      </c>
      <c r="D286" s="5" t="s">
        <v>271</v>
      </c>
      <c r="E286" s="7" t="s">
        <v>8</v>
      </c>
      <c r="AD286" t="s">
        <v>799</v>
      </c>
    </row>
    <row r="287" spans="1:30" ht="15.75" x14ac:dyDescent="0.25">
      <c r="A287" s="4">
        <v>26</v>
      </c>
      <c r="B287" s="4">
        <v>14866</v>
      </c>
      <c r="C287" s="5" t="s">
        <v>458</v>
      </c>
      <c r="D287" s="6" t="s">
        <v>459</v>
      </c>
      <c r="E287" s="7" t="s">
        <v>8</v>
      </c>
      <c r="AD287" t="s">
        <v>798</v>
      </c>
    </row>
    <row r="288" spans="1:30" ht="15.75" x14ac:dyDescent="0.25">
      <c r="A288" s="4">
        <v>27</v>
      </c>
      <c r="B288" s="4">
        <v>14867</v>
      </c>
      <c r="C288" s="5" t="s">
        <v>57</v>
      </c>
      <c r="D288" s="6" t="s">
        <v>58</v>
      </c>
      <c r="E288" s="7" t="s">
        <v>8</v>
      </c>
      <c r="AD288" t="s">
        <v>795</v>
      </c>
    </row>
    <row r="289" spans="1:30" ht="15.75" x14ac:dyDescent="0.25">
      <c r="A289" s="4">
        <v>28</v>
      </c>
      <c r="B289" s="4">
        <v>14868</v>
      </c>
      <c r="C289" s="5" t="s">
        <v>499</v>
      </c>
      <c r="D289" s="6" t="s">
        <v>500</v>
      </c>
      <c r="E289" s="7" t="s">
        <v>8</v>
      </c>
      <c r="AD289" t="s">
        <v>796</v>
      </c>
    </row>
    <row r="290" spans="1:30" ht="15.75" x14ac:dyDescent="0.25">
      <c r="A290" s="4">
        <v>29</v>
      </c>
      <c r="B290" s="4">
        <v>14869</v>
      </c>
      <c r="C290" s="5" t="s">
        <v>568</v>
      </c>
      <c r="D290" s="23" t="s">
        <v>569</v>
      </c>
      <c r="E290" s="7" t="s">
        <v>7</v>
      </c>
      <c r="AD290" t="s">
        <v>795</v>
      </c>
    </row>
    <row r="291" spans="1:30" ht="15.75" x14ac:dyDescent="0.25">
      <c r="A291" s="4">
        <v>30</v>
      </c>
      <c r="B291" s="4">
        <v>14870</v>
      </c>
      <c r="C291" s="5" t="s">
        <v>412</v>
      </c>
      <c r="D291" s="6" t="s">
        <v>413</v>
      </c>
      <c r="E291" s="7" t="s">
        <v>7</v>
      </c>
      <c r="AD291" t="s">
        <v>794</v>
      </c>
    </row>
    <row r="292" spans="1:30" ht="15.75" x14ac:dyDescent="0.25">
      <c r="A292" s="4">
        <v>31</v>
      </c>
      <c r="B292" s="4">
        <v>14871</v>
      </c>
      <c r="C292" s="5" t="s">
        <v>634</v>
      </c>
      <c r="D292" s="6" t="s">
        <v>635</v>
      </c>
      <c r="E292" s="7" t="s">
        <v>7</v>
      </c>
      <c r="AD292" t="s">
        <v>796</v>
      </c>
    </row>
    <row r="293" spans="1:30" ht="15.75" x14ac:dyDescent="0.25">
      <c r="A293" s="4">
        <v>32</v>
      </c>
      <c r="B293" s="4">
        <v>14872</v>
      </c>
      <c r="C293" s="5" t="s">
        <v>53</v>
      </c>
      <c r="D293" s="6" t="s">
        <v>790</v>
      </c>
      <c r="E293" s="7" t="s">
        <v>7</v>
      </c>
      <c r="AD293" t="s">
        <v>799</v>
      </c>
    </row>
    <row r="294" spans="1:30" ht="15.75" x14ac:dyDescent="0.25">
      <c r="A294" s="4">
        <v>33</v>
      </c>
      <c r="B294" s="4">
        <v>14873</v>
      </c>
      <c r="C294" s="5" t="s">
        <v>363</v>
      </c>
      <c r="D294" s="6" t="s">
        <v>788</v>
      </c>
      <c r="E294" s="7" t="s">
        <v>8</v>
      </c>
      <c r="AD294" t="s">
        <v>800</v>
      </c>
    </row>
    <row r="295" spans="1:30" ht="15.75" x14ac:dyDescent="0.25">
      <c r="A295" s="4">
        <v>34</v>
      </c>
      <c r="B295" s="4">
        <v>14874</v>
      </c>
      <c r="C295" s="5" t="s">
        <v>167</v>
      </c>
      <c r="D295" s="6" t="s">
        <v>168</v>
      </c>
      <c r="E295" s="7" t="s">
        <v>8</v>
      </c>
      <c r="AD295" t="s">
        <v>799</v>
      </c>
    </row>
    <row r="296" spans="1:30" ht="15.75" x14ac:dyDescent="0.25">
      <c r="A296" s="4">
        <v>35</v>
      </c>
      <c r="B296" s="4">
        <v>14875</v>
      </c>
      <c r="C296" s="5" t="s">
        <v>645</v>
      </c>
      <c r="D296" s="6" t="s">
        <v>646</v>
      </c>
      <c r="E296" s="7" t="s">
        <v>7</v>
      </c>
      <c r="AD296" t="s">
        <v>796</v>
      </c>
    </row>
    <row r="297" spans="1:30" ht="15.75" x14ac:dyDescent="0.25">
      <c r="A297" s="4">
        <v>36</v>
      </c>
      <c r="B297" s="4">
        <v>14876</v>
      </c>
      <c r="C297" s="5" t="s">
        <v>630</v>
      </c>
      <c r="D297" s="6" t="s">
        <v>631</v>
      </c>
      <c r="E297" s="7" t="s">
        <v>7</v>
      </c>
      <c r="AD297" t="s">
        <v>795</v>
      </c>
    </row>
    <row r="298" spans="1:30" ht="15.75" x14ac:dyDescent="0.25">
      <c r="A298" s="4">
        <v>1</v>
      </c>
      <c r="B298" s="4">
        <v>14877</v>
      </c>
      <c r="C298" s="5" t="s">
        <v>430</v>
      </c>
      <c r="D298" s="6" t="s">
        <v>431</v>
      </c>
      <c r="E298" s="7" t="s">
        <v>8</v>
      </c>
      <c r="AD298" t="s">
        <v>801</v>
      </c>
    </row>
    <row r="299" spans="1:30" ht="15.75" x14ac:dyDescent="0.25">
      <c r="A299" s="4">
        <v>2</v>
      </c>
      <c r="B299" s="4">
        <v>14878</v>
      </c>
      <c r="C299" s="9" t="s">
        <v>831</v>
      </c>
      <c r="D299" s="6" t="s">
        <v>146</v>
      </c>
      <c r="E299" s="7" t="s">
        <v>8</v>
      </c>
      <c r="AD299" t="s">
        <v>799</v>
      </c>
    </row>
    <row r="300" spans="1:30" ht="15.75" x14ac:dyDescent="0.25">
      <c r="A300" s="4">
        <v>3</v>
      </c>
      <c r="B300" s="4">
        <v>14879</v>
      </c>
      <c r="C300" s="5" t="s">
        <v>390</v>
      </c>
      <c r="D300" s="6" t="s">
        <v>391</v>
      </c>
      <c r="E300" s="7" t="s">
        <v>7</v>
      </c>
      <c r="AD300" t="s">
        <v>798</v>
      </c>
    </row>
    <row r="301" spans="1:30" ht="15.75" x14ac:dyDescent="0.25">
      <c r="A301" s="4">
        <v>4</v>
      </c>
      <c r="B301" s="4">
        <v>14880</v>
      </c>
      <c r="C301" s="5" t="s">
        <v>493</v>
      </c>
      <c r="D301" s="6" t="s">
        <v>494</v>
      </c>
      <c r="E301" s="7" t="s">
        <v>7</v>
      </c>
      <c r="AD301" t="s">
        <v>795</v>
      </c>
    </row>
    <row r="302" spans="1:30" ht="15.75" x14ac:dyDescent="0.25">
      <c r="A302" s="4">
        <v>5</v>
      </c>
      <c r="B302" s="4">
        <v>14881</v>
      </c>
      <c r="C302" s="5" t="s">
        <v>178</v>
      </c>
      <c r="D302" s="6" t="s">
        <v>179</v>
      </c>
      <c r="E302" s="7" t="s">
        <v>8</v>
      </c>
      <c r="AD302" t="s">
        <v>794</v>
      </c>
    </row>
    <row r="303" spans="1:30" ht="15.75" x14ac:dyDescent="0.25">
      <c r="A303" s="4">
        <v>6</v>
      </c>
      <c r="B303" s="4">
        <v>14882</v>
      </c>
      <c r="C303" s="5" t="s">
        <v>408</v>
      </c>
      <c r="D303" s="6" t="s">
        <v>409</v>
      </c>
      <c r="E303" s="7" t="s">
        <v>8</v>
      </c>
      <c r="AD303" t="s">
        <v>802</v>
      </c>
    </row>
    <row r="304" spans="1:30" ht="15.75" x14ac:dyDescent="0.25">
      <c r="A304" s="4">
        <v>7</v>
      </c>
      <c r="B304" s="4">
        <v>14883</v>
      </c>
      <c r="C304" s="5" t="s">
        <v>424</v>
      </c>
      <c r="D304" s="6" t="s">
        <v>425</v>
      </c>
      <c r="E304" s="7" t="s">
        <v>8</v>
      </c>
      <c r="AD304" t="s">
        <v>794</v>
      </c>
    </row>
    <row r="305" spans="1:30" ht="15.75" x14ac:dyDescent="0.25">
      <c r="A305" s="4">
        <v>8</v>
      </c>
      <c r="B305" s="4">
        <v>14884</v>
      </c>
      <c r="C305" s="5" t="s">
        <v>598</v>
      </c>
      <c r="D305" s="6" t="s">
        <v>599</v>
      </c>
      <c r="E305" s="7" t="s">
        <v>8</v>
      </c>
      <c r="AD305" t="s">
        <v>798</v>
      </c>
    </row>
    <row r="306" spans="1:30" ht="15.75" x14ac:dyDescent="0.25">
      <c r="A306" s="4">
        <v>9</v>
      </c>
      <c r="B306" s="4">
        <v>14885</v>
      </c>
      <c r="C306" s="5" t="s">
        <v>264</v>
      </c>
      <c r="D306" s="5" t="s">
        <v>265</v>
      </c>
      <c r="E306" s="7" t="s">
        <v>8</v>
      </c>
      <c r="AD306" t="s">
        <v>795</v>
      </c>
    </row>
    <row r="307" spans="1:30" ht="15.75" x14ac:dyDescent="0.25">
      <c r="A307" s="4">
        <v>10</v>
      </c>
      <c r="B307" s="4">
        <v>14886</v>
      </c>
      <c r="C307" s="5" t="s">
        <v>768</v>
      </c>
      <c r="D307" s="6" t="s">
        <v>346</v>
      </c>
      <c r="E307" s="7" t="s">
        <v>7</v>
      </c>
      <c r="AD307" t="s">
        <v>800</v>
      </c>
    </row>
    <row r="308" spans="1:30" ht="15.75" x14ac:dyDescent="0.25">
      <c r="A308" s="4">
        <v>11</v>
      </c>
      <c r="B308" s="4">
        <v>14887</v>
      </c>
      <c r="C308" s="5" t="s">
        <v>590</v>
      </c>
      <c r="D308" s="6" t="s">
        <v>591</v>
      </c>
      <c r="E308" s="7" t="s">
        <v>8</v>
      </c>
      <c r="AD308" t="s">
        <v>797</v>
      </c>
    </row>
    <row r="309" spans="1:30" ht="15.75" x14ac:dyDescent="0.25">
      <c r="A309" s="4">
        <v>12</v>
      </c>
      <c r="B309" s="4">
        <v>14888</v>
      </c>
      <c r="C309" s="5" t="s">
        <v>76</v>
      </c>
      <c r="D309" s="6" t="s">
        <v>77</v>
      </c>
      <c r="E309" s="7" t="s">
        <v>8</v>
      </c>
      <c r="AD309" t="s">
        <v>799</v>
      </c>
    </row>
    <row r="310" spans="1:30" ht="15.75" x14ac:dyDescent="0.25">
      <c r="A310" s="4">
        <v>13</v>
      </c>
      <c r="B310" s="4">
        <v>14889</v>
      </c>
      <c r="C310" s="5" t="s">
        <v>121</v>
      </c>
      <c r="D310" s="6" t="s">
        <v>122</v>
      </c>
      <c r="E310" s="7" t="s">
        <v>7</v>
      </c>
      <c r="AD310" t="s">
        <v>794</v>
      </c>
    </row>
    <row r="311" spans="1:30" ht="15.75" x14ac:dyDescent="0.25">
      <c r="A311" s="4">
        <v>14</v>
      </c>
      <c r="B311" s="4">
        <v>14890</v>
      </c>
      <c r="C311" s="5" t="s">
        <v>123</v>
      </c>
      <c r="D311" s="6" t="s">
        <v>124</v>
      </c>
      <c r="E311" s="7" t="s">
        <v>7</v>
      </c>
      <c r="AD311" t="s">
        <v>799</v>
      </c>
    </row>
    <row r="312" spans="1:30" ht="15.75" x14ac:dyDescent="0.25">
      <c r="A312" s="4">
        <v>15</v>
      </c>
      <c r="B312" s="4">
        <v>14891</v>
      </c>
      <c r="C312" s="5" t="s">
        <v>369</v>
      </c>
      <c r="D312" s="5" t="s">
        <v>370</v>
      </c>
      <c r="E312" s="7" t="s">
        <v>7</v>
      </c>
      <c r="AD312" t="s">
        <v>796</v>
      </c>
    </row>
    <row r="313" spans="1:30" ht="15.75" x14ac:dyDescent="0.25">
      <c r="A313" s="4">
        <v>16</v>
      </c>
      <c r="B313" s="4">
        <v>14892</v>
      </c>
      <c r="C313" s="5" t="s">
        <v>481</v>
      </c>
      <c r="D313" s="6" t="s">
        <v>482</v>
      </c>
      <c r="E313" s="7" t="s">
        <v>7</v>
      </c>
      <c r="AD313" t="s">
        <v>798</v>
      </c>
    </row>
    <row r="314" spans="1:30" ht="15.75" x14ac:dyDescent="0.25">
      <c r="A314" s="4">
        <v>17</v>
      </c>
      <c r="B314" s="4">
        <v>14893</v>
      </c>
      <c r="C314" s="5" t="s">
        <v>489</v>
      </c>
      <c r="D314" s="6" t="s">
        <v>490</v>
      </c>
      <c r="E314" s="7" t="s">
        <v>8</v>
      </c>
      <c r="AD314" t="s">
        <v>795</v>
      </c>
    </row>
    <row r="315" spans="1:30" ht="15.75" x14ac:dyDescent="0.25">
      <c r="A315" s="4">
        <v>18</v>
      </c>
      <c r="B315" s="4">
        <v>14894</v>
      </c>
      <c r="C315" s="5" t="s">
        <v>497</v>
      </c>
      <c r="D315" s="6" t="s">
        <v>498</v>
      </c>
      <c r="E315" s="7" t="s">
        <v>7</v>
      </c>
      <c r="AD315" t="s">
        <v>795</v>
      </c>
    </row>
    <row r="316" spans="1:30" ht="15.75" x14ac:dyDescent="0.25">
      <c r="A316" s="4">
        <v>19</v>
      </c>
      <c r="B316" s="4">
        <v>14895</v>
      </c>
      <c r="C316" s="5" t="s">
        <v>340</v>
      </c>
      <c r="D316" s="6" t="s">
        <v>341</v>
      </c>
      <c r="E316" s="7" t="s">
        <v>8</v>
      </c>
      <c r="AD316" t="s">
        <v>796</v>
      </c>
    </row>
    <row r="317" spans="1:30" ht="15.75" x14ac:dyDescent="0.25">
      <c r="A317" s="4">
        <v>20</v>
      </c>
      <c r="B317" s="4">
        <v>14896</v>
      </c>
      <c r="C317" s="5" t="s">
        <v>553</v>
      </c>
      <c r="D317" s="6" t="s">
        <v>554</v>
      </c>
      <c r="E317" s="7" t="s">
        <v>8</v>
      </c>
      <c r="AD317" t="s">
        <v>799</v>
      </c>
    </row>
    <row r="318" spans="1:30" ht="15.75" x14ac:dyDescent="0.25">
      <c r="A318" s="4">
        <v>21</v>
      </c>
      <c r="B318" s="4">
        <v>14897</v>
      </c>
      <c r="C318" s="5" t="s">
        <v>155</v>
      </c>
      <c r="D318" s="6" t="s">
        <v>156</v>
      </c>
      <c r="E318" s="7" t="s">
        <v>7</v>
      </c>
      <c r="AD318" t="s">
        <v>801</v>
      </c>
    </row>
    <row r="319" spans="1:30" ht="15.75" x14ac:dyDescent="0.25">
      <c r="A319" s="4">
        <v>22</v>
      </c>
      <c r="B319" s="4">
        <v>14898</v>
      </c>
      <c r="C319" s="5" t="s">
        <v>643</v>
      </c>
      <c r="D319" s="6" t="s">
        <v>756</v>
      </c>
      <c r="E319" s="7" t="s">
        <v>7</v>
      </c>
      <c r="AD319" t="s">
        <v>798</v>
      </c>
    </row>
    <row r="320" spans="1:30" ht="15.75" x14ac:dyDescent="0.25">
      <c r="A320" s="4">
        <v>23</v>
      </c>
      <c r="B320" s="4">
        <v>14899</v>
      </c>
      <c r="C320" s="5" t="s">
        <v>113</v>
      </c>
      <c r="D320" s="6" t="s">
        <v>114</v>
      </c>
      <c r="E320" s="7" t="s">
        <v>7</v>
      </c>
      <c r="AD320" t="s">
        <v>796</v>
      </c>
    </row>
    <row r="321" spans="1:30" ht="15.75" x14ac:dyDescent="0.25">
      <c r="A321" s="4">
        <v>24</v>
      </c>
      <c r="B321" s="4">
        <v>14900</v>
      </c>
      <c r="C321" s="5" t="s">
        <v>396</v>
      </c>
      <c r="D321" s="6" t="s">
        <v>397</v>
      </c>
      <c r="E321" s="7" t="s">
        <v>7</v>
      </c>
      <c r="AD321" t="s">
        <v>800</v>
      </c>
    </row>
    <row r="322" spans="1:30" ht="15.75" x14ac:dyDescent="0.25">
      <c r="A322" s="4">
        <v>25</v>
      </c>
      <c r="B322" s="4">
        <v>14901</v>
      </c>
      <c r="C322" s="5" t="s">
        <v>135</v>
      </c>
      <c r="D322" s="5" t="s">
        <v>136</v>
      </c>
      <c r="E322" s="7" t="s">
        <v>7</v>
      </c>
      <c r="AD322" t="s">
        <v>793</v>
      </c>
    </row>
    <row r="323" spans="1:30" ht="15.75" x14ac:dyDescent="0.25">
      <c r="A323" s="4">
        <v>26</v>
      </c>
      <c r="B323" s="4">
        <v>14902</v>
      </c>
      <c r="C323" s="5" t="s">
        <v>329</v>
      </c>
      <c r="D323" s="6" t="s">
        <v>330</v>
      </c>
      <c r="E323" s="7" t="s">
        <v>7</v>
      </c>
      <c r="AD323" t="s">
        <v>795</v>
      </c>
    </row>
    <row r="324" spans="1:30" ht="15.75" x14ac:dyDescent="0.25">
      <c r="A324" s="4">
        <v>27</v>
      </c>
      <c r="B324" s="4">
        <v>14903</v>
      </c>
      <c r="C324" s="5" t="s">
        <v>432</v>
      </c>
      <c r="D324" s="6" t="s">
        <v>433</v>
      </c>
      <c r="E324" s="7" t="s">
        <v>7</v>
      </c>
      <c r="AD324" t="s">
        <v>802</v>
      </c>
    </row>
    <row r="325" spans="1:30" ht="15.75" x14ac:dyDescent="0.25">
      <c r="A325" s="4">
        <v>28</v>
      </c>
      <c r="B325" s="4">
        <v>14904</v>
      </c>
      <c r="C325" s="5" t="s">
        <v>533</v>
      </c>
      <c r="D325" s="6" t="s">
        <v>534</v>
      </c>
      <c r="E325" s="7" t="s">
        <v>8</v>
      </c>
      <c r="AD325" t="s">
        <v>800</v>
      </c>
    </row>
    <row r="326" spans="1:30" ht="15.75" x14ac:dyDescent="0.25">
      <c r="A326" s="4">
        <v>29</v>
      </c>
      <c r="B326" s="4">
        <v>14905</v>
      </c>
      <c r="C326" s="5" t="s">
        <v>192</v>
      </c>
      <c r="D326" s="6" t="s">
        <v>193</v>
      </c>
      <c r="E326" s="7" t="s">
        <v>8</v>
      </c>
      <c r="AD326" t="s">
        <v>794</v>
      </c>
    </row>
    <row r="327" spans="1:30" ht="15.75" x14ac:dyDescent="0.25">
      <c r="A327" s="4">
        <v>30</v>
      </c>
      <c r="B327" s="4">
        <v>14906</v>
      </c>
      <c r="C327" s="5" t="s">
        <v>200</v>
      </c>
      <c r="D327" s="6" t="s">
        <v>201</v>
      </c>
      <c r="E327" s="7" t="s">
        <v>7</v>
      </c>
      <c r="AD327" t="s">
        <v>800</v>
      </c>
    </row>
    <row r="328" spans="1:30" ht="15.75" x14ac:dyDescent="0.25">
      <c r="A328" s="4">
        <v>31</v>
      </c>
      <c r="B328" s="4">
        <v>14907</v>
      </c>
      <c r="C328" s="5" t="s">
        <v>220</v>
      </c>
      <c r="D328" s="6" t="s">
        <v>221</v>
      </c>
      <c r="E328" s="7" t="s">
        <v>8</v>
      </c>
      <c r="AD328" t="s">
        <v>796</v>
      </c>
    </row>
    <row r="329" spans="1:30" ht="15.75" x14ac:dyDescent="0.25">
      <c r="A329" s="4">
        <v>32</v>
      </c>
      <c r="B329" s="4">
        <v>14908</v>
      </c>
      <c r="C329" s="5" t="s">
        <v>495</v>
      </c>
      <c r="D329" s="6" t="s">
        <v>496</v>
      </c>
      <c r="E329" s="7" t="s">
        <v>7</v>
      </c>
      <c r="AD329" t="s">
        <v>793</v>
      </c>
    </row>
    <row r="330" spans="1:30" ht="15.75" x14ac:dyDescent="0.25">
      <c r="A330" s="4">
        <v>33</v>
      </c>
      <c r="B330" s="4">
        <v>14909</v>
      </c>
      <c r="C330" s="5" t="s">
        <v>770</v>
      </c>
      <c r="D330" s="6" t="s">
        <v>464</v>
      </c>
      <c r="E330" s="7" t="s">
        <v>8</v>
      </c>
      <c r="AD330" t="s">
        <v>800</v>
      </c>
    </row>
    <row r="331" spans="1:30" ht="15.75" x14ac:dyDescent="0.25">
      <c r="A331" s="4">
        <v>34</v>
      </c>
      <c r="B331" s="4">
        <v>14910</v>
      </c>
      <c r="C331" s="5" t="s">
        <v>576</v>
      </c>
      <c r="D331" s="6" t="s">
        <v>577</v>
      </c>
      <c r="E331" s="7" t="s">
        <v>7</v>
      </c>
      <c r="AD331" t="s">
        <v>799</v>
      </c>
    </row>
    <row r="332" spans="1:30" ht="15.75" x14ac:dyDescent="0.25">
      <c r="A332" s="4">
        <v>35</v>
      </c>
      <c r="B332" s="4">
        <v>14911</v>
      </c>
      <c r="C332" s="5" t="s">
        <v>26</v>
      </c>
      <c r="D332" s="6" t="s">
        <v>742</v>
      </c>
      <c r="E332" s="7" t="s">
        <v>7</v>
      </c>
      <c r="AD332" t="s">
        <v>796</v>
      </c>
    </row>
    <row r="333" spans="1:30" ht="15.75" x14ac:dyDescent="0.25">
      <c r="A333" s="4">
        <v>36</v>
      </c>
      <c r="B333" s="4">
        <v>14912</v>
      </c>
      <c r="C333" s="5" t="s">
        <v>305</v>
      </c>
      <c r="D333" s="6" t="s">
        <v>306</v>
      </c>
      <c r="E333" s="7" t="s">
        <v>7</v>
      </c>
      <c r="AD333" t="s">
        <v>795</v>
      </c>
    </row>
    <row r="334" spans="1:30" ht="15.75" x14ac:dyDescent="0.25">
      <c r="A334" s="4">
        <v>1</v>
      </c>
      <c r="B334" s="4">
        <v>14913</v>
      </c>
      <c r="C334" s="5" t="s">
        <v>402</v>
      </c>
      <c r="D334" s="6" t="s">
        <v>403</v>
      </c>
      <c r="E334" s="7" t="s">
        <v>8</v>
      </c>
      <c r="AD334" t="s">
        <v>796</v>
      </c>
    </row>
    <row r="335" spans="1:30" ht="15.75" x14ac:dyDescent="0.25">
      <c r="A335" s="4">
        <v>2</v>
      </c>
      <c r="B335" s="4">
        <v>14914</v>
      </c>
      <c r="C335" s="5" t="s">
        <v>689</v>
      </c>
      <c r="D335" s="6" t="s">
        <v>690</v>
      </c>
      <c r="E335" s="7" t="s">
        <v>7</v>
      </c>
      <c r="AD335" t="s">
        <v>795</v>
      </c>
    </row>
    <row r="336" spans="1:30" ht="15.75" x14ac:dyDescent="0.25">
      <c r="A336" s="4">
        <v>3</v>
      </c>
      <c r="B336" s="4">
        <v>14915</v>
      </c>
      <c r="C336" s="5" t="s">
        <v>574</v>
      </c>
      <c r="D336" s="6" t="s">
        <v>575</v>
      </c>
      <c r="E336" s="7" t="s">
        <v>7</v>
      </c>
      <c r="AD336" t="s">
        <v>796</v>
      </c>
    </row>
    <row r="337" spans="1:30" ht="15.75" x14ac:dyDescent="0.25">
      <c r="A337" s="4">
        <v>4</v>
      </c>
      <c r="B337" s="4">
        <v>14916</v>
      </c>
      <c r="C337" s="5" t="s">
        <v>477</v>
      </c>
      <c r="D337" s="6" t="s">
        <v>478</v>
      </c>
      <c r="E337" s="7" t="s">
        <v>7</v>
      </c>
      <c r="AD337" t="s">
        <v>797</v>
      </c>
    </row>
    <row r="338" spans="1:30" ht="15.75" x14ac:dyDescent="0.25">
      <c r="A338" s="4">
        <v>5</v>
      </c>
      <c r="B338" s="4">
        <v>14917</v>
      </c>
      <c r="C338" s="5" t="s">
        <v>659</v>
      </c>
      <c r="D338" s="6" t="s">
        <v>660</v>
      </c>
      <c r="E338" s="7" t="s">
        <v>7</v>
      </c>
      <c r="AD338" t="s">
        <v>795</v>
      </c>
    </row>
    <row r="339" spans="1:30" ht="15.75" x14ac:dyDescent="0.25">
      <c r="A339" s="4">
        <v>6</v>
      </c>
      <c r="B339" s="4">
        <v>14918</v>
      </c>
      <c r="C339" s="5" t="s">
        <v>190</v>
      </c>
      <c r="D339" s="6" t="s">
        <v>191</v>
      </c>
      <c r="E339" s="7" t="s">
        <v>7</v>
      </c>
      <c r="AD339" t="s">
        <v>794</v>
      </c>
    </row>
    <row r="340" spans="1:30" ht="15.75" x14ac:dyDescent="0.25">
      <c r="A340" s="4">
        <v>7</v>
      </c>
      <c r="B340" s="4">
        <v>14919</v>
      </c>
      <c r="C340" s="5" t="s">
        <v>159</v>
      </c>
      <c r="D340" s="6" t="s">
        <v>160</v>
      </c>
      <c r="E340" s="7" t="s">
        <v>7</v>
      </c>
      <c r="AD340" t="s">
        <v>802</v>
      </c>
    </row>
    <row r="341" spans="1:30" ht="15.75" x14ac:dyDescent="0.25">
      <c r="A341" s="4">
        <v>8</v>
      </c>
      <c r="B341" s="4">
        <v>14920</v>
      </c>
      <c r="C341" s="5" t="s">
        <v>44</v>
      </c>
      <c r="D341" s="6" t="s">
        <v>735</v>
      </c>
      <c r="E341" s="7" t="s">
        <v>7</v>
      </c>
      <c r="AD341" t="s">
        <v>801</v>
      </c>
    </row>
    <row r="342" spans="1:30" ht="15.75" x14ac:dyDescent="0.25">
      <c r="A342" s="4">
        <v>9</v>
      </c>
      <c r="B342" s="4">
        <v>14921</v>
      </c>
      <c r="C342" s="5" t="s">
        <v>125</v>
      </c>
      <c r="D342" s="6" t="s">
        <v>126</v>
      </c>
      <c r="E342" s="7" t="s">
        <v>7</v>
      </c>
      <c r="AD342" t="s">
        <v>798</v>
      </c>
    </row>
    <row r="343" spans="1:30" ht="15.75" x14ac:dyDescent="0.25">
      <c r="A343" s="4">
        <v>10</v>
      </c>
      <c r="B343" s="4">
        <v>14922</v>
      </c>
      <c r="C343" s="5" t="s">
        <v>289</v>
      </c>
      <c r="D343" s="6" t="s">
        <v>290</v>
      </c>
      <c r="E343" s="7" t="s">
        <v>7</v>
      </c>
      <c r="AD343" t="s">
        <v>799</v>
      </c>
    </row>
    <row r="344" spans="1:30" ht="15.75" x14ac:dyDescent="0.25">
      <c r="A344" s="4">
        <v>11</v>
      </c>
      <c r="B344" s="4">
        <v>14923</v>
      </c>
      <c r="C344" s="5" t="s">
        <v>144</v>
      </c>
      <c r="D344" s="6" t="s">
        <v>145</v>
      </c>
      <c r="E344" s="7" t="s">
        <v>8</v>
      </c>
      <c r="AD344" t="s">
        <v>802</v>
      </c>
    </row>
    <row r="345" spans="1:30" ht="15.75" x14ac:dyDescent="0.25">
      <c r="A345" s="4">
        <v>12</v>
      </c>
      <c r="B345" s="4">
        <v>14924</v>
      </c>
      <c r="C345" s="5" t="s">
        <v>147</v>
      </c>
      <c r="D345" s="6" t="s">
        <v>9</v>
      </c>
      <c r="E345" s="7" t="s">
        <v>7</v>
      </c>
      <c r="AD345" t="s">
        <v>795</v>
      </c>
    </row>
    <row r="346" spans="1:30" ht="15.75" x14ac:dyDescent="0.25">
      <c r="A346" s="4">
        <v>13</v>
      </c>
      <c r="B346" s="4">
        <v>14925</v>
      </c>
      <c r="C346" s="5" t="s">
        <v>64</v>
      </c>
      <c r="D346" s="6" t="s">
        <v>65</v>
      </c>
      <c r="E346" s="7" t="s">
        <v>7</v>
      </c>
      <c r="AD346" t="s">
        <v>797</v>
      </c>
    </row>
    <row r="347" spans="1:30" ht="15.75" x14ac:dyDescent="0.25">
      <c r="A347" s="4">
        <v>14</v>
      </c>
      <c r="B347" s="4">
        <v>14926</v>
      </c>
      <c r="C347" s="5" t="s">
        <v>669</v>
      </c>
      <c r="D347" s="6" t="s">
        <v>757</v>
      </c>
      <c r="E347" s="7" t="s">
        <v>8</v>
      </c>
      <c r="AD347" t="s">
        <v>801</v>
      </c>
    </row>
    <row r="348" spans="1:30" ht="15.75" x14ac:dyDescent="0.25">
      <c r="A348" s="4">
        <v>15</v>
      </c>
      <c r="B348" s="4">
        <v>14927</v>
      </c>
      <c r="C348" s="5" t="s">
        <v>667</v>
      </c>
      <c r="D348" s="6" t="s">
        <v>668</v>
      </c>
      <c r="E348" s="7" t="s">
        <v>7</v>
      </c>
      <c r="AD348" t="s">
        <v>794</v>
      </c>
    </row>
    <row r="349" spans="1:30" ht="15.75" x14ac:dyDescent="0.25">
      <c r="A349" s="4">
        <v>16</v>
      </c>
      <c r="B349" s="4">
        <v>14928</v>
      </c>
      <c r="C349" s="5" t="s">
        <v>687</v>
      </c>
      <c r="D349" s="23" t="s">
        <v>688</v>
      </c>
      <c r="E349" s="7" t="s">
        <v>7</v>
      </c>
      <c r="AD349" t="s">
        <v>800</v>
      </c>
    </row>
    <row r="350" spans="1:30" ht="15.75" x14ac:dyDescent="0.25">
      <c r="A350" s="4">
        <v>17</v>
      </c>
      <c r="B350" s="4">
        <v>14929</v>
      </c>
      <c r="C350" s="5" t="s">
        <v>238</v>
      </c>
      <c r="D350" s="6" t="s">
        <v>239</v>
      </c>
      <c r="E350" s="7" t="s">
        <v>8</v>
      </c>
      <c r="AD350" t="s">
        <v>797</v>
      </c>
    </row>
    <row r="351" spans="1:30" ht="15.75" x14ac:dyDescent="0.25">
      <c r="A351" s="4">
        <v>18</v>
      </c>
      <c r="B351" s="4">
        <v>14930</v>
      </c>
      <c r="C351" s="5" t="s">
        <v>40</v>
      </c>
      <c r="D351" s="6" t="s">
        <v>41</v>
      </c>
      <c r="E351" s="7" t="s">
        <v>7</v>
      </c>
      <c r="AD351" t="s">
        <v>799</v>
      </c>
    </row>
    <row r="352" spans="1:30" ht="15.75" x14ac:dyDescent="0.25">
      <c r="A352" s="4">
        <v>19</v>
      </c>
      <c r="B352" s="4">
        <v>14931</v>
      </c>
      <c r="C352" s="5" t="s">
        <v>594</v>
      </c>
      <c r="D352" s="6" t="s">
        <v>595</v>
      </c>
      <c r="E352" s="7" t="s">
        <v>8</v>
      </c>
      <c r="AD352" t="s">
        <v>795</v>
      </c>
    </row>
    <row r="353" spans="1:30" ht="15.75" x14ac:dyDescent="0.25">
      <c r="A353" s="4">
        <v>20</v>
      </c>
      <c r="B353" s="4">
        <v>14932</v>
      </c>
      <c r="C353" s="5" t="s">
        <v>195</v>
      </c>
      <c r="D353" s="6" t="s">
        <v>196</v>
      </c>
      <c r="E353" s="7" t="s">
        <v>7</v>
      </c>
      <c r="AD353" t="s">
        <v>796</v>
      </c>
    </row>
    <row r="354" spans="1:30" ht="15.75" x14ac:dyDescent="0.25">
      <c r="A354" s="4">
        <v>21</v>
      </c>
      <c r="B354" s="4">
        <v>14933</v>
      </c>
      <c r="C354" s="5" t="s">
        <v>142</v>
      </c>
      <c r="D354" s="6" t="s">
        <v>732</v>
      </c>
      <c r="E354" s="7" t="s">
        <v>8</v>
      </c>
      <c r="AD354" t="s">
        <v>797</v>
      </c>
    </row>
    <row r="355" spans="1:30" ht="15.75" x14ac:dyDescent="0.25">
      <c r="A355" s="4">
        <v>22</v>
      </c>
      <c r="B355" s="4">
        <v>14934</v>
      </c>
      <c r="C355" s="5" t="s">
        <v>171</v>
      </c>
      <c r="D355" s="6" t="s">
        <v>172</v>
      </c>
      <c r="E355" s="7" t="s">
        <v>7</v>
      </c>
      <c r="AD355" t="s">
        <v>796</v>
      </c>
    </row>
    <row r="356" spans="1:30" ht="15.75" x14ac:dyDescent="0.25">
      <c r="A356" s="4">
        <v>23</v>
      </c>
      <c r="B356" s="4">
        <v>14935</v>
      </c>
      <c r="C356" s="5" t="s">
        <v>268</v>
      </c>
      <c r="D356" s="6" t="s">
        <v>269</v>
      </c>
      <c r="E356" s="7" t="s">
        <v>7</v>
      </c>
      <c r="AD356" t="s">
        <v>799</v>
      </c>
    </row>
    <row r="357" spans="1:30" ht="15.75" x14ac:dyDescent="0.25">
      <c r="A357" s="4">
        <v>24</v>
      </c>
      <c r="B357" s="4">
        <v>14936</v>
      </c>
      <c r="C357" s="5" t="s">
        <v>297</v>
      </c>
      <c r="D357" s="6" t="s">
        <v>298</v>
      </c>
      <c r="E357" s="7" t="s">
        <v>7</v>
      </c>
      <c r="AD357" t="s">
        <v>801</v>
      </c>
    </row>
    <row r="358" spans="1:30" ht="15.75" x14ac:dyDescent="0.25">
      <c r="A358" s="4">
        <v>25</v>
      </c>
      <c r="B358" s="4">
        <v>14937</v>
      </c>
      <c r="C358" s="5" t="s">
        <v>204</v>
      </c>
      <c r="D358" s="6" t="s">
        <v>736</v>
      </c>
      <c r="E358" s="7" t="s">
        <v>7</v>
      </c>
      <c r="AD358" t="s">
        <v>793</v>
      </c>
    </row>
    <row r="359" spans="1:30" ht="15.75" x14ac:dyDescent="0.25">
      <c r="A359" s="4">
        <v>26</v>
      </c>
      <c r="B359" s="4">
        <v>14938</v>
      </c>
      <c r="C359" s="5" t="s">
        <v>452</v>
      </c>
      <c r="D359" s="6" t="s">
        <v>453</v>
      </c>
      <c r="E359" s="7" t="s">
        <v>7</v>
      </c>
      <c r="AD359" t="s">
        <v>795</v>
      </c>
    </row>
    <row r="360" spans="1:30" ht="15.75" x14ac:dyDescent="0.25">
      <c r="A360" s="4">
        <v>27</v>
      </c>
      <c r="B360" s="4">
        <v>14939</v>
      </c>
      <c r="C360" s="5" t="s">
        <v>180</v>
      </c>
      <c r="D360" s="6" t="s">
        <v>743</v>
      </c>
      <c r="E360" s="7" t="s">
        <v>8</v>
      </c>
      <c r="AD360" t="s">
        <v>802</v>
      </c>
    </row>
    <row r="361" spans="1:30" ht="15.75" x14ac:dyDescent="0.25">
      <c r="A361" s="4">
        <v>28</v>
      </c>
      <c r="B361" s="4">
        <v>14940</v>
      </c>
      <c r="C361" s="5" t="s">
        <v>78</v>
      </c>
      <c r="D361" s="6" t="s">
        <v>79</v>
      </c>
      <c r="E361" s="7" t="s">
        <v>7</v>
      </c>
      <c r="AD361" t="s">
        <v>797</v>
      </c>
    </row>
    <row r="362" spans="1:30" ht="15.75" x14ac:dyDescent="0.25">
      <c r="A362" s="4">
        <v>29</v>
      </c>
      <c r="B362" s="4">
        <v>14941</v>
      </c>
      <c r="C362" s="5" t="s">
        <v>638</v>
      </c>
      <c r="D362" s="6" t="s">
        <v>639</v>
      </c>
      <c r="E362" s="7" t="s">
        <v>7</v>
      </c>
      <c r="AD362" t="s">
        <v>800</v>
      </c>
    </row>
    <row r="363" spans="1:30" ht="15.75" x14ac:dyDescent="0.25">
      <c r="A363" s="4">
        <v>30</v>
      </c>
      <c r="B363" s="4">
        <v>14942</v>
      </c>
      <c r="C363" s="5" t="s">
        <v>454</v>
      </c>
      <c r="D363" s="6" t="s">
        <v>455</v>
      </c>
      <c r="E363" s="7" t="s">
        <v>7</v>
      </c>
      <c r="AD363" t="s">
        <v>798</v>
      </c>
    </row>
    <row r="364" spans="1:30" ht="15.75" x14ac:dyDescent="0.25">
      <c r="A364" s="4">
        <v>31</v>
      </c>
      <c r="B364" s="4">
        <v>14943</v>
      </c>
      <c r="C364" s="5" t="s">
        <v>620</v>
      </c>
      <c r="D364" s="6" t="s">
        <v>621</v>
      </c>
      <c r="E364" s="7" t="s">
        <v>7</v>
      </c>
      <c r="AD364" t="s">
        <v>802</v>
      </c>
    </row>
    <row r="365" spans="1:30" ht="15.75" x14ac:dyDescent="0.25">
      <c r="A365" s="4">
        <v>32</v>
      </c>
      <c r="B365" s="4">
        <v>14944</v>
      </c>
      <c r="C365" s="5" t="s">
        <v>578</v>
      </c>
      <c r="D365" s="6" t="s">
        <v>579</v>
      </c>
      <c r="E365" s="7" t="s">
        <v>7</v>
      </c>
      <c r="AD365" t="s">
        <v>798</v>
      </c>
    </row>
    <row r="366" spans="1:30" ht="15.75" x14ac:dyDescent="0.25">
      <c r="A366" s="4">
        <v>33</v>
      </c>
      <c r="B366" s="4">
        <v>14945</v>
      </c>
      <c r="C366" s="5" t="s">
        <v>469</v>
      </c>
      <c r="D366" s="6" t="s">
        <v>470</v>
      </c>
      <c r="E366" s="7" t="s">
        <v>7</v>
      </c>
      <c r="AD366" t="s">
        <v>794</v>
      </c>
    </row>
    <row r="367" spans="1:30" ht="15.75" x14ac:dyDescent="0.25">
      <c r="A367" s="4">
        <v>34</v>
      </c>
      <c r="B367" s="4">
        <v>14946</v>
      </c>
      <c r="C367" s="5" t="s">
        <v>38</v>
      </c>
      <c r="D367" s="6" t="s">
        <v>39</v>
      </c>
      <c r="E367" s="7" t="s">
        <v>7</v>
      </c>
      <c r="AD367" t="s">
        <v>796</v>
      </c>
    </row>
    <row r="368" spans="1:30" ht="15.75" x14ac:dyDescent="0.25">
      <c r="A368" s="4">
        <v>35</v>
      </c>
      <c r="B368" s="4">
        <v>14947</v>
      </c>
      <c r="C368" s="5" t="s">
        <v>521</v>
      </c>
      <c r="D368" s="5" t="s">
        <v>522</v>
      </c>
      <c r="E368" s="7" t="s">
        <v>8</v>
      </c>
      <c r="AD368" t="s">
        <v>793</v>
      </c>
    </row>
  </sheetData>
  <sortState xmlns:xlrd2="http://schemas.microsoft.com/office/spreadsheetml/2017/richdata2" ref="C10:AD368">
    <sortCondition ref="D10:D368"/>
  </sortState>
  <mergeCells count="16">
    <mergeCell ref="A1:AC1"/>
    <mergeCell ref="A2:AC2"/>
    <mergeCell ref="A3:AC3"/>
    <mergeCell ref="A4:AC4"/>
    <mergeCell ref="A7:A9"/>
    <mergeCell ref="C7:C9"/>
    <mergeCell ref="D7:D9"/>
    <mergeCell ref="E7:E9"/>
    <mergeCell ref="F7:H7"/>
    <mergeCell ref="I7:S7"/>
    <mergeCell ref="B7:B9"/>
    <mergeCell ref="T7:U7"/>
    <mergeCell ref="V7:AC7"/>
    <mergeCell ref="F8:M8"/>
    <mergeCell ref="N8:U8"/>
    <mergeCell ref="V8:AC8"/>
  </mergeCells>
  <conditionalFormatting sqref="D10:D28 D30:D42">
    <cfRule type="colorScale" priority="105">
      <colorScale>
        <cfvo type="min"/>
        <cfvo type="max"/>
        <color rgb="FFFCFCFF"/>
        <color rgb="FF63BE7B"/>
      </colorScale>
    </cfRule>
    <cfRule type="duplicateValues" dxfId="758" priority="106"/>
  </conditionalFormatting>
  <conditionalFormatting sqref="D29">
    <cfRule type="colorScale" priority="107">
      <colorScale>
        <cfvo type="min"/>
        <cfvo type="max"/>
        <color rgb="FFFCFCFF"/>
        <color rgb="FF63BE7B"/>
      </colorScale>
    </cfRule>
    <cfRule type="duplicateValues" dxfId="757" priority="108"/>
  </conditionalFormatting>
  <conditionalFormatting sqref="D43:D45">
    <cfRule type="colorScale" priority="103">
      <colorScale>
        <cfvo type="min"/>
        <cfvo type="max"/>
        <color rgb="FFFCFCFF"/>
        <color rgb="FF63BE7B"/>
      </colorScale>
    </cfRule>
    <cfRule type="duplicateValues" dxfId="756" priority="104"/>
  </conditionalFormatting>
  <conditionalFormatting sqref="D46:D64 D66:D68 D70:D78">
    <cfRule type="colorScale" priority="99">
      <colorScale>
        <cfvo type="min"/>
        <cfvo type="max"/>
        <color rgb="FFFCFCFF"/>
        <color rgb="FF63BE7B"/>
      </colorScale>
    </cfRule>
    <cfRule type="duplicateValues" dxfId="755" priority="100"/>
  </conditionalFormatting>
  <conditionalFormatting sqref="D65">
    <cfRule type="colorScale" priority="101">
      <colorScale>
        <cfvo type="min"/>
        <cfvo type="max"/>
        <color rgb="FFFCFCFF"/>
        <color rgb="FF63BE7B"/>
      </colorScale>
    </cfRule>
    <cfRule type="duplicateValues" dxfId="754" priority="102"/>
  </conditionalFormatting>
  <conditionalFormatting sqref="D69">
    <cfRule type="colorScale" priority="95">
      <colorScale>
        <cfvo type="min"/>
        <cfvo type="max"/>
        <color rgb="FFFCFCFF"/>
        <color rgb="FF63BE7B"/>
      </colorScale>
    </cfRule>
    <cfRule type="duplicateValues" dxfId="753" priority="96"/>
  </conditionalFormatting>
  <conditionalFormatting sqref="D79:D81">
    <cfRule type="colorScale" priority="97">
      <colorScale>
        <cfvo type="min"/>
        <cfvo type="max"/>
        <color rgb="FFFCFCFF"/>
        <color rgb="FF63BE7B"/>
      </colorScale>
    </cfRule>
    <cfRule type="duplicateValues" dxfId="752" priority="98"/>
  </conditionalFormatting>
  <conditionalFormatting sqref="D82:D98 D102:D114 D100">
    <cfRule type="colorScale" priority="91">
      <colorScale>
        <cfvo type="min"/>
        <cfvo type="max"/>
        <color rgb="FFFCFCFF"/>
        <color rgb="FF63BE7B"/>
      </colorScale>
    </cfRule>
    <cfRule type="duplicateValues" dxfId="751" priority="92"/>
  </conditionalFormatting>
  <conditionalFormatting sqref="D99">
    <cfRule type="colorScale" priority="87">
      <colorScale>
        <cfvo type="min"/>
        <cfvo type="max"/>
        <color rgb="FFFCFCFF"/>
        <color rgb="FF63BE7B"/>
      </colorScale>
    </cfRule>
    <cfRule type="duplicateValues" dxfId="750" priority="88"/>
  </conditionalFormatting>
  <conditionalFormatting sqref="D101">
    <cfRule type="colorScale" priority="93">
      <colorScale>
        <cfvo type="min"/>
        <cfvo type="max"/>
        <color rgb="FFFCFCFF"/>
        <color rgb="FF63BE7B"/>
      </colorScale>
    </cfRule>
    <cfRule type="duplicateValues" dxfId="749" priority="94"/>
  </conditionalFormatting>
  <conditionalFormatting sqref="D115:D117">
    <cfRule type="colorScale" priority="89">
      <colorScale>
        <cfvo type="min"/>
        <cfvo type="max"/>
        <color rgb="FFFCFCFF"/>
        <color rgb="FF63BE7B"/>
      </colorScale>
    </cfRule>
    <cfRule type="duplicateValues" dxfId="748" priority="90"/>
  </conditionalFormatting>
  <conditionalFormatting sqref="D118:D136 D138:D142 D144:D150">
    <cfRule type="colorScale" priority="83">
      <colorScale>
        <cfvo type="min"/>
        <cfvo type="max"/>
        <color rgb="FFFCFCFF"/>
        <color rgb="FF63BE7B"/>
      </colorScale>
    </cfRule>
    <cfRule type="duplicateValues" dxfId="747" priority="84"/>
  </conditionalFormatting>
  <conditionalFormatting sqref="D137">
    <cfRule type="colorScale" priority="85">
      <colorScale>
        <cfvo type="min"/>
        <cfvo type="max"/>
        <color rgb="FFFCFCFF"/>
        <color rgb="FF63BE7B"/>
      </colorScale>
    </cfRule>
    <cfRule type="duplicateValues" dxfId="746" priority="86"/>
  </conditionalFormatting>
  <conditionalFormatting sqref="D143">
    <cfRule type="colorScale" priority="79">
      <colorScale>
        <cfvo type="min"/>
        <cfvo type="max"/>
        <color rgb="FFFCFCFF"/>
        <color rgb="FF63BE7B"/>
      </colorScale>
    </cfRule>
    <cfRule type="duplicateValues" dxfId="745" priority="80"/>
  </conditionalFormatting>
  <conditionalFormatting sqref="D151:D153">
    <cfRule type="colorScale" priority="81">
      <colorScale>
        <cfvo type="min"/>
        <cfvo type="max"/>
        <color rgb="FFFCFCFF"/>
        <color rgb="FF63BE7B"/>
      </colorScale>
    </cfRule>
    <cfRule type="duplicateValues" dxfId="744" priority="82"/>
  </conditionalFormatting>
  <conditionalFormatting sqref="D154:D156 D174:D186 D158:D172">
    <cfRule type="colorScale" priority="75">
      <colorScale>
        <cfvo type="min"/>
        <cfvo type="max"/>
        <color rgb="FFFCFCFF"/>
        <color rgb="FF63BE7B"/>
      </colorScale>
    </cfRule>
    <cfRule type="duplicateValues" dxfId="743" priority="76"/>
  </conditionalFormatting>
  <conditionalFormatting sqref="D157">
    <cfRule type="colorScale" priority="71">
      <colorScale>
        <cfvo type="min"/>
        <cfvo type="max"/>
        <color rgb="FFFCFCFF"/>
        <color rgb="FF63BE7B"/>
      </colorScale>
    </cfRule>
    <cfRule type="duplicateValues" dxfId="742" priority="72"/>
  </conditionalFormatting>
  <conditionalFormatting sqref="D173">
    <cfRule type="colorScale" priority="77">
      <colorScale>
        <cfvo type="min"/>
        <cfvo type="max"/>
        <color rgb="FFFCFCFF"/>
        <color rgb="FF63BE7B"/>
      </colorScale>
    </cfRule>
    <cfRule type="duplicateValues" dxfId="741" priority="78"/>
  </conditionalFormatting>
  <conditionalFormatting sqref="D187:D189">
    <cfRule type="colorScale" priority="73">
      <colorScale>
        <cfvo type="min"/>
        <cfvo type="max"/>
        <color rgb="FFFCFCFF"/>
        <color rgb="FF63BE7B"/>
      </colorScale>
    </cfRule>
    <cfRule type="duplicateValues" dxfId="740" priority="74"/>
  </conditionalFormatting>
  <conditionalFormatting sqref="D190:D191 D210:D211 D193:D208 D213:D222">
    <cfRule type="colorScale" priority="67">
      <colorScale>
        <cfvo type="min"/>
        <cfvo type="max"/>
        <color rgb="FFFCFCFF"/>
        <color rgb="FF63BE7B"/>
      </colorScale>
    </cfRule>
    <cfRule type="duplicateValues" dxfId="739" priority="68"/>
  </conditionalFormatting>
  <conditionalFormatting sqref="D192">
    <cfRule type="colorScale" priority="63">
      <colorScale>
        <cfvo type="min"/>
        <cfvo type="max"/>
        <color rgb="FFFCFCFF"/>
        <color rgb="FF63BE7B"/>
      </colorScale>
    </cfRule>
    <cfRule type="duplicateValues" dxfId="738" priority="64"/>
  </conditionalFormatting>
  <conditionalFormatting sqref="D209">
    <cfRule type="colorScale" priority="69">
      <colorScale>
        <cfvo type="min"/>
        <cfvo type="max"/>
        <color rgb="FFFCFCFF"/>
        <color rgb="FF63BE7B"/>
      </colorScale>
    </cfRule>
    <cfRule type="duplicateValues" dxfId="737" priority="70"/>
  </conditionalFormatting>
  <conditionalFormatting sqref="D212">
    <cfRule type="colorScale" priority="61">
      <colorScale>
        <cfvo type="min"/>
        <cfvo type="max"/>
        <color rgb="FFFCFCFF"/>
        <color rgb="FF63BE7B"/>
      </colorScale>
    </cfRule>
    <cfRule type="duplicateValues" dxfId="736" priority="62"/>
  </conditionalFormatting>
  <conditionalFormatting sqref="D223:D225">
    <cfRule type="colorScale" priority="65">
      <colorScale>
        <cfvo type="min"/>
        <cfvo type="max"/>
        <color rgb="FFFCFCFF"/>
        <color rgb="FF63BE7B"/>
      </colorScale>
    </cfRule>
    <cfRule type="duplicateValues" dxfId="735" priority="66"/>
  </conditionalFormatting>
  <conditionalFormatting sqref="D227">
    <cfRule type="colorScale" priority="55">
      <colorScale>
        <cfvo type="min"/>
        <cfvo type="max"/>
        <color rgb="FFFCFCFF"/>
        <color rgb="FF63BE7B"/>
      </colorScale>
    </cfRule>
    <cfRule type="duplicateValues" dxfId="734" priority="56"/>
  </conditionalFormatting>
  <conditionalFormatting sqref="D228:D231 D226 D249:D253 D255:D258 D244 D233:D241">
    <cfRule type="colorScale" priority="53">
      <colorScale>
        <cfvo type="min"/>
        <cfvo type="max"/>
        <color rgb="FFFCFCFF"/>
        <color rgb="FF63BE7B"/>
      </colorScale>
    </cfRule>
    <cfRule type="duplicateValues" dxfId="733" priority="54"/>
  </conditionalFormatting>
  <conditionalFormatting sqref="D232">
    <cfRule type="colorScale" priority="39">
      <colorScale>
        <cfvo type="min"/>
        <cfvo type="max"/>
        <color rgb="FFFCFCFF"/>
        <color rgb="FF63BE7B"/>
      </colorScale>
    </cfRule>
    <cfRule type="duplicateValues" dxfId="732" priority="40"/>
  </conditionalFormatting>
  <conditionalFormatting sqref="D242">
    <cfRule type="colorScale" priority="45">
      <colorScale>
        <cfvo type="min"/>
        <cfvo type="max"/>
        <color rgb="FFFCFCFF"/>
        <color rgb="FF63BE7B"/>
      </colorScale>
    </cfRule>
    <cfRule type="duplicateValues" dxfId="731" priority="46"/>
  </conditionalFormatting>
  <conditionalFormatting sqref="D243">
    <cfRule type="colorScale" priority="41">
      <colorScale>
        <cfvo type="min"/>
        <cfvo type="max"/>
        <color rgb="FFFCFCFF"/>
        <color rgb="FF63BE7B"/>
      </colorScale>
    </cfRule>
    <cfRule type="duplicateValues" dxfId="730" priority="42"/>
  </conditionalFormatting>
  <conditionalFormatting sqref="D245">
    <cfRule type="colorScale" priority="59">
      <colorScale>
        <cfvo type="min"/>
        <cfvo type="max"/>
        <color rgb="FFFCFCFF"/>
        <color rgb="FF63BE7B"/>
      </colorScale>
    </cfRule>
    <cfRule type="duplicateValues" dxfId="729" priority="60"/>
  </conditionalFormatting>
  <conditionalFormatting sqref="D246">
    <cfRule type="colorScale" priority="37">
      <colorScale>
        <cfvo type="min"/>
        <cfvo type="max"/>
        <color rgb="FFFCFCFF"/>
        <color rgb="FF63BE7B"/>
      </colorScale>
    </cfRule>
    <cfRule type="duplicateValues" dxfId="728" priority="38"/>
  </conditionalFormatting>
  <conditionalFormatting sqref="D247">
    <cfRule type="colorScale" priority="43">
      <colorScale>
        <cfvo type="min"/>
        <cfvo type="max"/>
        <color rgb="FFFCFCFF"/>
        <color rgb="FF63BE7B"/>
      </colorScale>
    </cfRule>
    <cfRule type="duplicateValues" dxfId="727" priority="44"/>
  </conditionalFormatting>
  <conditionalFormatting sqref="D248">
    <cfRule type="colorScale" priority="51">
      <colorScale>
        <cfvo type="min"/>
        <cfvo type="max"/>
        <color rgb="FFFCFCFF"/>
        <color rgb="FF63BE7B"/>
      </colorScale>
    </cfRule>
    <cfRule type="duplicateValues" dxfId="726" priority="52"/>
  </conditionalFormatting>
  <conditionalFormatting sqref="D254">
    <cfRule type="colorScale" priority="47">
      <colorScale>
        <cfvo type="min"/>
        <cfvo type="max"/>
        <color rgb="FFFCFCFF"/>
        <color rgb="FF63BE7B"/>
      </colorScale>
    </cfRule>
    <cfRule type="duplicateValues" dxfId="725" priority="48"/>
  </conditionalFormatting>
  <conditionalFormatting sqref="D259">
    <cfRule type="colorScale" priority="49">
      <colorScale>
        <cfvo type="min"/>
        <cfvo type="max"/>
        <color rgb="FFFCFCFF"/>
        <color rgb="FF63BE7B"/>
      </colorScale>
    </cfRule>
    <cfRule type="duplicateValues" dxfId="724" priority="50"/>
  </conditionalFormatting>
  <conditionalFormatting sqref="D260:D261">
    <cfRule type="colorScale" priority="57">
      <colorScale>
        <cfvo type="min"/>
        <cfvo type="max"/>
        <color rgb="FFFCFCFF"/>
        <color rgb="FF63BE7B"/>
      </colorScale>
    </cfRule>
    <cfRule type="duplicateValues" dxfId="723" priority="58"/>
  </conditionalFormatting>
  <conditionalFormatting sqref="D262:D267 D287:D289 D282:D285 D291:D294 D269:D272 D274:D280">
    <cfRule type="colorScale" priority="29">
      <colorScale>
        <cfvo type="min"/>
        <cfvo type="max"/>
        <color rgb="FFFCFCFF"/>
        <color rgb="FF63BE7B"/>
      </colorScale>
    </cfRule>
    <cfRule type="duplicateValues" dxfId="722" priority="30"/>
  </conditionalFormatting>
  <conditionalFormatting sqref="D268">
    <cfRule type="colorScale" priority="23">
      <colorScale>
        <cfvo type="min"/>
        <cfvo type="max"/>
        <color rgb="FFFCFCFF"/>
        <color rgb="FF63BE7B"/>
      </colorScale>
    </cfRule>
    <cfRule type="duplicateValues" dxfId="721" priority="24"/>
  </conditionalFormatting>
  <conditionalFormatting sqref="D273">
    <cfRule type="colorScale" priority="21">
      <colorScale>
        <cfvo type="min"/>
        <cfvo type="max"/>
        <color rgb="FFFCFCFF"/>
        <color rgb="FF63BE7B"/>
      </colorScale>
    </cfRule>
    <cfRule type="duplicateValues" dxfId="720" priority="22"/>
  </conditionalFormatting>
  <conditionalFormatting sqref="D281">
    <cfRule type="colorScale" priority="35">
      <colorScale>
        <cfvo type="min"/>
        <cfvo type="max"/>
        <color rgb="FFFCFCFF"/>
        <color rgb="FF63BE7B"/>
      </colorScale>
    </cfRule>
    <cfRule type="duplicateValues" dxfId="719" priority="36"/>
  </conditionalFormatting>
  <conditionalFormatting sqref="D286">
    <cfRule type="colorScale" priority="31">
      <colorScale>
        <cfvo type="min"/>
        <cfvo type="max"/>
        <color rgb="FFFCFCFF"/>
        <color rgb="FF63BE7B"/>
      </colorScale>
    </cfRule>
    <cfRule type="duplicateValues" dxfId="718" priority="32"/>
  </conditionalFormatting>
  <conditionalFormatting sqref="D290">
    <cfRule type="colorScale" priority="25">
      <colorScale>
        <cfvo type="min"/>
        <cfvo type="max"/>
        <color rgb="FFFCFCFF"/>
        <color rgb="FF63BE7B"/>
      </colorScale>
    </cfRule>
    <cfRule type="duplicateValues" dxfId="717" priority="26"/>
  </conditionalFormatting>
  <conditionalFormatting sqref="D295">
    <cfRule type="colorScale" priority="27">
      <colorScale>
        <cfvo type="min"/>
        <cfvo type="max"/>
        <color rgb="FFFCFCFF"/>
        <color rgb="FF63BE7B"/>
      </colorScale>
    </cfRule>
    <cfRule type="duplicateValues" dxfId="716" priority="28"/>
  </conditionalFormatting>
  <conditionalFormatting sqref="D296:D297">
    <cfRule type="colorScale" priority="33">
      <colorScale>
        <cfvo type="min"/>
        <cfvo type="max"/>
        <color rgb="FFFCFCFF"/>
        <color rgb="FF63BE7B"/>
      </colorScale>
    </cfRule>
    <cfRule type="duplicateValues" dxfId="715" priority="34"/>
  </conditionalFormatting>
  <conditionalFormatting sqref="D298:D305 D318:D323 D307:D316 D325:D330">
    <cfRule type="colorScale" priority="17">
      <colorScale>
        <cfvo type="min"/>
        <cfvo type="max"/>
        <color rgb="FFFCFCFF"/>
        <color rgb="FF63BE7B"/>
      </colorScale>
    </cfRule>
    <cfRule type="duplicateValues" dxfId="714" priority="18"/>
  </conditionalFormatting>
  <conditionalFormatting sqref="D306">
    <cfRule type="colorScale" priority="13">
      <colorScale>
        <cfvo type="min"/>
        <cfvo type="max"/>
        <color rgb="FFFCFCFF"/>
        <color rgb="FF63BE7B"/>
      </colorScale>
    </cfRule>
    <cfRule type="duplicateValues" dxfId="713" priority="14"/>
  </conditionalFormatting>
  <conditionalFormatting sqref="D317">
    <cfRule type="colorScale" priority="19">
      <colorScale>
        <cfvo type="min"/>
        <cfvo type="max"/>
        <color rgb="FFFCFCFF"/>
        <color rgb="FF63BE7B"/>
      </colorScale>
    </cfRule>
    <cfRule type="duplicateValues" dxfId="712" priority="20"/>
  </conditionalFormatting>
  <conditionalFormatting sqref="D324">
    <cfRule type="colorScale" priority="11">
      <colorScale>
        <cfvo type="min"/>
        <cfvo type="max"/>
        <color rgb="FFFCFCFF"/>
        <color rgb="FF63BE7B"/>
      </colorScale>
    </cfRule>
    <cfRule type="duplicateValues" dxfId="711" priority="12"/>
  </conditionalFormatting>
  <conditionalFormatting sqref="D331:D333">
    <cfRule type="colorScale" priority="15">
      <colorScale>
        <cfvo type="min"/>
        <cfvo type="max"/>
        <color rgb="FFFCFCFF"/>
        <color rgb="FF63BE7B"/>
      </colorScale>
    </cfRule>
    <cfRule type="duplicateValues" dxfId="710" priority="16"/>
  </conditionalFormatting>
  <conditionalFormatting sqref="D334:D337 D354:D361 D339:D352 D363:D366">
    <cfRule type="colorScale" priority="7">
      <colorScale>
        <cfvo type="min"/>
        <cfvo type="max"/>
        <color rgb="FFFCFCFF"/>
        <color rgb="FF63BE7B"/>
      </colorScale>
    </cfRule>
    <cfRule type="duplicateValues" dxfId="709" priority="8"/>
  </conditionalFormatting>
  <conditionalFormatting sqref="D338">
    <cfRule type="colorScale" priority="3">
      <colorScale>
        <cfvo type="min"/>
        <cfvo type="max"/>
        <color rgb="FFFCFCFF"/>
        <color rgb="FF63BE7B"/>
      </colorScale>
    </cfRule>
    <cfRule type="duplicateValues" dxfId="708" priority="4"/>
  </conditionalFormatting>
  <conditionalFormatting sqref="D353">
    <cfRule type="colorScale" priority="9">
      <colorScale>
        <cfvo type="min"/>
        <cfvo type="max"/>
        <color rgb="FFFCFCFF"/>
        <color rgb="FF63BE7B"/>
      </colorScale>
    </cfRule>
    <cfRule type="duplicateValues" dxfId="707" priority="10"/>
  </conditionalFormatting>
  <conditionalFormatting sqref="D362">
    <cfRule type="colorScale" priority="1">
      <colorScale>
        <cfvo type="min"/>
        <cfvo type="max"/>
        <color rgb="FFFCFCFF"/>
        <color rgb="FF63BE7B"/>
      </colorScale>
    </cfRule>
    <cfRule type="duplicateValues" dxfId="706" priority="2"/>
  </conditionalFormatting>
  <conditionalFormatting sqref="D367:D368">
    <cfRule type="colorScale" priority="5">
      <colorScale>
        <cfvo type="min"/>
        <cfvo type="max"/>
        <color rgb="FFFCFCFF"/>
        <color rgb="FF63BE7B"/>
      </colorScale>
    </cfRule>
    <cfRule type="duplicateValues" dxfId="705" priority="6"/>
  </conditionalFormatting>
  <pageMargins left="0.23622047244094491" right="0.15748031496062992" top="0.45" bottom="0.64" header="0.31496062992125984" footer="0.31496062992125984"/>
  <pageSetup paperSize="9" scale="85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46"/>
  <sheetViews>
    <sheetView workbookViewId="0">
      <selection activeCell="F8" sqref="F8:AC8"/>
    </sheetView>
  </sheetViews>
  <sheetFormatPr defaultColWidth="3.28515625" defaultRowHeight="15" x14ac:dyDescent="0.25"/>
  <cols>
    <col min="1" max="1" width="3.7109375" customWidth="1"/>
    <col min="2" max="2" width="6.42578125" customWidth="1"/>
    <col min="3" max="3" width="11.140625" customWidth="1"/>
    <col min="4" max="4" width="34.140625" bestFit="1" customWidth="1"/>
    <col min="5" max="5" width="3.7109375" bestFit="1" customWidth="1"/>
    <col min="6" max="6" width="3.5703125" customWidth="1"/>
    <col min="7" max="29" width="2.7109375" customWidth="1"/>
    <col min="31" max="31" width="9.42578125" hidden="1" customWidth="1"/>
    <col min="32" max="33" width="0" hidden="1" customWidth="1"/>
    <col min="34" max="34" width="11" hidden="1" customWidth="1"/>
    <col min="35" max="35" width="9" hidden="1" customWidth="1"/>
    <col min="36" max="49" width="0" hidden="1" customWidth="1"/>
    <col min="52" max="52" width="3.28515625" customWidth="1"/>
    <col min="53" max="53" width="17.85546875" bestFit="1" customWidth="1"/>
    <col min="54" max="54" width="38.85546875" bestFit="1" customWidth="1"/>
  </cols>
  <sheetData>
    <row r="1" spans="1:55" x14ac:dyDescent="0.25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E1" s="15" t="s">
        <v>726</v>
      </c>
      <c r="AF1" t="s">
        <v>604</v>
      </c>
      <c r="AG1">
        <v>20527197</v>
      </c>
      <c r="AH1" t="s">
        <v>605</v>
      </c>
      <c r="AI1" t="s">
        <v>8</v>
      </c>
    </row>
    <row r="2" spans="1:55" ht="21.75" customHeight="1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E2" s="15" t="s">
        <v>726</v>
      </c>
      <c r="AF2" t="s">
        <v>570</v>
      </c>
      <c r="AG2">
        <v>20583363</v>
      </c>
      <c r="AH2" t="s">
        <v>571</v>
      </c>
      <c r="AI2" t="s">
        <v>7</v>
      </c>
    </row>
    <row r="3" spans="1:55" ht="20.25" customHeight="1" x14ac:dyDescent="0.25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E3" s="15" t="s">
        <v>726</v>
      </c>
      <c r="AF3" t="s">
        <v>465</v>
      </c>
      <c r="AG3">
        <v>20527197</v>
      </c>
      <c r="AH3" t="s">
        <v>466</v>
      </c>
      <c r="AI3" t="s">
        <v>8</v>
      </c>
    </row>
    <row r="4" spans="1:55" ht="21" x14ac:dyDescent="0.35">
      <c r="A4" s="55" t="s">
        <v>1209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E4" s="18" t="s">
        <v>371</v>
      </c>
      <c r="AF4" t="s">
        <v>276</v>
      </c>
      <c r="AG4">
        <v>20527180</v>
      </c>
      <c r="AH4" t="s">
        <v>277</v>
      </c>
      <c r="AI4" t="s">
        <v>8</v>
      </c>
    </row>
    <row r="5" spans="1:55" x14ac:dyDescent="0.25">
      <c r="A5" s="1"/>
      <c r="B5" s="1"/>
      <c r="C5" s="2"/>
      <c r="P5" s="11"/>
      <c r="AE5" s="15" t="s">
        <v>726</v>
      </c>
      <c r="AF5" t="s">
        <v>697</v>
      </c>
      <c r="AG5">
        <v>20527202</v>
      </c>
      <c r="AH5" t="s">
        <v>698</v>
      </c>
      <c r="AI5" t="s">
        <v>8</v>
      </c>
    </row>
    <row r="6" spans="1:55" ht="3.75" customHeight="1" x14ac:dyDescent="0.25">
      <c r="A6" s="1"/>
      <c r="B6" s="1"/>
      <c r="C6" s="2"/>
      <c r="AE6" s="15" t="s">
        <v>726</v>
      </c>
      <c r="AF6" t="s">
        <v>527</v>
      </c>
      <c r="AG6">
        <v>20527180</v>
      </c>
      <c r="AH6" t="s">
        <v>528</v>
      </c>
      <c r="AI6" t="s">
        <v>7</v>
      </c>
    </row>
    <row r="7" spans="1:55" x14ac:dyDescent="0.25">
      <c r="A7" s="56" t="s">
        <v>0</v>
      </c>
      <c r="B7" s="57" t="s">
        <v>803</v>
      </c>
      <c r="C7" s="57" t="s">
        <v>1</v>
      </c>
      <c r="D7" s="56" t="s">
        <v>2</v>
      </c>
      <c r="E7" s="58" t="s">
        <v>3</v>
      </c>
      <c r="F7" s="59" t="s">
        <v>4</v>
      </c>
      <c r="G7" s="60"/>
      <c r="H7" s="61"/>
      <c r="I7" s="62" t="s">
        <v>808</v>
      </c>
      <c r="J7" s="63"/>
      <c r="K7" s="63"/>
      <c r="L7" s="63"/>
      <c r="M7" s="63"/>
      <c r="N7" s="63"/>
      <c r="O7" s="63"/>
      <c r="P7" s="63"/>
      <c r="Q7" s="63"/>
      <c r="R7" s="63"/>
      <c r="S7" s="64"/>
      <c r="T7" s="65" t="s">
        <v>5</v>
      </c>
      <c r="U7" s="65"/>
      <c r="V7" s="66" t="s">
        <v>809</v>
      </c>
      <c r="W7" s="67"/>
      <c r="X7" s="67"/>
      <c r="Y7" s="67"/>
      <c r="Z7" s="67"/>
      <c r="AA7" s="67"/>
      <c r="AB7" s="67"/>
      <c r="AC7" s="67"/>
      <c r="AE7" s="18" t="s">
        <v>371</v>
      </c>
      <c r="AF7" t="s">
        <v>236</v>
      </c>
      <c r="AG7">
        <v>20527197</v>
      </c>
      <c r="AH7" t="s">
        <v>237</v>
      </c>
      <c r="AI7" t="s">
        <v>8</v>
      </c>
    </row>
    <row r="8" spans="1:55" x14ac:dyDescent="0.25">
      <c r="A8" s="56"/>
      <c r="B8" s="57"/>
      <c r="C8" s="57"/>
      <c r="D8" s="56"/>
      <c r="E8" s="58"/>
      <c r="F8" s="62" t="s">
        <v>1214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4"/>
      <c r="AE8" s="13" t="s">
        <v>50</v>
      </c>
      <c r="AF8" t="s">
        <v>42</v>
      </c>
      <c r="AG8">
        <v>20566545</v>
      </c>
      <c r="AH8" t="s">
        <v>43</v>
      </c>
      <c r="AI8" t="s">
        <v>7</v>
      </c>
    </row>
    <row r="9" spans="1:55" x14ac:dyDescent="0.25">
      <c r="A9" s="56"/>
      <c r="B9" s="57"/>
      <c r="C9" s="57"/>
      <c r="D9" s="56"/>
      <c r="E9" s="58"/>
      <c r="F9" s="97">
        <v>1</v>
      </c>
      <c r="G9" s="3">
        <v>2</v>
      </c>
      <c r="H9" s="3">
        <v>3</v>
      </c>
      <c r="I9" s="3">
        <v>4</v>
      </c>
      <c r="J9" s="3">
        <v>5</v>
      </c>
      <c r="K9" s="3">
        <v>6</v>
      </c>
      <c r="L9" s="3">
        <v>7</v>
      </c>
      <c r="M9" s="3">
        <v>8</v>
      </c>
      <c r="N9" s="3">
        <v>1</v>
      </c>
      <c r="O9" s="3">
        <v>2</v>
      </c>
      <c r="P9" s="3">
        <v>3</v>
      </c>
      <c r="Q9" s="3">
        <v>4</v>
      </c>
      <c r="R9" s="3">
        <v>5</v>
      </c>
      <c r="S9" s="3">
        <v>6</v>
      </c>
      <c r="T9" s="3">
        <v>7</v>
      </c>
      <c r="U9" s="3">
        <v>8</v>
      </c>
      <c r="V9" s="3">
        <v>1</v>
      </c>
      <c r="W9" s="3">
        <v>2</v>
      </c>
      <c r="X9" s="3">
        <v>3</v>
      </c>
      <c r="Y9" s="3">
        <v>4</v>
      </c>
      <c r="Z9" s="3">
        <v>5</v>
      </c>
      <c r="AA9" s="3">
        <v>6</v>
      </c>
      <c r="AB9" s="3">
        <v>7</v>
      </c>
      <c r="AC9" s="3">
        <v>8</v>
      </c>
      <c r="AE9" s="18" t="s">
        <v>371</v>
      </c>
      <c r="AF9" t="s">
        <v>361</v>
      </c>
      <c r="AG9">
        <v>20527193</v>
      </c>
      <c r="AH9" t="s">
        <v>362</v>
      </c>
      <c r="AI9" t="s">
        <v>8</v>
      </c>
    </row>
    <row r="10" spans="1:55" ht="20.100000000000001" customHeight="1" x14ac:dyDescent="0.25">
      <c r="A10" s="4">
        <v>1</v>
      </c>
      <c r="B10" s="4">
        <v>14596</v>
      </c>
      <c r="C10" s="5" t="s">
        <v>604</v>
      </c>
      <c r="D10" s="5" t="s">
        <v>605</v>
      </c>
      <c r="E10" s="24" t="s">
        <v>8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E10" s="18" t="s">
        <v>371</v>
      </c>
      <c r="AF10" t="s">
        <v>272</v>
      </c>
      <c r="AG10">
        <v>20527180</v>
      </c>
      <c r="AH10" t="s">
        <v>273</v>
      </c>
      <c r="AI10" t="s">
        <v>7</v>
      </c>
      <c r="AJ10" t="str">
        <f>UPPER(D10)</f>
        <v>ACHMAD RIZQON JANUAR</v>
      </c>
      <c r="AZ10" s="47">
        <v>1</v>
      </c>
      <c r="BA10" s="48" t="s">
        <v>833</v>
      </c>
      <c r="BB10" s="49" t="s">
        <v>605</v>
      </c>
      <c r="BC10" s="50" t="s">
        <v>8</v>
      </c>
    </row>
    <row r="11" spans="1:55" ht="20.100000000000001" customHeight="1" x14ac:dyDescent="0.25">
      <c r="A11" s="4">
        <v>2</v>
      </c>
      <c r="B11" s="4">
        <v>14600</v>
      </c>
      <c r="C11" s="5" t="s">
        <v>414</v>
      </c>
      <c r="D11" s="5" t="s">
        <v>415</v>
      </c>
      <c r="E11" s="24" t="s">
        <v>7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E11" s="14" t="s">
        <v>141</v>
      </c>
      <c r="AF11" t="s">
        <v>127</v>
      </c>
      <c r="AG11">
        <v>20528609</v>
      </c>
      <c r="AH11" t="s">
        <v>128</v>
      </c>
      <c r="AI11" t="s">
        <v>8</v>
      </c>
      <c r="AJ11" t="str">
        <f t="shared" ref="AJ11:AJ45" si="0">UPPER(D11)</f>
        <v>ADINDA ZIFANNA OKTAFIA</v>
      </c>
      <c r="AZ11" s="47">
        <v>2</v>
      </c>
      <c r="BA11" s="48" t="s">
        <v>834</v>
      </c>
      <c r="BB11" s="49" t="s">
        <v>415</v>
      </c>
      <c r="BC11" s="50" t="s">
        <v>7</v>
      </c>
    </row>
    <row r="12" spans="1:55" ht="20.100000000000001" customHeight="1" x14ac:dyDescent="0.25">
      <c r="A12" s="4">
        <v>3</v>
      </c>
      <c r="B12" s="4">
        <v>14603</v>
      </c>
      <c r="C12" s="5" t="s">
        <v>117</v>
      </c>
      <c r="D12" s="5" t="s">
        <v>118</v>
      </c>
      <c r="E12" s="24" t="s">
        <v>8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E12" s="14" t="s">
        <v>141</v>
      </c>
      <c r="AF12" t="s">
        <v>81</v>
      </c>
      <c r="AG12">
        <v>20583410</v>
      </c>
      <c r="AH12" t="s">
        <v>82</v>
      </c>
      <c r="AI12" t="s">
        <v>8</v>
      </c>
      <c r="AJ12" t="str">
        <f t="shared" si="0"/>
        <v>ADLI YUSUF ALIFDI</v>
      </c>
      <c r="AZ12" s="47">
        <v>3</v>
      </c>
      <c r="BA12" s="48" t="s">
        <v>835</v>
      </c>
      <c r="BB12" s="49" t="s">
        <v>118</v>
      </c>
      <c r="BC12" s="50" t="s">
        <v>8</v>
      </c>
    </row>
    <row r="13" spans="1:55" ht="20.100000000000001" customHeight="1" x14ac:dyDescent="0.25">
      <c r="A13" s="4">
        <v>4</v>
      </c>
      <c r="B13" s="4">
        <v>14609</v>
      </c>
      <c r="C13" s="9" t="s">
        <v>281</v>
      </c>
      <c r="D13" s="5" t="s">
        <v>282</v>
      </c>
      <c r="E13" s="24" t="s">
        <v>7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E13" s="13" t="s">
        <v>50</v>
      </c>
      <c r="AF13" t="s">
        <v>14</v>
      </c>
      <c r="AG13">
        <v>20527185</v>
      </c>
      <c r="AH13" t="s">
        <v>15</v>
      </c>
      <c r="AI13" t="s">
        <v>8</v>
      </c>
      <c r="AJ13" t="str">
        <f t="shared" si="0"/>
        <v>AISYAH ANA HARIYANTO</v>
      </c>
      <c r="AZ13" s="47">
        <v>4</v>
      </c>
      <c r="BA13" s="48" t="s">
        <v>836</v>
      </c>
      <c r="BB13" s="49" t="s">
        <v>282</v>
      </c>
      <c r="BC13" s="50" t="s">
        <v>7</v>
      </c>
    </row>
    <row r="14" spans="1:55" ht="20.100000000000001" customHeight="1" x14ac:dyDescent="0.25">
      <c r="A14" s="4">
        <v>5</v>
      </c>
      <c r="B14" s="4">
        <v>14611</v>
      </c>
      <c r="C14" s="5" t="s">
        <v>561</v>
      </c>
      <c r="D14" s="5" t="s">
        <v>562</v>
      </c>
      <c r="E14" s="24" t="s">
        <v>7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E14" s="15" t="s">
        <v>726</v>
      </c>
      <c r="AF14" t="s">
        <v>622</v>
      </c>
      <c r="AG14">
        <v>20527197</v>
      </c>
      <c r="AH14" t="s">
        <v>623</v>
      </c>
      <c r="AI14" t="s">
        <v>7</v>
      </c>
      <c r="AJ14" t="str">
        <f t="shared" si="0"/>
        <v>AISYAH AZZAHRA</v>
      </c>
      <c r="AZ14" s="47">
        <v>5</v>
      </c>
      <c r="BA14" s="48" t="s">
        <v>837</v>
      </c>
      <c r="BB14" s="49" t="s">
        <v>562</v>
      </c>
      <c r="BC14" s="50" t="s">
        <v>7</v>
      </c>
    </row>
    <row r="15" spans="1:55" ht="20.100000000000001" customHeight="1" x14ac:dyDescent="0.25">
      <c r="A15" s="4">
        <v>6</v>
      </c>
      <c r="B15" s="4">
        <v>14631</v>
      </c>
      <c r="C15" s="5" t="s">
        <v>766</v>
      </c>
      <c r="D15" s="5" t="s">
        <v>194</v>
      </c>
      <c r="E15" s="24" t="s">
        <v>8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E15" s="18" t="s">
        <v>371</v>
      </c>
      <c r="AF15" t="s">
        <v>240</v>
      </c>
      <c r="AG15">
        <v>20527197</v>
      </c>
      <c r="AH15" t="s">
        <v>241</v>
      </c>
      <c r="AI15" t="s">
        <v>7</v>
      </c>
      <c r="AJ15" t="str">
        <f t="shared" si="0"/>
        <v>ANAS NUR ASMORI</v>
      </c>
      <c r="AZ15" s="47">
        <v>6</v>
      </c>
      <c r="BA15" s="48" t="s">
        <v>838</v>
      </c>
      <c r="BB15" s="49" t="s">
        <v>194</v>
      </c>
      <c r="BC15" s="50" t="s">
        <v>8</v>
      </c>
    </row>
    <row r="16" spans="1:55" ht="20.100000000000001" customHeight="1" x14ac:dyDescent="0.25">
      <c r="A16" s="4">
        <v>7</v>
      </c>
      <c r="B16" s="4">
        <v>14635</v>
      </c>
      <c r="C16" s="5" t="s">
        <v>46</v>
      </c>
      <c r="D16" s="5" t="s">
        <v>47</v>
      </c>
      <c r="E16" s="24" t="s">
        <v>8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E16" s="18" t="s">
        <v>371</v>
      </c>
      <c r="AF16" t="s">
        <v>323</v>
      </c>
      <c r="AG16">
        <v>20528625</v>
      </c>
      <c r="AH16" t="s">
        <v>324</v>
      </c>
      <c r="AI16" t="s">
        <v>8</v>
      </c>
      <c r="AJ16" t="str">
        <f t="shared" si="0"/>
        <v>ANDREA NAUFAL SETIAWAN</v>
      </c>
      <c r="AZ16" s="47">
        <v>7</v>
      </c>
      <c r="BA16" s="48" t="s">
        <v>839</v>
      </c>
      <c r="BB16" s="49" t="s">
        <v>47</v>
      </c>
      <c r="BC16" s="50" t="s">
        <v>8</v>
      </c>
    </row>
    <row r="17" spans="1:55" ht="20.100000000000001" customHeight="1" x14ac:dyDescent="0.25">
      <c r="A17" s="4">
        <v>8</v>
      </c>
      <c r="B17" s="4">
        <v>14640</v>
      </c>
      <c r="C17" s="5" t="s">
        <v>523</v>
      </c>
      <c r="D17" s="5" t="s">
        <v>524</v>
      </c>
      <c r="E17" s="24" t="s">
        <v>7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E17" s="15" t="s">
        <v>726</v>
      </c>
      <c r="AF17" t="s">
        <v>505</v>
      </c>
      <c r="AG17">
        <v>20527180</v>
      </c>
      <c r="AH17" t="s">
        <v>506</v>
      </c>
      <c r="AI17" t="s">
        <v>8</v>
      </c>
      <c r="AJ17" t="str">
        <f t="shared" si="0"/>
        <v>ARIANNA FATHIA LATHIEFANI</v>
      </c>
      <c r="AZ17" s="47">
        <v>8</v>
      </c>
      <c r="BA17" s="48" t="s">
        <v>840</v>
      </c>
      <c r="BB17" s="49" t="s">
        <v>524</v>
      </c>
      <c r="BC17" s="50" t="s">
        <v>7</v>
      </c>
    </row>
    <row r="18" spans="1:55" ht="20.100000000000001" customHeight="1" x14ac:dyDescent="0.25">
      <c r="A18" s="4">
        <v>9</v>
      </c>
      <c r="B18" s="4">
        <v>14643</v>
      </c>
      <c r="C18" s="5" t="s">
        <v>301</v>
      </c>
      <c r="D18" s="5" t="s">
        <v>302</v>
      </c>
      <c r="E18" s="24" t="s">
        <v>7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E18" s="15" t="s">
        <v>726</v>
      </c>
      <c r="AF18" t="s">
        <v>434</v>
      </c>
      <c r="AG18">
        <v>20527197</v>
      </c>
      <c r="AH18" t="s">
        <v>435</v>
      </c>
      <c r="AI18" t="s">
        <v>8</v>
      </c>
      <c r="AJ18" t="str">
        <f t="shared" si="0"/>
        <v>ARINI ULFA HIDAYATI</v>
      </c>
      <c r="AZ18" s="47">
        <v>9</v>
      </c>
      <c r="BA18" s="48" t="s">
        <v>841</v>
      </c>
      <c r="BB18" s="49" t="s">
        <v>302</v>
      </c>
      <c r="BC18" s="50" t="s">
        <v>7</v>
      </c>
    </row>
    <row r="19" spans="1:55" ht="20.100000000000001" customHeight="1" x14ac:dyDescent="0.25">
      <c r="A19" s="4">
        <v>10</v>
      </c>
      <c r="B19" s="4">
        <v>14646</v>
      </c>
      <c r="C19" s="9" t="s">
        <v>321</v>
      </c>
      <c r="D19" s="5" t="s">
        <v>322</v>
      </c>
      <c r="E19" s="24" t="s">
        <v>8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E19" s="15" t="s">
        <v>726</v>
      </c>
      <c r="AF19" t="s">
        <v>580</v>
      </c>
      <c r="AG19">
        <v>20527197</v>
      </c>
      <c r="AH19" t="s">
        <v>581</v>
      </c>
      <c r="AI19" t="s">
        <v>8</v>
      </c>
      <c r="AJ19" t="str">
        <f t="shared" si="0"/>
        <v>ARYA DEFIAN AL FARABI</v>
      </c>
      <c r="AZ19" s="47">
        <v>10</v>
      </c>
      <c r="BA19" s="48" t="s">
        <v>842</v>
      </c>
      <c r="BB19" s="49" t="s">
        <v>322</v>
      </c>
      <c r="BC19" s="50" t="s">
        <v>8</v>
      </c>
    </row>
    <row r="20" spans="1:55" ht="20.100000000000001" customHeight="1" x14ac:dyDescent="0.25">
      <c r="A20" s="4">
        <v>11</v>
      </c>
      <c r="B20" s="4">
        <v>14657</v>
      </c>
      <c r="C20" s="5" t="s">
        <v>83</v>
      </c>
      <c r="D20" s="5" t="s">
        <v>84</v>
      </c>
      <c r="E20" s="24" t="s">
        <v>8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E20" s="15" t="s">
        <v>726</v>
      </c>
      <c r="AF20" t="s">
        <v>651</v>
      </c>
      <c r="AG20">
        <v>20527197</v>
      </c>
      <c r="AH20" t="s">
        <v>652</v>
      </c>
      <c r="AI20" t="s">
        <v>8</v>
      </c>
      <c r="AJ20" t="str">
        <f t="shared" si="0"/>
        <v>AURIGA SYAFHA FAIRUZ SYAHREZA</v>
      </c>
      <c r="AZ20" s="47">
        <v>11</v>
      </c>
      <c r="BA20" s="48" t="s">
        <v>843</v>
      </c>
      <c r="BB20" s="49" t="s">
        <v>84</v>
      </c>
      <c r="BC20" s="50" t="s">
        <v>8</v>
      </c>
    </row>
    <row r="21" spans="1:55" ht="20.100000000000001" customHeight="1" x14ac:dyDescent="0.25">
      <c r="A21" s="4">
        <v>12</v>
      </c>
      <c r="B21" s="4">
        <v>14700</v>
      </c>
      <c r="C21" s="5" t="s">
        <v>139</v>
      </c>
      <c r="D21" s="5" t="s">
        <v>140</v>
      </c>
      <c r="E21" s="24" t="s">
        <v>8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E21" s="15" t="s">
        <v>726</v>
      </c>
      <c r="AF21" t="s">
        <v>386</v>
      </c>
      <c r="AG21">
        <v>20527197</v>
      </c>
      <c r="AH21" t="s">
        <v>387</v>
      </c>
      <c r="AI21" t="s">
        <v>7</v>
      </c>
      <c r="AJ21" t="str">
        <f t="shared" si="0"/>
        <v>FAKHRILLAH HASAN</v>
      </c>
      <c r="AZ21" s="47">
        <v>13</v>
      </c>
      <c r="BA21" s="48" t="s">
        <v>844</v>
      </c>
      <c r="BB21" s="49" t="s">
        <v>140</v>
      </c>
      <c r="BC21" s="50" t="s">
        <v>8</v>
      </c>
    </row>
    <row r="22" spans="1:55" ht="20.100000000000001" customHeight="1" x14ac:dyDescent="0.25">
      <c r="A22" s="4">
        <v>13</v>
      </c>
      <c r="B22" s="4">
        <v>14703</v>
      </c>
      <c r="C22" s="5" t="s">
        <v>367</v>
      </c>
      <c r="D22" s="5" t="s">
        <v>368</v>
      </c>
      <c r="E22" s="24" t="s">
        <v>8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E22" s="17" t="s">
        <v>197</v>
      </c>
      <c r="AF22" t="s">
        <v>174</v>
      </c>
      <c r="AG22">
        <v>69991338</v>
      </c>
      <c r="AH22" t="s">
        <v>175</v>
      </c>
      <c r="AI22" t="s">
        <v>8</v>
      </c>
      <c r="AJ22" t="str">
        <f t="shared" si="0"/>
        <v>FARDAN ABDILLAH NUR FIRDAUS</v>
      </c>
      <c r="AZ22" s="47">
        <v>14</v>
      </c>
      <c r="BA22" s="48" t="s">
        <v>845</v>
      </c>
      <c r="BB22" s="49" t="s">
        <v>368</v>
      </c>
      <c r="BC22" s="50" t="s">
        <v>8</v>
      </c>
    </row>
    <row r="23" spans="1:55" ht="20.100000000000001" customHeight="1" x14ac:dyDescent="0.25">
      <c r="A23" s="4">
        <v>14</v>
      </c>
      <c r="B23" s="4">
        <v>14710</v>
      </c>
      <c r="C23" s="5" t="s">
        <v>359</v>
      </c>
      <c r="D23" s="5" t="s">
        <v>360</v>
      </c>
      <c r="E23" s="24" t="s">
        <v>7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E23" s="16" t="s">
        <v>80</v>
      </c>
      <c r="AF23" t="s">
        <v>74</v>
      </c>
      <c r="AG23">
        <v>20364507</v>
      </c>
      <c r="AH23" t="s">
        <v>75</v>
      </c>
      <c r="AI23" t="s">
        <v>7</v>
      </c>
      <c r="AJ23" t="str">
        <f t="shared" si="0"/>
        <v>FEBRI NURIA FAJRIN</v>
      </c>
      <c r="AZ23" s="47">
        <v>15</v>
      </c>
      <c r="BA23" s="48" t="s">
        <v>846</v>
      </c>
      <c r="BB23" s="49" t="s">
        <v>360</v>
      </c>
      <c r="BC23" s="50" t="s">
        <v>7</v>
      </c>
    </row>
    <row r="24" spans="1:55" ht="20.100000000000001" customHeight="1" x14ac:dyDescent="0.25">
      <c r="A24" s="4">
        <v>15</v>
      </c>
      <c r="B24" s="4">
        <v>14712</v>
      </c>
      <c r="C24" s="5" t="s">
        <v>475</v>
      </c>
      <c r="D24" s="5" t="s">
        <v>476</v>
      </c>
      <c r="E24" s="24" t="s">
        <v>7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E24" s="15" t="s">
        <v>726</v>
      </c>
      <c r="AF24" t="s">
        <v>543</v>
      </c>
      <c r="AG24">
        <v>20527180</v>
      </c>
      <c r="AH24" t="s">
        <v>544</v>
      </c>
      <c r="AI24" t="s">
        <v>8</v>
      </c>
      <c r="AJ24" t="str">
        <f t="shared" si="0"/>
        <v>FIRA OKTAVIA HIDAYATI</v>
      </c>
      <c r="AZ24" s="47">
        <v>16</v>
      </c>
      <c r="BA24" s="48" t="s">
        <v>847</v>
      </c>
      <c r="BB24" s="49" t="s">
        <v>476</v>
      </c>
      <c r="BC24" s="50" t="s">
        <v>7</v>
      </c>
    </row>
    <row r="25" spans="1:55" ht="20.100000000000001" customHeight="1" x14ac:dyDescent="0.25">
      <c r="A25" s="4">
        <v>16</v>
      </c>
      <c r="B25" s="4">
        <v>14722</v>
      </c>
      <c r="C25" s="5" t="s">
        <v>400</v>
      </c>
      <c r="D25" s="5" t="s">
        <v>401</v>
      </c>
      <c r="E25" s="24" t="s">
        <v>8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E25" s="15" t="s">
        <v>726</v>
      </c>
      <c r="AF25" t="s">
        <v>655</v>
      </c>
      <c r="AG25">
        <v>20527193</v>
      </c>
      <c r="AH25" t="s">
        <v>656</v>
      </c>
      <c r="AI25" t="s">
        <v>7</v>
      </c>
      <c r="AJ25" t="str">
        <f t="shared" si="0"/>
        <v>GUNTUR PRASTYO WIBOWO</v>
      </c>
      <c r="AZ25" s="47">
        <v>17</v>
      </c>
      <c r="BA25" s="48" t="s">
        <v>848</v>
      </c>
      <c r="BB25" s="49" t="s">
        <v>401</v>
      </c>
      <c r="BC25" s="50" t="s">
        <v>8</v>
      </c>
    </row>
    <row r="26" spans="1:55" ht="20.100000000000001" customHeight="1" x14ac:dyDescent="0.25">
      <c r="A26" s="4">
        <v>17</v>
      </c>
      <c r="B26" s="4">
        <v>14743</v>
      </c>
      <c r="C26" s="5" t="s">
        <v>208</v>
      </c>
      <c r="D26" s="5" t="s">
        <v>209</v>
      </c>
      <c r="E26" s="24" t="s">
        <v>7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E26" s="13" t="s">
        <v>50</v>
      </c>
      <c r="AF26" t="s">
        <v>18</v>
      </c>
      <c r="AG26">
        <v>20527202</v>
      </c>
      <c r="AH26" t="s">
        <v>19</v>
      </c>
      <c r="AI26" t="s">
        <v>7</v>
      </c>
      <c r="AJ26" t="str">
        <f t="shared" si="0"/>
        <v>KAYLA AIKO MARITZA</v>
      </c>
      <c r="AZ26" s="47">
        <v>18</v>
      </c>
      <c r="BA26" s="48" t="s">
        <v>849</v>
      </c>
      <c r="BB26" s="49" t="s">
        <v>209</v>
      </c>
      <c r="BC26" s="50" t="s">
        <v>7</v>
      </c>
    </row>
    <row r="27" spans="1:55" ht="20.100000000000001" customHeight="1" x14ac:dyDescent="0.25">
      <c r="A27" s="4">
        <v>18</v>
      </c>
      <c r="B27" s="4">
        <v>14764</v>
      </c>
      <c r="C27" s="5" t="s">
        <v>214</v>
      </c>
      <c r="D27" s="5" t="s">
        <v>215</v>
      </c>
      <c r="E27" s="24" t="s">
        <v>7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E27" s="18" t="s">
        <v>371</v>
      </c>
      <c r="AF27">
        <v>3081834782</v>
      </c>
      <c r="AG27">
        <v>20528625</v>
      </c>
      <c r="AH27" t="s">
        <v>346</v>
      </c>
      <c r="AI27" t="s">
        <v>7</v>
      </c>
      <c r="AJ27" t="str">
        <f t="shared" si="0"/>
        <v>MALIKA ALFATIA PUTRI</v>
      </c>
      <c r="AZ27" s="47">
        <v>19</v>
      </c>
      <c r="BA27" s="48" t="s">
        <v>850</v>
      </c>
      <c r="BB27" s="49" t="s">
        <v>215</v>
      </c>
      <c r="BC27" s="50" t="s">
        <v>7</v>
      </c>
    </row>
    <row r="28" spans="1:55" ht="20.100000000000001" customHeight="1" x14ac:dyDescent="0.25">
      <c r="A28" s="4">
        <v>19</v>
      </c>
      <c r="B28" s="4">
        <v>14767</v>
      </c>
      <c r="C28" s="5" t="s">
        <v>260</v>
      </c>
      <c r="D28" s="5" t="s">
        <v>749</v>
      </c>
      <c r="E28" s="24" t="s">
        <v>8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E28" s="15" t="s">
        <v>726</v>
      </c>
      <c r="AF28" t="s">
        <v>481</v>
      </c>
      <c r="AG28">
        <v>20527180</v>
      </c>
      <c r="AH28" t="s">
        <v>482</v>
      </c>
      <c r="AI28" t="s">
        <v>7</v>
      </c>
      <c r="AJ28" t="str">
        <f t="shared" si="0"/>
        <v>MARVEL GILBERT VILIANTO</v>
      </c>
      <c r="AZ28" s="47">
        <v>20</v>
      </c>
      <c r="BA28" s="48" t="s">
        <v>851</v>
      </c>
      <c r="BB28" s="49" t="s">
        <v>261</v>
      </c>
      <c r="BC28" s="50" t="s">
        <v>8</v>
      </c>
    </row>
    <row r="29" spans="1:55" ht="20.100000000000001" customHeight="1" x14ac:dyDescent="0.25">
      <c r="A29" s="4">
        <v>20</v>
      </c>
      <c r="B29" s="4">
        <v>14790</v>
      </c>
      <c r="C29" s="5" t="s">
        <v>545</v>
      </c>
      <c r="D29" s="5" t="s">
        <v>546</v>
      </c>
      <c r="E29" s="24" t="s">
        <v>8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E29" s="17" t="s">
        <v>197</v>
      </c>
      <c r="AF29" t="s">
        <v>155</v>
      </c>
      <c r="AG29">
        <v>20527193</v>
      </c>
      <c r="AH29" t="s">
        <v>156</v>
      </c>
      <c r="AI29" t="s">
        <v>7</v>
      </c>
      <c r="AJ29" t="str">
        <f t="shared" si="0"/>
        <v>MOH RIZKY ADITIANSYAH</v>
      </c>
      <c r="AZ29" s="47">
        <v>21</v>
      </c>
      <c r="BA29" s="48" t="s">
        <v>852</v>
      </c>
      <c r="BB29" s="49" t="s">
        <v>546</v>
      </c>
      <c r="BC29" s="50" t="s">
        <v>8</v>
      </c>
    </row>
    <row r="30" spans="1:55" ht="20.100000000000001" customHeight="1" x14ac:dyDescent="0.25">
      <c r="A30" s="4">
        <v>21</v>
      </c>
      <c r="B30" s="4">
        <v>14793</v>
      </c>
      <c r="C30" s="5" t="s">
        <v>303</v>
      </c>
      <c r="D30" s="5" t="s">
        <v>304</v>
      </c>
      <c r="E30" s="24" t="s">
        <v>8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E30" s="14" t="s">
        <v>141</v>
      </c>
      <c r="AF30" t="s">
        <v>113</v>
      </c>
      <c r="AG30">
        <v>20527180</v>
      </c>
      <c r="AH30" t="s">
        <v>114</v>
      </c>
      <c r="AI30" t="s">
        <v>7</v>
      </c>
      <c r="AJ30" t="str">
        <f t="shared" si="0"/>
        <v>MOH ZACKY MAULANA FIRDAUSI</v>
      </c>
      <c r="AZ30" s="47">
        <v>22</v>
      </c>
      <c r="BA30" s="48" t="s">
        <v>853</v>
      </c>
      <c r="BB30" s="49" t="s">
        <v>304</v>
      </c>
      <c r="BC30" s="50" t="s">
        <v>8</v>
      </c>
    </row>
    <row r="31" spans="1:55" ht="20.100000000000001" customHeight="1" x14ac:dyDescent="0.25">
      <c r="A31" s="4">
        <v>22</v>
      </c>
      <c r="B31" s="4">
        <v>14820</v>
      </c>
      <c r="C31" s="5" t="s">
        <v>677</v>
      </c>
      <c r="D31" s="23" t="s">
        <v>745</v>
      </c>
      <c r="E31" s="24" t="s">
        <v>8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E31" s="18" t="s">
        <v>371</v>
      </c>
      <c r="AF31" t="s">
        <v>200</v>
      </c>
      <c r="AG31">
        <v>20583367</v>
      </c>
      <c r="AH31" t="s">
        <v>201</v>
      </c>
      <c r="AI31" t="s">
        <v>7</v>
      </c>
      <c r="AJ31" t="str">
        <f t="shared" si="0"/>
        <v>MUHAMMAD NADHIF AZARIA PUTRA</v>
      </c>
      <c r="AZ31" s="47">
        <v>24</v>
      </c>
      <c r="BA31" s="48" t="s">
        <v>854</v>
      </c>
      <c r="BB31" s="49" t="s">
        <v>678</v>
      </c>
      <c r="BC31" s="50" t="s">
        <v>8</v>
      </c>
    </row>
    <row r="32" spans="1:55" ht="20.100000000000001" customHeight="1" x14ac:dyDescent="0.25">
      <c r="A32" s="4">
        <v>23</v>
      </c>
      <c r="B32" s="4">
        <v>14824</v>
      </c>
      <c r="C32" s="5" t="s">
        <v>357</v>
      </c>
      <c r="D32" s="5" t="s">
        <v>358</v>
      </c>
      <c r="E32" s="24" t="s">
        <v>8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E32" s="18" t="s">
        <v>371</v>
      </c>
      <c r="AF32" t="s">
        <v>305</v>
      </c>
      <c r="AG32">
        <v>20527197</v>
      </c>
      <c r="AH32" t="s">
        <v>306</v>
      </c>
      <c r="AI32" t="s">
        <v>7</v>
      </c>
      <c r="AJ32" t="str">
        <f t="shared" si="0"/>
        <v>MUHAMMAD RIZQI MAULIDI</v>
      </c>
      <c r="AZ32" s="47">
        <v>25</v>
      </c>
      <c r="BA32" s="48" t="s">
        <v>855</v>
      </c>
      <c r="BB32" s="49" t="s">
        <v>358</v>
      </c>
      <c r="BC32" s="50" t="s">
        <v>8</v>
      </c>
    </row>
    <row r="33" spans="1:55" ht="20.100000000000001" customHeight="1" x14ac:dyDescent="0.25">
      <c r="A33" s="4">
        <v>24</v>
      </c>
      <c r="B33" s="4">
        <v>14836</v>
      </c>
      <c r="C33" s="5" t="s">
        <v>628</v>
      </c>
      <c r="D33" s="23" t="s">
        <v>629</v>
      </c>
      <c r="E33" s="24" t="s">
        <v>7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E33" s="15" t="s">
        <v>726</v>
      </c>
      <c r="AF33" t="s">
        <v>687</v>
      </c>
      <c r="AG33">
        <v>20527180</v>
      </c>
      <c r="AH33" t="s">
        <v>688</v>
      </c>
      <c r="AI33" t="s">
        <v>7</v>
      </c>
      <c r="AJ33" t="str">
        <f t="shared" si="0"/>
        <v>NALANDA SYAHBANIA ARDHIANSYAH</v>
      </c>
      <c r="AZ33" s="47">
        <v>26</v>
      </c>
      <c r="BA33" s="48" t="s">
        <v>856</v>
      </c>
      <c r="BB33" s="49" t="s">
        <v>629</v>
      </c>
      <c r="BC33" s="50" t="s">
        <v>7</v>
      </c>
    </row>
    <row r="34" spans="1:55" ht="20.100000000000001" customHeight="1" x14ac:dyDescent="0.25">
      <c r="A34" s="4">
        <v>25</v>
      </c>
      <c r="B34" s="4">
        <v>14855</v>
      </c>
      <c r="C34" s="5" t="s">
        <v>665</v>
      </c>
      <c r="D34" s="5" t="s">
        <v>666</v>
      </c>
      <c r="E34" s="24" t="s">
        <v>7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E34" s="17" t="s">
        <v>197</v>
      </c>
      <c r="AF34" t="s">
        <v>142</v>
      </c>
      <c r="AG34">
        <v>20527197</v>
      </c>
      <c r="AH34" t="s">
        <v>143</v>
      </c>
      <c r="AI34" t="s">
        <v>8</v>
      </c>
      <c r="AJ34" t="str">
        <f t="shared" si="0"/>
        <v>NUR RIZQA ZANJABILA</v>
      </c>
      <c r="AZ34" s="47">
        <v>27</v>
      </c>
      <c r="BA34" s="48" t="s">
        <v>857</v>
      </c>
      <c r="BB34" s="49" t="s">
        <v>666</v>
      </c>
      <c r="BC34" s="50" t="s">
        <v>7</v>
      </c>
    </row>
    <row r="35" spans="1:55" ht="20.100000000000001" customHeight="1" x14ac:dyDescent="0.25">
      <c r="A35" s="4">
        <v>26</v>
      </c>
      <c r="B35" s="4">
        <v>14858</v>
      </c>
      <c r="C35" s="5" t="s">
        <v>95</v>
      </c>
      <c r="D35" s="5" t="s">
        <v>96</v>
      </c>
      <c r="E35" s="24" t="s">
        <v>7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J35" t="str">
        <f t="shared" si="0"/>
        <v>NURINDA NOVIANTI</v>
      </c>
      <c r="AZ35" s="47">
        <v>28</v>
      </c>
      <c r="BA35" s="48" t="s">
        <v>858</v>
      </c>
      <c r="BB35" s="49" t="s">
        <v>96</v>
      </c>
      <c r="BC35" s="50" t="s">
        <v>7</v>
      </c>
    </row>
    <row r="36" spans="1:55" ht="20.100000000000001" customHeight="1" x14ac:dyDescent="0.25">
      <c r="A36" s="4">
        <v>27</v>
      </c>
      <c r="B36" s="4">
        <v>14866</v>
      </c>
      <c r="C36" s="5" t="s">
        <v>458</v>
      </c>
      <c r="D36" s="5" t="s">
        <v>459</v>
      </c>
      <c r="E36" s="24" t="s">
        <v>8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J36" t="str">
        <f t="shared" si="0"/>
        <v>PATO ALTHAF MULYAWAN</v>
      </c>
      <c r="AZ36" s="47">
        <v>29</v>
      </c>
      <c r="BA36" s="48" t="s">
        <v>859</v>
      </c>
      <c r="BB36" s="49" t="s">
        <v>459</v>
      </c>
      <c r="BC36" s="50" t="s">
        <v>8</v>
      </c>
    </row>
    <row r="37" spans="1:55" ht="20.100000000000001" customHeight="1" x14ac:dyDescent="0.25">
      <c r="A37" s="4">
        <v>28</v>
      </c>
      <c r="B37" s="4">
        <v>14870</v>
      </c>
      <c r="C37" s="5" t="s">
        <v>412</v>
      </c>
      <c r="D37" s="5" t="s">
        <v>413</v>
      </c>
      <c r="E37" s="24" t="s">
        <v>7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J37" t="str">
        <f t="shared" si="0"/>
        <v>PUTRI RIZKI FAMADANI</v>
      </c>
      <c r="AZ37" s="47">
        <v>30</v>
      </c>
      <c r="BA37" s="48" t="s">
        <v>860</v>
      </c>
      <c r="BB37" s="49" t="s">
        <v>413</v>
      </c>
      <c r="BC37" s="50" t="s">
        <v>7</v>
      </c>
    </row>
    <row r="38" spans="1:55" ht="20.100000000000001" customHeight="1" x14ac:dyDescent="0.25">
      <c r="A38" s="4">
        <v>29</v>
      </c>
      <c r="B38" s="4">
        <v>14871</v>
      </c>
      <c r="C38" s="5" t="s">
        <v>634</v>
      </c>
      <c r="D38" s="5" t="s">
        <v>635</v>
      </c>
      <c r="E38" s="24" t="s">
        <v>7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J38" t="str">
        <f t="shared" si="0"/>
        <v>R RAIHANUN FEBRIYANA SUGIHARTO</v>
      </c>
      <c r="AZ38" s="47">
        <v>31</v>
      </c>
      <c r="BA38" s="48" t="s">
        <v>861</v>
      </c>
      <c r="BB38" s="51" t="s">
        <v>862</v>
      </c>
      <c r="BC38" s="50" t="s">
        <v>7</v>
      </c>
    </row>
    <row r="39" spans="1:55" ht="20.100000000000001" customHeight="1" x14ac:dyDescent="0.25">
      <c r="A39" s="4">
        <v>30</v>
      </c>
      <c r="B39" s="4">
        <v>14881</v>
      </c>
      <c r="C39" s="5" t="s">
        <v>178</v>
      </c>
      <c r="D39" s="5" t="s">
        <v>179</v>
      </c>
      <c r="E39" s="24" t="s">
        <v>8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J39" t="str">
        <f t="shared" si="0"/>
        <v>RAIS AULIA ATTAMIMY WIJAYA</v>
      </c>
      <c r="AZ39" s="47">
        <v>32</v>
      </c>
      <c r="BA39" s="48" t="s">
        <v>863</v>
      </c>
      <c r="BB39" s="49" t="s">
        <v>179</v>
      </c>
      <c r="BC39" s="50" t="s">
        <v>8</v>
      </c>
    </row>
    <row r="40" spans="1:55" ht="20.100000000000001" customHeight="1" x14ac:dyDescent="0.25">
      <c r="A40" s="4">
        <v>31</v>
      </c>
      <c r="B40" s="4">
        <v>14886</v>
      </c>
      <c r="C40" s="5" t="s">
        <v>768</v>
      </c>
      <c r="D40" s="5" t="s">
        <v>346</v>
      </c>
      <c r="E40" s="24" t="s">
        <v>7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J40" t="str">
        <f t="shared" si="0"/>
        <v>RARA QONITA ROYHANI</v>
      </c>
      <c r="AZ40" s="47">
        <v>33</v>
      </c>
      <c r="BA40" s="48" t="s">
        <v>864</v>
      </c>
      <c r="BB40" s="49" t="s">
        <v>346</v>
      </c>
      <c r="BC40" s="50" t="s">
        <v>7</v>
      </c>
    </row>
    <row r="41" spans="1:55" ht="20.100000000000001" customHeight="1" x14ac:dyDescent="0.25">
      <c r="A41" s="4">
        <v>32</v>
      </c>
      <c r="B41" s="4">
        <v>14894</v>
      </c>
      <c r="C41" s="5" t="s">
        <v>497</v>
      </c>
      <c r="D41" s="5" t="s">
        <v>498</v>
      </c>
      <c r="E41" s="24" t="s">
        <v>7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J41" t="str">
        <f t="shared" si="0"/>
        <v>RIANA MAULIDIA</v>
      </c>
      <c r="AZ41" s="47">
        <v>34</v>
      </c>
      <c r="BA41" s="48" t="s">
        <v>865</v>
      </c>
      <c r="BB41" s="49" t="s">
        <v>498</v>
      </c>
      <c r="BC41" s="50" t="s">
        <v>7</v>
      </c>
    </row>
    <row r="42" spans="1:55" ht="20.100000000000001" customHeight="1" x14ac:dyDescent="0.25">
      <c r="A42" s="4">
        <v>33</v>
      </c>
      <c r="B42" s="4">
        <v>14934</v>
      </c>
      <c r="C42" s="5" t="s">
        <v>171</v>
      </c>
      <c r="D42" s="5" t="s">
        <v>172</v>
      </c>
      <c r="E42" s="24" t="s">
        <v>7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J42" t="str">
        <f t="shared" si="0"/>
        <v>UMI KULSUM WARDANI</v>
      </c>
      <c r="AZ42" s="47">
        <v>35</v>
      </c>
      <c r="BA42" s="48" t="s">
        <v>866</v>
      </c>
      <c r="BB42" s="49" t="s">
        <v>172</v>
      </c>
      <c r="BC42" s="50" t="s">
        <v>7</v>
      </c>
    </row>
    <row r="43" spans="1:55" ht="20.100000000000001" customHeight="1" x14ac:dyDescent="0.25">
      <c r="A43" s="4">
        <v>34</v>
      </c>
      <c r="B43" s="4">
        <v>14940</v>
      </c>
      <c r="C43" s="5" t="s">
        <v>78</v>
      </c>
      <c r="D43" s="5" t="s">
        <v>79</v>
      </c>
      <c r="E43" s="24" t="s">
        <v>7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J43" t="str">
        <f t="shared" si="0"/>
        <v>VIRGI AZMI YUSSININGTYAS</v>
      </c>
      <c r="AZ43" s="47">
        <v>36</v>
      </c>
      <c r="BA43" s="48" t="s">
        <v>867</v>
      </c>
      <c r="BB43" s="49" t="s">
        <v>79</v>
      </c>
      <c r="BC43" s="50" t="s">
        <v>7</v>
      </c>
    </row>
    <row r="44" spans="1:55" ht="20.100000000000001" customHeight="1" x14ac:dyDescent="0.25">
      <c r="A44" s="65" t="s">
        <v>10</v>
      </c>
      <c r="B44" s="65"/>
      <c r="C44" s="65"/>
      <c r="D44" s="10" t="s">
        <v>11</v>
      </c>
      <c r="E44" s="8">
        <f>COUNTIFS($E$10:$E$43,"L")</f>
        <v>16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J44" t="str">
        <f t="shared" si="0"/>
        <v>L :</v>
      </c>
    </row>
    <row r="45" spans="1:55" ht="20.100000000000001" customHeight="1" x14ac:dyDescent="0.25">
      <c r="A45" s="65" t="s">
        <v>12</v>
      </c>
      <c r="B45" s="65"/>
      <c r="C45" s="65"/>
      <c r="D45" s="10" t="s">
        <v>13</v>
      </c>
      <c r="E45" s="8">
        <f>COUNTIFS($E$10:$E$43,"P")</f>
        <v>18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J45" t="str">
        <f t="shared" si="0"/>
        <v>P :</v>
      </c>
    </row>
    <row r="46" spans="1:55" ht="20.100000000000001" customHeight="1" x14ac:dyDescent="0.25">
      <c r="A46" s="1"/>
      <c r="B46" s="1"/>
      <c r="C46" s="2"/>
      <c r="E46">
        <f>E44+E45</f>
        <v>34</v>
      </c>
    </row>
  </sheetData>
  <sortState xmlns:xlrd2="http://schemas.microsoft.com/office/spreadsheetml/2017/richdata2" ref="C10:E43">
    <sortCondition ref="D10:D43"/>
  </sortState>
  <mergeCells count="16">
    <mergeCell ref="A1:AC1"/>
    <mergeCell ref="A2:AC2"/>
    <mergeCell ref="A3:AC3"/>
    <mergeCell ref="A4:AC4"/>
    <mergeCell ref="A7:A9"/>
    <mergeCell ref="C7:C9"/>
    <mergeCell ref="D7:D9"/>
    <mergeCell ref="E7:E9"/>
    <mergeCell ref="F7:H7"/>
    <mergeCell ref="B7:B9"/>
    <mergeCell ref="F8:AC8"/>
    <mergeCell ref="A44:C44"/>
    <mergeCell ref="A45:C45"/>
    <mergeCell ref="I7:S7"/>
    <mergeCell ref="T7:U7"/>
    <mergeCell ref="V7:AC7"/>
  </mergeCells>
  <conditionalFormatting sqref="D28">
    <cfRule type="colorScale" priority="5">
      <colorScale>
        <cfvo type="min"/>
        <cfvo type="max"/>
        <color rgb="FFFCFCFF"/>
        <color rgb="FF63BE7B"/>
      </colorScale>
    </cfRule>
    <cfRule type="duplicateValues" dxfId="704" priority="6"/>
  </conditionalFormatting>
  <conditionalFormatting sqref="D41:D43">
    <cfRule type="colorScale" priority="1">
      <colorScale>
        <cfvo type="min"/>
        <cfvo type="max"/>
        <color rgb="FFFCFCFF"/>
        <color rgb="FF63BE7B"/>
      </colorScale>
    </cfRule>
    <cfRule type="duplicateValues" dxfId="703" priority="2"/>
  </conditionalFormatting>
  <conditionalFormatting sqref="D29:D40 D10:D27">
    <cfRule type="colorScale" priority="1236">
      <colorScale>
        <cfvo type="min"/>
        <cfvo type="max"/>
        <color rgb="FFFCFCFF"/>
        <color rgb="FF63BE7B"/>
      </colorScale>
    </cfRule>
    <cfRule type="duplicateValues" dxfId="702" priority="1237"/>
  </conditionalFormatting>
  <pageMargins left="0.23622047244094491" right="0.15748031496062992" top="0.43307086614173229" bottom="0.62992125984251968" header="0.31496062992125984" footer="0.31496062992125984"/>
  <pageSetup paperSize="5" scale="85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48"/>
  <sheetViews>
    <sheetView workbookViewId="0">
      <selection activeCell="F8" sqref="F8:AC8"/>
    </sheetView>
  </sheetViews>
  <sheetFormatPr defaultColWidth="3.28515625" defaultRowHeight="15" x14ac:dyDescent="0.25"/>
  <cols>
    <col min="1" max="1" width="4.28515625" customWidth="1"/>
    <col min="2" max="2" width="5.7109375" customWidth="1"/>
    <col min="3" max="3" width="12" customWidth="1"/>
    <col min="4" max="4" width="33.42578125" bestFit="1" customWidth="1"/>
    <col min="5" max="5" width="3.7109375" bestFit="1" customWidth="1"/>
    <col min="6" max="29" width="2.7109375" customWidth="1"/>
    <col min="32" max="32" width="9.42578125" hidden="1" customWidth="1"/>
    <col min="33" max="33" width="11" hidden="1" customWidth="1"/>
    <col min="34" max="34" width="9" hidden="1" customWidth="1"/>
    <col min="35" max="46" width="0" hidden="1" customWidth="1"/>
    <col min="48" max="48" width="17.85546875" bestFit="1" customWidth="1"/>
    <col min="49" max="49" width="37.140625" bestFit="1" customWidth="1"/>
  </cols>
  <sheetData>
    <row r="1" spans="1:50" x14ac:dyDescent="0.25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F1" s="14" t="s">
        <v>141</v>
      </c>
      <c r="AG1" t="s">
        <v>119</v>
      </c>
      <c r="AH1">
        <v>20566545</v>
      </c>
      <c r="AI1" t="s">
        <v>120</v>
      </c>
      <c r="AJ1" t="s">
        <v>7</v>
      </c>
    </row>
    <row r="2" spans="1:50" ht="21.75" customHeight="1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F2" s="18" t="s">
        <v>371</v>
      </c>
      <c r="AG2" t="s">
        <v>285</v>
      </c>
      <c r="AH2">
        <v>20583363</v>
      </c>
      <c r="AI2" t="s">
        <v>286</v>
      </c>
      <c r="AJ2" t="s">
        <v>8</v>
      </c>
    </row>
    <row r="3" spans="1:50" ht="20.25" customHeight="1" x14ac:dyDescent="0.25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F3" s="13" t="s">
        <v>50</v>
      </c>
      <c r="AG3" t="s">
        <v>22</v>
      </c>
      <c r="AH3">
        <v>20537422</v>
      </c>
      <c r="AI3" t="s">
        <v>23</v>
      </c>
      <c r="AJ3" t="s">
        <v>8</v>
      </c>
    </row>
    <row r="4" spans="1:50" ht="21" x14ac:dyDescent="0.35">
      <c r="A4" s="55" t="s">
        <v>1209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F4" s="15" t="s">
        <v>726</v>
      </c>
      <c r="AG4" t="s">
        <v>624</v>
      </c>
      <c r="AH4">
        <v>20527180</v>
      </c>
      <c r="AI4" t="s">
        <v>625</v>
      </c>
      <c r="AJ4" t="s">
        <v>7</v>
      </c>
    </row>
    <row r="5" spans="1:50" x14ac:dyDescent="0.25">
      <c r="A5" s="1"/>
      <c r="B5" s="1"/>
      <c r="C5" s="2"/>
      <c r="P5" s="11"/>
      <c r="AF5" s="15" t="s">
        <v>726</v>
      </c>
      <c r="AG5" t="s">
        <v>606</v>
      </c>
      <c r="AH5">
        <v>20527197</v>
      </c>
      <c r="AI5" t="s">
        <v>607</v>
      </c>
      <c r="AJ5" t="s">
        <v>8</v>
      </c>
    </row>
    <row r="6" spans="1:50" ht="3.75" customHeight="1" x14ac:dyDescent="0.25">
      <c r="A6" s="1"/>
      <c r="B6" s="1"/>
      <c r="C6" s="2"/>
      <c r="AF6" s="17" t="s">
        <v>197</v>
      </c>
      <c r="AG6" t="s">
        <v>176</v>
      </c>
      <c r="AH6">
        <v>20527180</v>
      </c>
      <c r="AI6" t="s">
        <v>177</v>
      </c>
      <c r="AJ6" t="s">
        <v>8</v>
      </c>
    </row>
    <row r="7" spans="1:50" x14ac:dyDescent="0.25">
      <c r="A7" s="56" t="s">
        <v>0</v>
      </c>
      <c r="B7" s="57" t="s">
        <v>1</v>
      </c>
      <c r="C7" s="57" t="s">
        <v>1</v>
      </c>
      <c r="D7" s="56" t="s">
        <v>2</v>
      </c>
      <c r="E7" s="58" t="s">
        <v>3</v>
      </c>
      <c r="F7" s="59" t="s">
        <v>4</v>
      </c>
      <c r="G7" s="60"/>
      <c r="H7" s="61"/>
      <c r="I7" s="62" t="s">
        <v>811</v>
      </c>
      <c r="J7" s="63"/>
      <c r="K7" s="63"/>
      <c r="L7" s="63"/>
      <c r="M7" s="63"/>
      <c r="N7" s="63"/>
      <c r="O7" s="63"/>
      <c r="P7" s="63"/>
      <c r="Q7" s="63"/>
      <c r="R7" s="63"/>
      <c r="S7" s="64"/>
      <c r="T7" s="65" t="s">
        <v>5</v>
      </c>
      <c r="U7" s="65"/>
      <c r="V7" s="69" t="s">
        <v>812</v>
      </c>
      <c r="W7" s="69"/>
      <c r="X7" s="69"/>
      <c r="Y7" s="69"/>
      <c r="Z7" s="69"/>
      <c r="AA7" s="69"/>
      <c r="AB7" s="69"/>
      <c r="AC7" s="69"/>
      <c r="AF7" s="17" t="s">
        <v>197</v>
      </c>
      <c r="AG7" t="s">
        <v>157</v>
      </c>
      <c r="AH7">
        <v>20527180</v>
      </c>
      <c r="AI7" t="s">
        <v>158</v>
      </c>
      <c r="AJ7" t="s">
        <v>7</v>
      </c>
    </row>
    <row r="8" spans="1:50" x14ac:dyDescent="0.25">
      <c r="A8" s="56"/>
      <c r="B8" s="57"/>
      <c r="C8" s="57"/>
      <c r="D8" s="56"/>
      <c r="E8" s="58"/>
      <c r="F8" s="62" t="s">
        <v>1214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4"/>
      <c r="AF8" s="18" t="s">
        <v>371</v>
      </c>
      <c r="AG8" t="s">
        <v>278</v>
      </c>
      <c r="AH8">
        <v>20566545</v>
      </c>
      <c r="AI8" t="s">
        <v>279</v>
      </c>
      <c r="AJ8" t="s">
        <v>7</v>
      </c>
    </row>
    <row r="9" spans="1:50" x14ac:dyDescent="0.25">
      <c r="A9" s="56"/>
      <c r="B9" s="57"/>
      <c r="C9" s="57"/>
      <c r="D9" s="56"/>
      <c r="E9" s="58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F9" s="18" t="s">
        <v>371</v>
      </c>
      <c r="AG9" t="s">
        <v>327</v>
      </c>
      <c r="AH9">
        <v>20527197</v>
      </c>
      <c r="AI9" t="s">
        <v>328</v>
      </c>
      <c r="AJ9" t="s">
        <v>8</v>
      </c>
      <c r="AV9" t="s">
        <v>832</v>
      </c>
    </row>
    <row r="10" spans="1:50" ht="20.100000000000001" customHeight="1" x14ac:dyDescent="0.25">
      <c r="A10" s="4">
        <v>1</v>
      </c>
      <c r="B10" s="4">
        <v>14601</v>
      </c>
      <c r="C10" s="5" t="s">
        <v>570</v>
      </c>
      <c r="D10" s="6" t="s">
        <v>727</v>
      </c>
      <c r="E10" s="7" t="s">
        <v>7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F10" s="15" t="s">
        <v>726</v>
      </c>
      <c r="AG10" t="s">
        <v>440</v>
      </c>
      <c r="AH10">
        <v>20527180</v>
      </c>
      <c r="AI10" t="s">
        <v>441</v>
      </c>
      <c r="AJ10" t="s">
        <v>8</v>
      </c>
      <c r="AL10" t="str">
        <f t="shared" ref="AL10:AL32" si="0">UPPER(D10)</f>
        <v>ADINTYA DJASMINE AULIA</v>
      </c>
      <c r="AU10" s="47">
        <v>1</v>
      </c>
      <c r="AV10" s="48" t="s">
        <v>868</v>
      </c>
      <c r="AW10" s="49" t="s">
        <v>571</v>
      </c>
      <c r="AX10" s="50" t="s">
        <v>7</v>
      </c>
    </row>
    <row r="11" spans="1:50" ht="20.100000000000001" customHeight="1" x14ac:dyDescent="0.25">
      <c r="A11" s="4">
        <v>2</v>
      </c>
      <c r="B11" s="4">
        <v>14624</v>
      </c>
      <c r="C11" s="5" t="s">
        <v>720</v>
      </c>
      <c r="D11" s="6" t="s">
        <v>721</v>
      </c>
      <c r="E11" s="7" t="s">
        <v>7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F11" s="15" t="s">
        <v>726</v>
      </c>
      <c r="AG11" t="s">
        <v>582</v>
      </c>
      <c r="AH11">
        <v>20527197</v>
      </c>
      <c r="AI11" t="s">
        <v>583</v>
      </c>
      <c r="AJ11" t="s">
        <v>8</v>
      </c>
      <c r="AL11" t="str">
        <f t="shared" si="0"/>
        <v>ALVINA RIZKI ANDINI</v>
      </c>
      <c r="AU11" s="47">
        <v>2</v>
      </c>
      <c r="AV11" s="48" t="s">
        <v>869</v>
      </c>
      <c r="AW11" s="49" t="s">
        <v>721</v>
      </c>
      <c r="AX11" s="50" t="s">
        <v>7</v>
      </c>
    </row>
    <row r="12" spans="1:50" ht="20.100000000000001" customHeight="1" x14ac:dyDescent="0.25">
      <c r="A12" s="4">
        <v>3</v>
      </c>
      <c r="B12" s="4">
        <v>14641</v>
      </c>
      <c r="C12" s="5" t="s">
        <v>176</v>
      </c>
      <c r="D12" s="6" t="s">
        <v>177</v>
      </c>
      <c r="E12" s="7" t="s">
        <v>8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F12" s="15" t="s">
        <v>726</v>
      </c>
      <c r="AG12" t="s">
        <v>436</v>
      </c>
      <c r="AH12">
        <v>20527197</v>
      </c>
      <c r="AI12" t="s">
        <v>437</v>
      </c>
      <c r="AJ12" t="s">
        <v>7</v>
      </c>
      <c r="AL12" t="str">
        <f t="shared" si="0"/>
        <v>ARIF RAHMAN ALFATHIR</v>
      </c>
      <c r="AU12" s="47">
        <v>3</v>
      </c>
      <c r="AV12" s="48" t="s">
        <v>870</v>
      </c>
      <c r="AW12" s="49" t="s">
        <v>177</v>
      </c>
      <c r="AX12" s="50" t="s">
        <v>8</v>
      </c>
    </row>
    <row r="13" spans="1:50" ht="20.100000000000001" customHeight="1" x14ac:dyDescent="0.25">
      <c r="A13" s="4">
        <v>4</v>
      </c>
      <c r="B13" s="4">
        <v>14649</v>
      </c>
      <c r="C13" s="5" t="s">
        <v>309</v>
      </c>
      <c r="D13" s="6" t="s">
        <v>737</v>
      </c>
      <c r="E13" s="7" t="s">
        <v>7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F13" s="18" t="s">
        <v>371</v>
      </c>
      <c r="AG13" t="s">
        <v>307</v>
      </c>
      <c r="AH13">
        <v>20527197</v>
      </c>
      <c r="AI13" t="s">
        <v>308</v>
      </c>
      <c r="AJ13" t="s">
        <v>7</v>
      </c>
      <c r="AL13" t="str">
        <f t="shared" si="0"/>
        <v>ASYRA MARDHODILLAH SHAFA</v>
      </c>
      <c r="AU13" s="47">
        <v>4</v>
      </c>
      <c r="AV13" s="48" t="s">
        <v>871</v>
      </c>
      <c r="AW13" s="49" t="s">
        <v>310</v>
      </c>
      <c r="AX13" s="50" t="s">
        <v>7</v>
      </c>
    </row>
    <row r="14" spans="1:50" ht="20.100000000000001" customHeight="1" x14ac:dyDescent="0.25">
      <c r="A14" s="4">
        <v>5</v>
      </c>
      <c r="B14" s="4">
        <v>14651</v>
      </c>
      <c r="C14" s="5" t="s">
        <v>315</v>
      </c>
      <c r="D14" s="6" t="s">
        <v>316</v>
      </c>
      <c r="E14" s="7" t="s">
        <v>7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F14" s="15" t="s">
        <v>726</v>
      </c>
      <c r="AG14" t="s">
        <v>491</v>
      </c>
      <c r="AH14">
        <v>20527197</v>
      </c>
      <c r="AI14" t="s">
        <v>492</v>
      </c>
      <c r="AJ14" t="s">
        <v>7</v>
      </c>
      <c r="AL14" t="str">
        <f t="shared" si="0"/>
        <v>AULIA FAIZAH</v>
      </c>
      <c r="AU14" s="47">
        <v>5</v>
      </c>
      <c r="AV14" s="48" t="s">
        <v>872</v>
      </c>
      <c r="AW14" s="49" t="s">
        <v>316</v>
      </c>
      <c r="AX14" s="50" t="s">
        <v>7</v>
      </c>
    </row>
    <row r="15" spans="1:50" ht="20.100000000000001" customHeight="1" x14ac:dyDescent="0.25">
      <c r="A15" s="4">
        <v>6</v>
      </c>
      <c r="B15" s="4">
        <v>14668</v>
      </c>
      <c r="C15" s="5" t="s">
        <v>182</v>
      </c>
      <c r="D15" s="6" t="s">
        <v>183</v>
      </c>
      <c r="E15" s="7" t="s">
        <v>8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F15" s="15" t="s">
        <v>726</v>
      </c>
      <c r="AG15" t="s">
        <v>400</v>
      </c>
      <c r="AH15">
        <v>20527197</v>
      </c>
      <c r="AI15" t="s">
        <v>401</v>
      </c>
      <c r="AJ15" t="s">
        <v>8</v>
      </c>
      <c r="AL15" t="str">
        <f t="shared" si="0"/>
        <v>BIMA SATRIA PUTRA RISMAWAN</v>
      </c>
      <c r="AU15" s="47">
        <v>6</v>
      </c>
      <c r="AV15" s="48" t="s">
        <v>873</v>
      </c>
      <c r="AW15" s="49" t="s">
        <v>183</v>
      </c>
      <c r="AX15" s="50" t="s">
        <v>8</v>
      </c>
    </row>
    <row r="16" spans="1:50" ht="20.100000000000001" customHeight="1" x14ac:dyDescent="0.25">
      <c r="A16" s="4">
        <v>7</v>
      </c>
      <c r="B16" s="4">
        <v>14672</v>
      </c>
      <c r="C16" s="5" t="s">
        <v>773</v>
      </c>
      <c r="D16" s="6" t="s">
        <v>280</v>
      </c>
      <c r="E16" s="7" t="s">
        <v>7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F16" s="18" t="s">
        <v>371</v>
      </c>
      <c r="AG16" t="s">
        <v>347</v>
      </c>
      <c r="AH16">
        <v>20527197</v>
      </c>
      <c r="AI16" t="s">
        <v>348</v>
      </c>
      <c r="AJ16" t="s">
        <v>7</v>
      </c>
      <c r="AL16" t="str">
        <f t="shared" si="0"/>
        <v>BUMI SUKMAWATI</v>
      </c>
      <c r="AU16" s="47">
        <v>7</v>
      </c>
      <c r="AV16" s="48" t="s">
        <v>874</v>
      </c>
      <c r="AW16" s="49" t="s">
        <v>280</v>
      </c>
      <c r="AX16" s="50" t="s">
        <v>7</v>
      </c>
    </row>
    <row r="17" spans="1:50" ht="20.100000000000001" customHeight="1" x14ac:dyDescent="0.25">
      <c r="A17" s="4">
        <v>8</v>
      </c>
      <c r="B17" s="4">
        <v>14681</v>
      </c>
      <c r="C17" s="5" t="s">
        <v>236</v>
      </c>
      <c r="D17" s="5" t="s">
        <v>237</v>
      </c>
      <c r="E17" s="7" t="s">
        <v>8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F17" s="15" t="s">
        <v>726</v>
      </c>
      <c r="AG17" t="s">
        <v>529</v>
      </c>
      <c r="AH17">
        <v>20527197</v>
      </c>
      <c r="AI17" t="s">
        <v>530</v>
      </c>
      <c r="AJ17" t="s">
        <v>7</v>
      </c>
      <c r="AL17" t="str">
        <f t="shared" si="0"/>
        <v>DAFFA MAULIDAN PUTRA LAKSONO</v>
      </c>
      <c r="AU17" s="47">
        <v>8</v>
      </c>
      <c r="AV17" s="48" t="s">
        <v>875</v>
      </c>
      <c r="AW17" s="49" t="s">
        <v>237</v>
      </c>
      <c r="AX17" s="50" t="s">
        <v>8</v>
      </c>
    </row>
    <row r="18" spans="1:50" ht="20.100000000000001" customHeight="1" x14ac:dyDescent="0.25">
      <c r="A18" s="4">
        <v>9</v>
      </c>
      <c r="B18" s="4">
        <v>14684</v>
      </c>
      <c r="C18" s="5" t="s">
        <v>42</v>
      </c>
      <c r="D18" s="6" t="s">
        <v>729</v>
      </c>
      <c r="E18" s="7" t="s">
        <v>7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F18" s="13" t="s">
        <v>50</v>
      </c>
      <c r="AG18" t="s">
        <v>20</v>
      </c>
      <c r="AH18">
        <v>20583410</v>
      </c>
      <c r="AI18" t="s">
        <v>21</v>
      </c>
      <c r="AJ18" t="s">
        <v>7</v>
      </c>
      <c r="AL18" t="str">
        <f t="shared" si="0"/>
        <v>DESVITA ANGGRAINI</v>
      </c>
      <c r="AU18" s="47">
        <v>9</v>
      </c>
      <c r="AV18" s="48" t="s">
        <v>876</v>
      </c>
      <c r="AW18" s="49" t="s">
        <v>43</v>
      </c>
      <c r="AX18" s="50" t="s">
        <v>7</v>
      </c>
    </row>
    <row r="19" spans="1:50" ht="20.100000000000001" customHeight="1" x14ac:dyDescent="0.25">
      <c r="A19" s="4">
        <v>10</v>
      </c>
      <c r="B19" s="4">
        <v>14685</v>
      </c>
      <c r="C19" s="5" t="s">
        <v>485</v>
      </c>
      <c r="D19" s="6" t="s">
        <v>486</v>
      </c>
      <c r="E19" s="24" t="s">
        <v>8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F19" s="15" t="s">
        <v>726</v>
      </c>
      <c r="AG19" t="s">
        <v>545</v>
      </c>
      <c r="AH19">
        <v>20527197</v>
      </c>
      <c r="AI19" t="s">
        <v>546</v>
      </c>
      <c r="AJ19" t="s">
        <v>8</v>
      </c>
      <c r="AL19" t="str">
        <f t="shared" si="0"/>
        <v>DEVANI BAGUS ZAKIYAN</v>
      </c>
      <c r="AU19" s="47">
        <v>10</v>
      </c>
      <c r="AV19" s="48" t="s">
        <v>877</v>
      </c>
      <c r="AW19" s="49" t="s">
        <v>486</v>
      </c>
      <c r="AX19" s="50" t="s">
        <v>8</v>
      </c>
    </row>
    <row r="20" spans="1:50" ht="20.100000000000001" customHeight="1" x14ac:dyDescent="0.25">
      <c r="A20" s="4">
        <v>11</v>
      </c>
      <c r="B20" s="4">
        <v>14702</v>
      </c>
      <c r="C20" s="5" t="s">
        <v>111</v>
      </c>
      <c r="D20" s="6" t="s">
        <v>112</v>
      </c>
      <c r="E20" s="7" t="s">
        <v>8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F20" s="15" t="s">
        <v>726</v>
      </c>
      <c r="AG20" t="s">
        <v>471</v>
      </c>
      <c r="AH20">
        <v>20527180</v>
      </c>
      <c r="AI20" t="s">
        <v>472</v>
      </c>
      <c r="AJ20" t="s">
        <v>8</v>
      </c>
      <c r="AL20" t="str">
        <f t="shared" si="0"/>
        <v>FARAND M YUNUS AL FARIZY</v>
      </c>
      <c r="AU20" s="47">
        <v>11</v>
      </c>
      <c r="AV20" s="48" t="s">
        <v>878</v>
      </c>
      <c r="AW20" s="51" t="s">
        <v>879</v>
      </c>
      <c r="AX20" s="50" t="s">
        <v>8</v>
      </c>
    </row>
    <row r="21" spans="1:50" ht="20.100000000000001" customHeight="1" x14ac:dyDescent="0.25">
      <c r="A21" s="4">
        <v>12</v>
      </c>
      <c r="B21" s="4">
        <v>14724</v>
      </c>
      <c r="C21" s="5" t="s">
        <v>691</v>
      </c>
      <c r="D21" s="6" t="s">
        <v>692</v>
      </c>
      <c r="E21" s="7" t="s">
        <v>7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F21" s="15" t="s">
        <v>726</v>
      </c>
      <c r="AG21" t="s">
        <v>653</v>
      </c>
      <c r="AH21">
        <v>20527197</v>
      </c>
      <c r="AI21" t="s">
        <v>654</v>
      </c>
      <c r="AJ21" t="s">
        <v>8</v>
      </c>
      <c r="AL21" t="str">
        <f t="shared" si="0"/>
        <v>HANIK AWALIYATUN NANDINI</v>
      </c>
      <c r="AU21" s="47">
        <v>12</v>
      </c>
      <c r="AV21" s="48" t="s">
        <v>880</v>
      </c>
      <c r="AW21" s="49" t="s">
        <v>692</v>
      </c>
      <c r="AX21" s="50" t="s">
        <v>7</v>
      </c>
    </row>
    <row r="22" spans="1:50" ht="20.100000000000001" customHeight="1" x14ac:dyDescent="0.25">
      <c r="A22" s="4">
        <v>13</v>
      </c>
      <c r="B22" s="4">
        <v>14730</v>
      </c>
      <c r="C22" s="5" t="s">
        <v>559</v>
      </c>
      <c r="D22" s="6" t="s">
        <v>560</v>
      </c>
      <c r="E22" s="7" t="s">
        <v>7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F22" s="14" t="s">
        <v>141</v>
      </c>
      <c r="AG22" t="s">
        <v>129</v>
      </c>
      <c r="AH22">
        <v>20566545</v>
      </c>
      <c r="AI22" t="s">
        <v>130</v>
      </c>
      <c r="AJ22" t="s">
        <v>8</v>
      </c>
      <c r="AL22" t="str">
        <f t="shared" si="0"/>
        <v>HOLIZATUL AMALIA</v>
      </c>
      <c r="AU22" s="47">
        <v>13</v>
      </c>
      <c r="AV22" s="48" t="s">
        <v>881</v>
      </c>
      <c r="AW22" s="49" t="s">
        <v>560</v>
      </c>
      <c r="AX22" s="50" t="s">
        <v>7</v>
      </c>
    </row>
    <row r="23" spans="1:50" ht="20.100000000000001" customHeight="1" x14ac:dyDescent="0.25">
      <c r="A23" s="4">
        <v>14</v>
      </c>
      <c r="B23" s="4">
        <v>14731</v>
      </c>
      <c r="C23" s="5" t="s">
        <v>588</v>
      </c>
      <c r="D23" s="6" t="s">
        <v>589</v>
      </c>
      <c r="E23" s="7" t="s">
        <v>8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F23" s="18" t="s">
        <v>371</v>
      </c>
      <c r="AG23" t="s">
        <v>242</v>
      </c>
      <c r="AH23">
        <v>20527197</v>
      </c>
      <c r="AI23" t="s">
        <v>243</v>
      </c>
      <c r="AJ23" t="s">
        <v>7</v>
      </c>
      <c r="AL23" t="str">
        <f t="shared" si="0"/>
        <v>HUMAIR DZIKRI SYAHLANA</v>
      </c>
      <c r="AU23" s="47">
        <v>14</v>
      </c>
      <c r="AV23" s="48" t="s">
        <v>882</v>
      </c>
      <c r="AW23" s="49" t="s">
        <v>589</v>
      </c>
      <c r="AX23" s="50" t="s">
        <v>8</v>
      </c>
    </row>
    <row r="24" spans="1:50" ht="20.100000000000001" customHeight="1" x14ac:dyDescent="0.25">
      <c r="A24" s="4">
        <v>15</v>
      </c>
      <c r="B24" s="4">
        <v>14739</v>
      </c>
      <c r="C24" s="5" t="s">
        <v>14</v>
      </c>
      <c r="D24" s="6" t="s">
        <v>15</v>
      </c>
      <c r="E24" s="7" t="s">
        <v>8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F24" s="14" t="s">
        <v>141</v>
      </c>
      <c r="AG24" t="s">
        <v>87</v>
      </c>
      <c r="AH24">
        <v>20527197</v>
      </c>
      <c r="AI24" t="s">
        <v>88</v>
      </c>
      <c r="AJ24" t="s">
        <v>8</v>
      </c>
      <c r="AL24" t="str">
        <f t="shared" si="0"/>
        <v>ISWAHYUDI ARIF SETIAWAN</v>
      </c>
      <c r="AU24" s="47">
        <v>15</v>
      </c>
      <c r="AV24" s="48" t="s">
        <v>883</v>
      </c>
      <c r="AW24" s="49" t="s">
        <v>15</v>
      </c>
      <c r="AX24" s="50" t="s">
        <v>8</v>
      </c>
    </row>
    <row r="25" spans="1:50" ht="20.100000000000001" customHeight="1" x14ac:dyDescent="0.25">
      <c r="A25" s="4">
        <v>16</v>
      </c>
      <c r="B25" s="4">
        <v>14752</v>
      </c>
      <c r="C25" s="5" t="s">
        <v>622</v>
      </c>
      <c r="D25" s="6" t="s">
        <v>623</v>
      </c>
      <c r="E25" s="7" t="s">
        <v>7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F25" s="15" t="s">
        <v>726</v>
      </c>
      <c r="AG25" t="s">
        <v>507</v>
      </c>
      <c r="AH25">
        <v>20527180</v>
      </c>
      <c r="AI25" t="s">
        <v>508</v>
      </c>
      <c r="AJ25" t="s">
        <v>8</v>
      </c>
      <c r="AL25" t="str">
        <f t="shared" si="0"/>
        <v>LATIFA SALMA</v>
      </c>
      <c r="AU25" s="47">
        <v>16</v>
      </c>
      <c r="AV25" s="48" t="s">
        <v>884</v>
      </c>
      <c r="AW25" s="49" t="s">
        <v>623</v>
      </c>
      <c r="AX25" s="50" t="s">
        <v>7</v>
      </c>
    </row>
    <row r="26" spans="1:50" ht="20.100000000000001" customHeight="1" x14ac:dyDescent="0.25">
      <c r="A26" s="4">
        <v>17</v>
      </c>
      <c r="B26" s="4">
        <v>14763</v>
      </c>
      <c r="C26" s="5" t="s">
        <v>244</v>
      </c>
      <c r="D26" s="5" t="s">
        <v>245</v>
      </c>
      <c r="E26" s="7" t="s">
        <v>8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F26" s="15" t="s">
        <v>726</v>
      </c>
      <c r="AG26" t="s">
        <v>699</v>
      </c>
      <c r="AH26">
        <v>20527197</v>
      </c>
      <c r="AI26" t="s">
        <v>700</v>
      </c>
      <c r="AJ26" t="s">
        <v>8</v>
      </c>
      <c r="AL26" t="str">
        <f t="shared" si="0"/>
        <v>MAJENDRA FAREL RIZKY HARIYANTO</v>
      </c>
      <c r="AU26" s="47">
        <v>17</v>
      </c>
      <c r="AV26" s="48" t="s">
        <v>885</v>
      </c>
      <c r="AW26" s="49" t="s">
        <v>245</v>
      </c>
      <c r="AX26" s="50" t="s">
        <v>8</v>
      </c>
    </row>
    <row r="27" spans="1:50" ht="20.100000000000001" customHeight="1" x14ac:dyDescent="0.25">
      <c r="A27" s="4">
        <v>18</v>
      </c>
      <c r="B27" s="4">
        <v>14784</v>
      </c>
      <c r="C27" s="5" t="s">
        <v>89</v>
      </c>
      <c r="D27" s="6" t="s">
        <v>90</v>
      </c>
      <c r="E27" s="7" t="s">
        <v>8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F27" s="15" t="s">
        <v>726</v>
      </c>
      <c r="AG27" t="s">
        <v>657</v>
      </c>
      <c r="AH27">
        <v>20527180</v>
      </c>
      <c r="AI27" t="s">
        <v>658</v>
      </c>
      <c r="AJ27" t="s">
        <v>7</v>
      </c>
      <c r="AL27" t="str">
        <f t="shared" si="0"/>
        <v>MOH GILANG MAULANA</v>
      </c>
      <c r="AU27" s="47">
        <v>18</v>
      </c>
      <c r="AV27" s="48" t="s">
        <v>886</v>
      </c>
      <c r="AW27" s="49" t="s">
        <v>90</v>
      </c>
      <c r="AX27" s="50" t="s">
        <v>8</v>
      </c>
    </row>
    <row r="28" spans="1:50" ht="20.100000000000001" customHeight="1" x14ac:dyDescent="0.25">
      <c r="A28" s="4">
        <v>19</v>
      </c>
      <c r="B28" s="4">
        <v>14789</v>
      </c>
      <c r="C28" s="5" t="s">
        <v>580</v>
      </c>
      <c r="D28" s="6" t="s">
        <v>581</v>
      </c>
      <c r="E28" s="7" t="s">
        <v>8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F28" s="18" t="s">
        <v>371</v>
      </c>
      <c r="AG28" t="s">
        <v>363</v>
      </c>
      <c r="AH28">
        <v>20527197</v>
      </c>
      <c r="AI28" t="s">
        <v>364</v>
      </c>
      <c r="AJ28" t="s">
        <v>8</v>
      </c>
      <c r="AL28" t="str">
        <f t="shared" si="0"/>
        <v>MOH RISHAL HIDAYAT</v>
      </c>
      <c r="AU28" s="47">
        <v>19</v>
      </c>
      <c r="AV28" s="48" t="s">
        <v>887</v>
      </c>
      <c r="AW28" s="51" t="s">
        <v>888</v>
      </c>
      <c r="AX28" s="50" t="s">
        <v>8</v>
      </c>
    </row>
    <row r="29" spans="1:50" ht="20.100000000000001" customHeight="1" x14ac:dyDescent="0.25">
      <c r="A29" s="4">
        <v>20</v>
      </c>
      <c r="B29" s="4">
        <v>14806</v>
      </c>
      <c r="C29" s="5" t="s">
        <v>311</v>
      </c>
      <c r="D29" s="6" t="s">
        <v>789</v>
      </c>
      <c r="E29" s="7" t="s">
        <v>8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F29" s="15" t="s">
        <v>726</v>
      </c>
      <c r="AG29" t="s">
        <v>390</v>
      </c>
      <c r="AH29">
        <v>20583410</v>
      </c>
      <c r="AI29" t="s">
        <v>391</v>
      </c>
      <c r="AJ29" t="s">
        <v>7</v>
      </c>
      <c r="AL29" t="str">
        <f t="shared" si="0"/>
        <v>MUHAMMAD DAFA ARRIFA'I</v>
      </c>
      <c r="AU29" s="47">
        <v>20</v>
      </c>
      <c r="AV29" s="48" t="s">
        <v>889</v>
      </c>
      <c r="AW29" s="49" t="s">
        <v>789</v>
      </c>
      <c r="AX29" s="50" t="s">
        <v>8</v>
      </c>
    </row>
    <row r="30" spans="1:50" ht="20.100000000000001" customHeight="1" x14ac:dyDescent="0.25">
      <c r="A30" s="4">
        <v>21</v>
      </c>
      <c r="B30" s="4">
        <v>14817</v>
      </c>
      <c r="C30" s="6" t="s">
        <v>653</v>
      </c>
      <c r="D30" s="6" t="s">
        <v>654</v>
      </c>
      <c r="E30" s="7" t="s">
        <v>8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F30" s="15" t="s">
        <v>726</v>
      </c>
      <c r="AG30" t="s">
        <v>689</v>
      </c>
      <c r="AH30">
        <v>20527180</v>
      </c>
      <c r="AI30" t="s">
        <v>690</v>
      </c>
      <c r="AJ30" t="s">
        <v>7</v>
      </c>
      <c r="AL30" t="str">
        <f t="shared" si="0"/>
        <v>MUHAMMAD IQBAL RAIHANUN</v>
      </c>
      <c r="AU30" s="47">
        <v>21</v>
      </c>
      <c r="AV30" s="48" t="s">
        <v>890</v>
      </c>
      <c r="AW30" s="49" t="s">
        <v>654</v>
      </c>
      <c r="AX30" s="50" t="s">
        <v>8</v>
      </c>
    </row>
    <row r="31" spans="1:50" ht="20.100000000000001" customHeight="1" x14ac:dyDescent="0.25">
      <c r="A31" s="4">
        <v>22</v>
      </c>
      <c r="B31" s="4">
        <v>14822</v>
      </c>
      <c r="C31" s="5" t="s">
        <v>101</v>
      </c>
      <c r="D31" s="5" t="s">
        <v>102</v>
      </c>
      <c r="E31" s="7" t="s">
        <v>8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F31" s="15" t="s">
        <v>726</v>
      </c>
      <c r="AG31" t="s">
        <v>574</v>
      </c>
      <c r="AH31">
        <v>20527197</v>
      </c>
      <c r="AI31" t="s">
        <v>575</v>
      </c>
      <c r="AJ31" t="s">
        <v>7</v>
      </c>
      <c r="AL31" t="str">
        <f t="shared" si="0"/>
        <v>MUHAMMAD NURIL FAZA FAWWAZI</v>
      </c>
      <c r="AU31" s="47">
        <v>22</v>
      </c>
      <c r="AV31" s="48" t="s">
        <v>891</v>
      </c>
      <c r="AW31" s="49" t="s">
        <v>102</v>
      </c>
      <c r="AX31" s="50" t="s">
        <v>8</v>
      </c>
    </row>
    <row r="32" spans="1:50" ht="20.100000000000001" customHeight="1" x14ac:dyDescent="0.25">
      <c r="A32" s="4">
        <v>23</v>
      </c>
      <c r="B32" s="4">
        <v>14827</v>
      </c>
      <c r="C32" s="5" t="s">
        <v>410</v>
      </c>
      <c r="D32" s="5" t="s">
        <v>411</v>
      </c>
      <c r="E32" s="7" t="s">
        <v>7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F32" s="13" t="s">
        <v>50</v>
      </c>
      <c r="AG32" t="s">
        <v>44</v>
      </c>
      <c r="AH32">
        <v>20527166</v>
      </c>
      <c r="AI32" t="s">
        <v>45</v>
      </c>
      <c r="AJ32" t="s">
        <v>7</v>
      </c>
      <c r="AL32" t="str">
        <f t="shared" si="0"/>
        <v>NABILA DAVID</v>
      </c>
      <c r="AU32" s="47">
        <v>23</v>
      </c>
      <c r="AV32" s="48" t="s">
        <v>892</v>
      </c>
      <c r="AW32" s="49" t="s">
        <v>411</v>
      </c>
      <c r="AX32" s="50" t="s">
        <v>7</v>
      </c>
    </row>
    <row r="33" spans="1:50" ht="20.100000000000001" customHeight="1" x14ac:dyDescent="0.25">
      <c r="A33" s="4">
        <v>24</v>
      </c>
      <c r="B33" s="4">
        <v>14829</v>
      </c>
      <c r="C33" s="9" t="s">
        <v>163</v>
      </c>
      <c r="D33" s="6" t="s">
        <v>164</v>
      </c>
      <c r="E33" s="7" t="s">
        <v>7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F33" s="17" t="s">
        <v>197</v>
      </c>
      <c r="AG33" t="s">
        <v>144</v>
      </c>
      <c r="AH33">
        <v>20527195</v>
      </c>
      <c r="AI33" t="s">
        <v>145</v>
      </c>
      <c r="AJ33" t="s">
        <v>8</v>
      </c>
      <c r="AL33" t="str">
        <f>UPPER('XII-B-1'!D22)</f>
        <v>KAYSAN AISEL ASYROF</v>
      </c>
      <c r="AU33" s="47">
        <v>24</v>
      </c>
      <c r="AV33" s="48" t="s">
        <v>893</v>
      </c>
      <c r="AW33" s="49" t="s">
        <v>164</v>
      </c>
      <c r="AX33" s="50" t="s">
        <v>7</v>
      </c>
    </row>
    <row r="34" spans="1:50" ht="20.100000000000001" customHeight="1" x14ac:dyDescent="0.25">
      <c r="A34" s="4">
        <v>25</v>
      </c>
      <c r="B34" s="4">
        <v>14851</v>
      </c>
      <c r="C34" s="6" t="s">
        <v>266</v>
      </c>
      <c r="D34" s="6" t="s">
        <v>267</v>
      </c>
      <c r="E34" s="7" t="s">
        <v>7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F34" s="18" t="s">
        <v>371</v>
      </c>
      <c r="AG34" t="s">
        <v>238</v>
      </c>
      <c r="AH34">
        <v>20527197</v>
      </c>
      <c r="AI34" t="s">
        <v>239</v>
      </c>
      <c r="AJ34" t="s">
        <v>8</v>
      </c>
      <c r="AL34" t="str">
        <f t="shared" ref="AL34:AL45" si="1">UPPER(D34)</f>
        <v>NISRINA SALIM NUR ASY SYIFA</v>
      </c>
      <c r="AU34" s="47">
        <v>25</v>
      </c>
      <c r="AV34" s="48" t="s">
        <v>894</v>
      </c>
      <c r="AW34" s="49" t="s">
        <v>267</v>
      </c>
      <c r="AX34" s="50" t="s">
        <v>7</v>
      </c>
    </row>
    <row r="35" spans="1:50" ht="20.100000000000001" customHeight="1" x14ac:dyDescent="0.25">
      <c r="A35" s="4">
        <v>26</v>
      </c>
      <c r="B35" s="4">
        <v>14861</v>
      </c>
      <c r="C35" s="5" t="s">
        <v>18</v>
      </c>
      <c r="D35" s="6" t="s">
        <v>731</v>
      </c>
      <c r="E35" s="24" t="s">
        <v>7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F35" s="18" t="s">
        <v>371</v>
      </c>
      <c r="AG35" t="s">
        <v>204</v>
      </c>
      <c r="AH35">
        <v>20527197</v>
      </c>
      <c r="AI35" t="s">
        <v>205</v>
      </c>
      <c r="AJ35" t="s">
        <v>7</v>
      </c>
      <c r="AL35" t="str">
        <f t="shared" si="1"/>
        <v>OKTARINA SYAWLA PUTRI</v>
      </c>
      <c r="AU35" s="47">
        <v>26</v>
      </c>
      <c r="AV35" s="48" t="s">
        <v>895</v>
      </c>
      <c r="AW35" s="49" t="s">
        <v>19</v>
      </c>
      <c r="AX35" s="50" t="s">
        <v>7</v>
      </c>
    </row>
    <row r="36" spans="1:50" ht="20.100000000000001" customHeight="1" x14ac:dyDescent="0.25">
      <c r="A36" s="4">
        <v>27</v>
      </c>
      <c r="B36" s="4">
        <v>14862</v>
      </c>
      <c r="C36" s="5" t="s">
        <v>657</v>
      </c>
      <c r="D36" s="6" t="s">
        <v>658</v>
      </c>
      <c r="E36" s="7" t="s">
        <v>7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F36" s="16" t="s">
        <v>80</v>
      </c>
      <c r="AG36" t="s">
        <v>78</v>
      </c>
      <c r="AH36">
        <v>20527197</v>
      </c>
      <c r="AI36" t="s">
        <v>79</v>
      </c>
      <c r="AJ36" t="s">
        <v>7</v>
      </c>
      <c r="AL36" t="str">
        <f t="shared" si="1"/>
        <v>OLIVIA DAMAYANTI LUQMAN</v>
      </c>
      <c r="AU36" s="47">
        <v>27</v>
      </c>
      <c r="AV36" s="48" t="s">
        <v>896</v>
      </c>
      <c r="AW36" s="49" t="s">
        <v>658</v>
      </c>
      <c r="AX36" s="50" t="s">
        <v>7</v>
      </c>
    </row>
    <row r="37" spans="1:50" ht="20.100000000000001" customHeight="1" x14ac:dyDescent="0.25">
      <c r="A37" s="4">
        <v>28</v>
      </c>
      <c r="B37" s="4">
        <v>14865</v>
      </c>
      <c r="C37" s="5" t="s">
        <v>270</v>
      </c>
      <c r="D37" s="5" t="s">
        <v>271</v>
      </c>
      <c r="E37" s="7" t="s">
        <v>8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L37" t="str">
        <f t="shared" si="1"/>
        <v>PASHA DWI CHANDRADINATA</v>
      </c>
      <c r="AU37" s="47">
        <v>28</v>
      </c>
      <c r="AV37" s="48" t="s">
        <v>897</v>
      </c>
      <c r="AW37" s="49" t="s">
        <v>271</v>
      </c>
      <c r="AX37" s="50" t="s">
        <v>8</v>
      </c>
    </row>
    <row r="38" spans="1:50" ht="20.100000000000001" customHeight="1" x14ac:dyDescent="0.25">
      <c r="A38" s="4">
        <v>29</v>
      </c>
      <c r="B38" s="4">
        <v>14868</v>
      </c>
      <c r="C38" s="5" t="s">
        <v>499</v>
      </c>
      <c r="D38" s="6" t="s">
        <v>500</v>
      </c>
      <c r="E38" s="7" t="s">
        <v>8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L38" t="str">
        <f t="shared" si="1"/>
        <v>PRAMUDYA YUSUF SAPUTRA</v>
      </c>
      <c r="AU38" s="47">
        <v>29</v>
      </c>
      <c r="AV38" s="48" t="s">
        <v>898</v>
      </c>
      <c r="AW38" s="49" t="s">
        <v>500</v>
      </c>
      <c r="AX38" s="50" t="s">
        <v>8</v>
      </c>
    </row>
    <row r="39" spans="1:50" ht="20.100000000000001" customHeight="1" x14ac:dyDescent="0.25">
      <c r="A39" s="4">
        <v>30</v>
      </c>
      <c r="B39" s="4">
        <v>14885</v>
      </c>
      <c r="C39" s="5" t="s">
        <v>264</v>
      </c>
      <c r="D39" s="6" t="s">
        <v>265</v>
      </c>
      <c r="E39" s="24" t="s">
        <v>8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L39" t="str">
        <f t="shared" si="1"/>
        <v>RANGGA YUSIKA DEWANTARA</v>
      </c>
      <c r="AU39" s="47">
        <v>30</v>
      </c>
      <c r="AV39" s="48" t="s">
        <v>899</v>
      </c>
      <c r="AW39" s="49" t="s">
        <v>265</v>
      </c>
      <c r="AX39" s="50" t="s">
        <v>8</v>
      </c>
    </row>
    <row r="40" spans="1:50" ht="20.100000000000001" customHeight="1" x14ac:dyDescent="0.25">
      <c r="A40" s="4">
        <v>31</v>
      </c>
      <c r="B40" s="4">
        <v>14905</v>
      </c>
      <c r="C40" s="6" t="s">
        <v>192</v>
      </c>
      <c r="D40" s="6" t="s">
        <v>193</v>
      </c>
      <c r="E40" s="7" t="s">
        <v>8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L40" t="str">
        <f t="shared" si="1"/>
        <v>SANJAYA MALIK MAULANA</v>
      </c>
      <c r="AU40" s="47">
        <v>31</v>
      </c>
      <c r="AV40" s="48" t="s">
        <v>900</v>
      </c>
      <c r="AW40" s="49" t="s">
        <v>193</v>
      </c>
      <c r="AX40" s="50" t="s">
        <v>8</v>
      </c>
    </row>
    <row r="41" spans="1:50" ht="20.100000000000001" customHeight="1" x14ac:dyDescent="0.25">
      <c r="A41" s="4">
        <v>32</v>
      </c>
      <c r="B41" s="4">
        <v>14911</v>
      </c>
      <c r="C41" s="5" t="s">
        <v>26</v>
      </c>
      <c r="D41" s="6" t="s">
        <v>742</v>
      </c>
      <c r="E41" s="7" t="s">
        <v>7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L41" t="str">
        <f t="shared" si="1"/>
        <v>SELVIANA FEBIYANTI</v>
      </c>
      <c r="AU41" s="47">
        <v>32</v>
      </c>
      <c r="AV41" s="48" t="s">
        <v>901</v>
      </c>
      <c r="AW41" s="49" t="s">
        <v>27</v>
      </c>
      <c r="AX41" s="50" t="s">
        <v>7</v>
      </c>
    </row>
    <row r="42" spans="1:50" ht="20.100000000000001" customHeight="1" x14ac:dyDescent="0.25">
      <c r="A42" s="4">
        <v>33</v>
      </c>
      <c r="B42" s="4">
        <v>14915</v>
      </c>
      <c r="C42" s="5" t="s">
        <v>574</v>
      </c>
      <c r="D42" s="6" t="s">
        <v>575</v>
      </c>
      <c r="E42" s="7" t="s">
        <v>7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L42" t="str">
        <f t="shared" si="1"/>
        <v>SHELFIA PUTRI RAMADHANI</v>
      </c>
      <c r="AU42" s="47">
        <v>33</v>
      </c>
      <c r="AV42" s="48" t="s">
        <v>902</v>
      </c>
      <c r="AW42" s="49" t="s">
        <v>575</v>
      </c>
      <c r="AX42" s="50" t="s">
        <v>7</v>
      </c>
    </row>
    <row r="43" spans="1:50" ht="20.100000000000001" customHeight="1" x14ac:dyDescent="0.25">
      <c r="A43" s="4">
        <v>34</v>
      </c>
      <c r="B43" s="4">
        <v>14920</v>
      </c>
      <c r="C43" s="5" t="s">
        <v>44</v>
      </c>
      <c r="D43" s="6" t="s">
        <v>735</v>
      </c>
      <c r="E43" s="7" t="s">
        <v>7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L43" t="str">
        <f t="shared" si="1"/>
        <v>SITTI USWATUN HASANAH</v>
      </c>
      <c r="AU43" s="47">
        <v>34</v>
      </c>
      <c r="AV43" s="48" t="s">
        <v>903</v>
      </c>
      <c r="AW43" s="49" t="s">
        <v>45</v>
      </c>
      <c r="AX43" s="50" t="s">
        <v>7</v>
      </c>
    </row>
    <row r="44" spans="1:50" ht="20.100000000000001" customHeight="1" x14ac:dyDescent="0.25">
      <c r="A44" s="4">
        <v>35</v>
      </c>
      <c r="B44" s="4">
        <v>14927</v>
      </c>
      <c r="C44" s="6" t="s">
        <v>667</v>
      </c>
      <c r="D44" s="6" t="s">
        <v>668</v>
      </c>
      <c r="E44" s="7" t="s">
        <v>7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L44" t="str">
        <f t="shared" si="1"/>
        <v>SYAVIYOLA YENITHA CAHYONO</v>
      </c>
      <c r="AU44" s="47">
        <v>35</v>
      </c>
      <c r="AV44" s="48" t="s">
        <v>904</v>
      </c>
      <c r="AW44" s="49" t="s">
        <v>668</v>
      </c>
      <c r="AX44" s="50" t="s">
        <v>7</v>
      </c>
    </row>
    <row r="45" spans="1:50" ht="20.100000000000001" customHeight="1" x14ac:dyDescent="0.25">
      <c r="A45" s="4">
        <v>36</v>
      </c>
      <c r="B45" s="4">
        <v>14947</v>
      </c>
      <c r="C45" s="6" t="s">
        <v>521</v>
      </c>
      <c r="D45" s="5" t="s">
        <v>522</v>
      </c>
      <c r="E45" s="7" t="s">
        <v>8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L45" t="str">
        <f t="shared" si="1"/>
        <v>ZAUMAR ABDURRAHMAN RITONGA</v>
      </c>
      <c r="AU45" s="47">
        <v>36</v>
      </c>
      <c r="AV45" s="48" t="s">
        <v>905</v>
      </c>
      <c r="AW45" s="49" t="s">
        <v>522</v>
      </c>
      <c r="AX45" s="50" t="s">
        <v>8</v>
      </c>
    </row>
    <row r="46" spans="1:50" x14ac:dyDescent="0.25">
      <c r="A46" s="65" t="s">
        <v>10</v>
      </c>
      <c r="B46" s="65"/>
      <c r="C46" s="65"/>
      <c r="D46" s="10" t="s">
        <v>11</v>
      </c>
      <c r="E46" s="8">
        <f>COUNTIFS($E$10:$E$45,"L")</f>
        <v>18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spans="1:50" x14ac:dyDescent="0.25">
      <c r="A47" s="65" t="s">
        <v>12</v>
      </c>
      <c r="B47" s="65"/>
      <c r="C47" s="65"/>
      <c r="D47" s="10" t="s">
        <v>13</v>
      </c>
      <c r="E47" s="8">
        <f>COUNTIFS($E$10:$E$45,"P")</f>
        <v>18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spans="1:50" x14ac:dyDescent="0.25">
      <c r="A48" s="1"/>
      <c r="B48" s="1"/>
      <c r="C48" s="2"/>
      <c r="E48">
        <f>E46+E47</f>
        <v>36</v>
      </c>
    </row>
  </sheetData>
  <sortState xmlns:xlrd2="http://schemas.microsoft.com/office/spreadsheetml/2017/richdata2" ref="C10:E45">
    <sortCondition ref="D10:D45"/>
  </sortState>
  <mergeCells count="16">
    <mergeCell ref="A1:AC1"/>
    <mergeCell ref="A2:AC2"/>
    <mergeCell ref="A3:AC3"/>
    <mergeCell ref="A4:AC4"/>
    <mergeCell ref="A7:A9"/>
    <mergeCell ref="C7:C9"/>
    <mergeCell ref="D7:D9"/>
    <mergeCell ref="E7:E9"/>
    <mergeCell ref="F7:H7"/>
    <mergeCell ref="B7:B9"/>
    <mergeCell ref="F8:AC8"/>
    <mergeCell ref="A46:C46"/>
    <mergeCell ref="A47:C47"/>
    <mergeCell ref="I7:S7"/>
    <mergeCell ref="T7:U7"/>
    <mergeCell ref="V7:AC7"/>
  </mergeCells>
  <conditionalFormatting sqref="D10:D28 D30:D32 D34:D42">
    <cfRule type="colorScale" priority="5">
      <colorScale>
        <cfvo type="min"/>
        <cfvo type="max"/>
        <color rgb="FFFCFCFF"/>
        <color rgb="FF63BE7B"/>
      </colorScale>
    </cfRule>
    <cfRule type="duplicateValues" dxfId="701" priority="6"/>
  </conditionalFormatting>
  <conditionalFormatting sqref="D29">
    <cfRule type="colorScale" priority="7">
      <colorScale>
        <cfvo type="min"/>
        <cfvo type="max"/>
        <color rgb="FFFCFCFF"/>
        <color rgb="FF63BE7B"/>
      </colorScale>
    </cfRule>
    <cfRule type="duplicateValues" dxfId="700" priority="8"/>
  </conditionalFormatting>
  <conditionalFormatting sqref="D33">
    <cfRule type="colorScale" priority="1">
      <colorScale>
        <cfvo type="min"/>
        <cfvo type="max"/>
        <color rgb="FFFCFCFF"/>
        <color rgb="FF63BE7B"/>
      </colorScale>
    </cfRule>
    <cfRule type="duplicateValues" dxfId="699" priority="2"/>
  </conditionalFormatting>
  <conditionalFormatting sqref="D43:D45">
    <cfRule type="colorScale" priority="3">
      <colorScale>
        <cfvo type="min"/>
        <cfvo type="max"/>
        <color rgb="FFFCFCFF"/>
        <color rgb="FF63BE7B"/>
      </colorScale>
    </cfRule>
    <cfRule type="duplicateValues" dxfId="698" priority="4"/>
  </conditionalFormatting>
  <pageMargins left="0.23622047244094491" right="0.15748031496062992" top="0.35433070866141736" bottom="0.74803149606299213" header="0.31496062992125984" footer="0.31496062992125984"/>
  <pageSetup paperSize="5" scale="85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46"/>
  <sheetViews>
    <sheetView zoomScaleNormal="100" workbookViewId="0">
      <selection activeCell="F8" sqref="F8:AC8"/>
    </sheetView>
  </sheetViews>
  <sheetFormatPr defaultColWidth="3.28515625" defaultRowHeight="15" x14ac:dyDescent="0.25"/>
  <cols>
    <col min="1" max="1" width="4.5703125" bestFit="1" customWidth="1"/>
    <col min="2" max="2" width="6.140625" customWidth="1"/>
    <col min="3" max="3" width="11" bestFit="1" customWidth="1"/>
    <col min="4" max="4" width="30" customWidth="1"/>
    <col min="5" max="5" width="3.7109375" bestFit="1" customWidth="1"/>
    <col min="6" max="29" width="2.7109375" customWidth="1"/>
    <col min="32" max="34" width="0" hidden="1" customWidth="1"/>
    <col min="35" max="35" width="7.7109375" hidden="1" customWidth="1"/>
    <col min="36" max="45" width="0" hidden="1" customWidth="1"/>
    <col min="47" max="47" width="17.85546875" bestFit="1" customWidth="1"/>
    <col min="48" max="48" width="40.7109375" bestFit="1" customWidth="1"/>
  </cols>
  <sheetData>
    <row r="1" spans="1:49" x14ac:dyDescent="0.25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F1" s="15" t="s">
        <v>726</v>
      </c>
      <c r="AG1" t="s">
        <v>702</v>
      </c>
      <c r="AH1">
        <v>20527180</v>
      </c>
      <c r="AI1" t="s">
        <v>703</v>
      </c>
      <c r="AJ1" t="s">
        <v>8</v>
      </c>
    </row>
    <row r="2" spans="1:49" ht="21.75" customHeight="1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F2" s="15" t="s">
        <v>726</v>
      </c>
      <c r="AG2" t="s">
        <v>547</v>
      </c>
      <c r="AH2">
        <v>20527197</v>
      </c>
      <c r="AI2" t="s">
        <v>548</v>
      </c>
      <c r="AJ2" t="s">
        <v>8</v>
      </c>
    </row>
    <row r="3" spans="1:49" ht="20.25" customHeight="1" x14ac:dyDescent="0.25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F3" s="18" t="s">
        <v>371</v>
      </c>
      <c r="AG3" t="s">
        <v>202</v>
      </c>
      <c r="AH3">
        <v>20527197</v>
      </c>
      <c r="AI3" t="s">
        <v>203</v>
      </c>
      <c r="AJ3" t="s">
        <v>8</v>
      </c>
    </row>
    <row r="4" spans="1:49" ht="21" x14ac:dyDescent="0.35">
      <c r="A4" s="55" t="s">
        <v>1209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F4" s="15" t="s">
        <v>726</v>
      </c>
      <c r="AG4" t="s">
        <v>614</v>
      </c>
      <c r="AH4">
        <v>60729406</v>
      </c>
      <c r="AI4" t="s">
        <v>615</v>
      </c>
      <c r="AJ4" t="s">
        <v>8</v>
      </c>
    </row>
    <row r="5" spans="1:49" x14ac:dyDescent="0.25">
      <c r="A5" s="1"/>
      <c r="B5" s="1"/>
      <c r="C5" s="2"/>
      <c r="P5" s="11"/>
      <c r="AF5" s="15" t="s">
        <v>726</v>
      </c>
      <c r="AG5" t="s">
        <v>531</v>
      </c>
      <c r="AH5">
        <v>20527169</v>
      </c>
      <c r="AI5" t="s">
        <v>532</v>
      </c>
      <c r="AJ5" t="s">
        <v>7</v>
      </c>
    </row>
    <row r="6" spans="1:49" ht="3.75" customHeight="1" x14ac:dyDescent="0.25">
      <c r="A6" s="1"/>
      <c r="B6" s="1"/>
      <c r="C6" s="2"/>
      <c r="AF6" s="18" t="s">
        <v>371</v>
      </c>
      <c r="AG6" t="s">
        <v>246</v>
      </c>
      <c r="AH6">
        <v>20527180</v>
      </c>
      <c r="AI6" t="s">
        <v>247</v>
      </c>
      <c r="AJ6" t="s">
        <v>7</v>
      </c>
    </row>
    <row r="7" spans="1:49" x14ac:dyDescent="0.25">
      <c r="A7" s="56" t="s">
        <v>0</v>
      </c>
      <c r="B7" s="57" t="s">
        <v>803</v>
      </c>
      <c r="C7" s="57" t="s">
        <v>1</v>
      </c>
      <c r="D7" s="56" t="s">
        <v>2</v>
      </c>
      <c r="E7" s="58" t="s">
        <v>3</v>
      </c>
      <c r="F7" s="59" t="s">
        <v>4</v>
      </c>
      <c r="G7" s="60"/>
      <c r="H7" s="61"/>
      <c r="I7" s="70" t="s">
        <v>813</v>
      </c>
      <c r="J7" s="71"/>
      <c r="K7" s="71"/>
      <c r="L7" s="71"/>
      <c r="M7" s="71"/>
      <c r="N7" s="71"/>
      <c r="O7" s="71"/>
      <c r="P7" s="71"/>
      <c r="Q7" s="71"/>
      <c r="R7" s="71"/>
      <c r="S7" s="72"/>
      <c r="T7" s="65" t="s">
        <v>5</v>
      </c>
      <c r="U7" s="65"/>
      <c r="V7" s="69" t="s">
        <v>814</v>
      </c>
      <c r="W7" s="69"/>
      <c r="X7" s="69"/>
      <c r="Y7" s="69"/>
      <c r="Z7" s="69"/>
      <c r="AA7" s="69"/>
      <c r="AB7" s="69"/>
      <c r="AC7" s="69"/>
      <c r="AF7" s="15" t="s">
        <v>726</v>
      </c>
      <c r="AG7" t="s">
        <v>509</v>
      </c>
      <c r="AH7">
        <v>20527197</v>
      </c>
      <c r="AI7" t="s">
        <v>510</v>
      </c>
      <c r="AJ7" t="s">
        <v>8</v>
      </c>
    </row>
    <row r="8" spans="1:49" x14ac:dyDescent="0.25">
      <c r="A8" s="56"/>
      <c r="B8" s="57"/>
      <c r="C8" s="57"/>
      <c r="D8" s="56"/>
      <c r="E8" s="58"/>
      <c r="F8" s="62" t="s">
        <v>1214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4"/>
      <c r="AF8" s="18" t="s">
        <v>371</v>
      </c>
      <c r="AG8" t="s">
        <v>309</v>
      </c>
      <c r="AH8">
        <v>20531242</v>
      </c>
      <c r="AI8" t="s">
        <v>310</v>
      </c>
      <c r="AJ8" t="s">
        <v>7</v>
      </c>
    </row>
    <row r="9" spans="1:49" x14ac:dyDescent="0.25">
      <c r="A9" s="56"/>
      <c r="B9" s="57"/>
      <c r="C9" s="57"/>
      <c r="D9" s="56"/>
      <c r="E9" s="58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F9" s="14" t="s">
        <v>141</v>
      </c>
      <c r="AG9" t="s">
        <v>83</v>
      </c>
      <c r="AH9">
        <v>20527197</v>
      </c>
      <c r="AI9" t="s">
        <v>84</v>
      </c>
      <c r="AJ9" t="s">
        <v>7</v>
      </c>
    </row>
    <row r="10" spans="1:49" ht="20.100000000000001" customHeight="1" x14ac:dyDescent="0.25">
      <c r="A10" s="4">
        <v>1</v>
      </c>
      <c r="B10" s="4">
        <v>14618</v>
      </c>
      <c r="C10" s="9" t="s">
        <v>448</v>
      </c>
      <c r="D10" s="5" t="s">
        <v>449</v>
      </c>
      <c r="E10" s="50" t="s">
        <v>8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F10" s="18" t="s">
        <v>371</v>
      </c>
      <c r="AG10">
        <v>3094339612</v>
      </c>
      <c r="AH10">
        <v>20566545</v>
      </c>
      <c r="AI10" t="s">
        <v>280</v>
      </c>
      <c r="AJ10" t="s">
        <v>7</v>
      </c>
      <c r="AM10" t="str">
        <f>UPPER(D10)</f>
        <v>AL FATIH WAHYU BASALAMAH</v>
      </c>
      <c r="AT10" s="47">
        <v>1</v>
      </c>
      <c r="AU10" s="48" t="s">
        <v>906</v>
      </c>
      <c r="AV10" s="49" t="s">
        <v>449</v>
      </c>
      <c r="AW10" s="50" t="s">
        <v>8</v>
      </c>
    </row>
    <row r="11" spans="1:49" ht="20.100000000000001" customHeight="1" x14ac:dyDescent="0.25">
      <c r="A11" s="4">
        <v>2</v>
      </c>
      <c r="B11" s="4">
        <v>14633</v>
      </c>
      <c r="C11" s="5" t="s">
        <v>509</v>
      </c>
      <c r="D11" s="5" t="s">
        <v>510</v>
      </c>
      <c r="E11" s="50" t="s">
        <v>8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F11" s="15" t="s">
        <v>726</v>
      </c>
      <c r="AG11" t="s">
        <v>671</v>
      </c>
      <c r="AH11">
        <v>20527193</v>
      </c>
      <c r="AI11" t="s">
        <v>672</v>
      </c>
      <c r="AJ11" t="s">
        <v>8</v>
      </c>
      <c r="AM11" t="str">
        <f t="shared" ref="AM11:AM43" si="0">UPPER(D11)</f>
        <v>ANDI ZAKY DANISH FIRMANSYAH</v>
      </c>
      <c r="AT11" s="47">
        <v>2</v>
      </c>
      <c r="AU11" s="48" t="s">
        <v>907</v>
      </c>
      <c r="AV11" s="49" t="s">
        <v>510</v>
      </c>
      <c r="AW11" s="50" t="s">
        <v>8</v>
      </c>
    </row>
    <row r="12" spans="1:49" ht="20.100000000000001" customHeight="1" x14ac:dyDescent="0.25">
      <c r="A12" s="4">
        <v>3</v>
      </c>
      <c r="B12" s="4">
        <v>14642</v>
      </c>
      <c r="C12" s="5" t="s">
        <v>109</v>
      </c>
      <c r="D12" s="5" t="s">
        <v>760</v>
      </c>
      <c r="E12" s="50" t="s">
        <v>7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F12" s="18" t="s">
        <v>371</v>
      </c>
      <c r="AG12" t="s">
        <v>367</v>
      </c>
      <c r="AH12">
        <v>20527197</v>
      </c>
      <c r="AI12" t="s">
        <v>368</v>
      </c>
      <c r="AJ12" t="s">
        <v>8</v>
      </c>
      <c r="AM12" t="str">
        <f t="shared" si="0"/>
        <v>ARIKA ABADIA HAMAS</v>
      </c>
      <c r="AT12" s="47">
        <v>3</v>
      </c>
      <c r="AU12" s="48" t="s">
        <v>908</v>
      </c>
      <c r="AV12" s="49" t="s">
        <v>110</v>
      </c>
      <c r="AW12" s="50" t="s">
        <v>7</v>
      </c>
    </row>
    <row r="13" spans="1:49" ht="20.100000000000001" customHeight="1" x14ac:dyDescent="0.25">
      <c r="A13" s="4">
        <v>4</v>
      </c>
      <c r="B13" s="4">
        <v>14654</v>
      </c>
      <c r="C13" s="5" t="s">
        <v>661</v>
      </c>
      <c r="D13" s="5" t="s">
        <v>662</v>
      </c>
      <c r="E13" s="50" t="s">
        <v>8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F13" s="15" t="s">
        <v>726</v>
      </c>
      <c r="AG13" t="s">
        <v>691</v>
      </c>
      <c r="AH13">
        <v>69980589</v>
      </c>
      <c r="AI13" t="s">
        <v>692</v>
      </c>
      <c r="AJ13" t="s">
        <v>7</v>
      </c>
      <c r="AM13" t="str">
        <f t="shared" si="0"/>
        <v>AURA NADHIF HENDRA SYAHPUTRA</v>
      </c>
      <c r="AT13" s="47">
        <v>4</v>
      </c>
      <c r="AU13" s="48" t="s">
        <v>909</v>
      </c>
      <c r="AV13" s="49" t="s">
        <v>662</v>
      </c>
      <c r="AW13" s="50" t="s">
        <v>8</v>
      </c>
    </row>
    <row r="14" spans="1:49" ht="20.100000000000001" customHeight="1" x14ac:dyDescent="0.25">
      <c r="A14" s="4">
        <v>5</v>
      </c>
      <c r="B14" s="4">
        <v>14680</v>
      </c>
      <c r="C14" s="5" t="s">
        <v>422</v>
      </c>
      <c r="D14" s="5" t="s">
        <v>423</v>
      </c>
      <c r="E14" s="50" t="s">
        <v>7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F14" s="13" t="s">
        <v>50</v>
      </c>
      <c r="AG14" t="s">
        <v>34</v>
      </c>
      <c r="AH14">
        <v>20527197</v>
      </c>
      <c r="AI14" t="s">
        <v>35</v>
      </c>
      <c r="AJ14" t="s">
        <v>8</v>
      </c>
      <c r="AM14" t="str">
        <f t="shared" si="0"/>
        <v>CICILYA LISTY NABILA S</v>
      </c>
      <c r="AT14" s="47">
        <v>5</v>
      </c>
      <c r="AU14" s="48" t="s">
        <v>910</v>
      </c>
      <c r="AV14" s="49" t="s">
        <v>423</v>
      </c>
      <c r="AW14" s="50" t="s">
        <v>7</v>
      </c>
    </row>
    <row r="15" spans="1:49" ht="20.100000000000001" customHeight="1" x14ac:dyDescent="0.25">
      <c r="A15" s="4">
        <v>6</v>
      </c>
      <c r="B15" s="4">
        <v>14683</v>
      </c>
      <c r="C15" s="5" t="s">
        <v>59</v>
      </c>
      <c r="D15" s="5" t="s">
        <v>60</v>
      </c>
      <c r="E15" s="50" t="s">
        <v>8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F15" s="18" t="s">
        <v>371</v>
      </c>
      <c r="AG15" t="s">
        <v>208</v>
      </c>
      <c r="AH15">
        <v>20583367</v>
      </c>
      <c r="AI15" t="s">
        <v>209</v>
      </c>
      <c r="AJ15" t="s">
        <v>7</v>
      </c>
      <c r="AM15" t="str">
        <f t="shared" si="0"/>
        <v>DAVIN PRAMANA PUTRA YULIANTO</v>
      </c>
      <c r="AT15" s="47">
        <v>6</v>
      </c>
      <c r="AU15" s="48" t="s">
        <v>911</v>
      </c>
      <c r="AV15" s="49" t="s">
        <v>60</v>
      </c>
      <c r="AW15" s="50" t="s">
        <v>8</v>
      </c>
    </row>
    <row r="16" spans="1:49" ht="20.100000000000001" customHeight="1" x14ac:dyDescent="0.25">
      <c r="A16" s="4">
        <v>7</v>
      </c>
      <c r="B16" s="4">
        <v>14705</v>
      </c>
      <c r="C16" s="5" t="s">
        <v>226</v>
      </c>
      <c r="D16" s="5" t="s">
        <v>227</v>
      </c>
      <c r="E16" s="50" t="s">
        <v>8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F16" s="18" t="s">
        <v>371</v>
      </c>
      <c r="AG16" t="s">
        <v>244</v>
      </c>
      <c r="AH16">
        <v>20527197</v>
      </c>
      <c r="AI16" t="s">
        <v>245</v>
      </c>
      <c r="AJ16" t="s">
        <v>8</v>
      </c>
      <c r="AM16" t="str">
        <f t="shared" si="0"/>
        <v>FATHAN MUBINA</v>
      </c>
      <c r="AT16" s="47">
        <v>7</v>
      </c>
      <c r="AU16" s="48" t="s">
        <v>912</v>
      </c>
      <c r="AV16" s="49" t="s">
        <v>227</v>
      </c>
      <c r="AW16" s="50" t="s">
        <v>8</v>
      </c>
    </row>
    <row r="17" spans="1:49" ht="20.100000000000001" customHeight="1" x14ac:dyDescent="0.25">
      <c r="A17" s="4">
        <v>8</v>
      </c>
      <c r="B17" s="4">
        <v>14707</v>
      </c>
      <c r="C17" s="5" t="s">
        <v>444</v>
      </c>
      <c r="D17" s="5" t="s">
        <v>445</v>
      </c>
      <c r="E17" s="50" t="s">
        <v>7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F17" s="12" t="s">
        <v>61</v>
      </c>
      <c r="AG17" t="s">
        <v>51</v>
      </c>
      <c r="AH17">
        <v>20527197</v>
      </c>
      <c r="AI17" t="s">
        <v>52</v>
      </c>
      <c r="AJ17" t="s">
        <v>7</v>
      </c>
      <c r="AM17" t="str">
        <f t="shared" si="0"/>
        <v>FATIMAH KASYAF FANIE WAHAB</v>
      </c>
      <c r="AT17" s="47">
        <v>8</v>
      </c>
      <c r="AU17" s="48" t="s">
        <v>913</v>
      </c>
      <c r="AV17" s="49" t="s">
        <v>445</v>
      </c>
      <c r="AW17" s="50" t="s">
        <v>7</v>
      </c>
    </row>
    <row r="18" spans="1:49" ht="20.100000000000001" customHeight="1" x14ac:dyDescent="0.25">
      <c r="A18" s="4">
        <v>9</v>
      </c>
      <c r="B18" s="4">
        <v>14717</v>
      </c>
      <c r="C18" s="5" t="s">
        <v>517</v>
      </c>
      <c r="D18" s="5" t="s">
        <v>518</v>
      </c>
      <c r="E18" s="50" t="s">
        <v>8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F18" s="15" t="s">
        <v>726</v>
      </c>
      <c r="AG18" t="s">
        <v>438</v>
      </c>
      <c r="AH18">
        <v>20527180</v>
      </c>
      <c r="AI18" t="s">
        <v>439</v>
      </c>
      <c r="AJ18" t="s">
        <v>7</v>
      </c>
      <c r="AM18" t="str">
        <f t="shared" si="0"/>
        <v>GILANG AKBAR SYAHPUTRA NASSO</v>
      </c>
      <c r="AT18" s="47">
        <v>9</v>
      </c>
      <c r="AU18" s="48" t="s">
        <v>914</v>
      </c>
      <c r="AV18" s="49" t="s">
        <v>518</v>
      </c>
      <c r="AW18" s="50" t="s">
        <v>8</v>
      </c>
    </row>
    <row r="19" spans="1:49" ht="20.100000000000001" customHeight="1" x14ac:dyDescent="0.25">
      <c r="A19" s="4">
        <v>10</v>
      </c>
      <c r="B19" s="4">
        <v>14740</v>
      </c>
      <c r="C19" s="5" t="s">
        <v>572</v>
      </c>
      <c r="D19" s="5" t="s">
        <v>573</v>
      </c>
      <c r="E19" s="50" t="s">
        <v>8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F19" s="18" t="s">
        <v>371</v>
      </c>
      <c r="AG19" t="s">
        <v>287</v>
      </c>
      <c r="AH19">
        <v>20527197</v>
      </c>
      <c r="AI19" t="s">
        <v>288</v>
      </c>
      <c r="AJ19" t="s">
        <v>8</v>
      </c>
      <c r="AM19" t="str">
        <f t="shared" si="0"/>
        <v>JEVIAN STYA PRATAMA</v>
      </c>
      <c r="AT19" s="47">
        <v>11</v>
      </c>
      <c r="AU19" s="48" t="s">
        <v>915</v>
      </c>
      <c r="AV19" s="49" t="s">
        <v>573</v>
      </c>
      <c r="AW19" s="50" t="s">
        <v>8</v>
      </c>
    </row>
    <row r="20" spans="1:49" ht="20.100000000000001" customHeight="1" x14ac:dyDescent="0.25">
      <c r="A20" s="4">
        <v>11</v>
      </c>
      <c r="B20" s="4">
        <v>14750</v>
      </c>
      <c r="C20" s="5" t="s">
        <v>55</v>
      </c>
      <c r="D20" s="5" t="s">
        <v>744</v>
      </c>
      <c r="E20" s="50" t="s">
        <v>7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F20" s="15" t="s">
        <v>726</v>
      </c>
      <c r="AG20" t="s">
        <v>586</v>
      </c>
      <c r="AH20">
        <v>20527180</v>
      </c>
      <c r="AI20" t="s">
        <v>587</v>
      </c>
      <c r="AJ20" t="s">
        <v>8</v>
      </c>
      <c r="AM20" t="str">
        <f t="shared" si="0"/>
        <v>KHAZWA FARIH IMTIYAZ MINDAS</v>
      </c>
      <c r="AT20" s="47">
        <v>12</v>
      </c>
      <c r="AU20" s="48" t="s">
        <v>916</v>
      </c>
      <c r="AV20" s="49" t="s">
        <v>56</v>
      </c>
      <c r="AW20" s="50" t="s">
        <v>7</v>
      </c>
    </row>
    <row r="21" spans="1:49" ht="20.100000000000001" customHeight="1" x14ac:dyDescent="0.25">
      <c r="A21" s="4">
        <v>12</v>
      </c>
      <c r="B21" s="4">
        <v>14751</v>
      </c>
      <c r="C21" s="5" t="s">
        <v>584</v>
      </c>
      <c r="D21" s="5" t="s">
        <v>585</v>
      </c>
      <c r="E21" s="50" t="s">
        <v>7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F21" s="15" t="s">
        <v>726</v>
      </c>
      <c r="AG21" t="s">
        <v>473</v>
      </c>
      <c r="AH21">
        <v>20527197</v>
      </c>
      <c r="AI21" t="s">
        <v>474</v>
      </c>
      <c r="AJ21" t="s">
        <v>8</v>
      </c>
      <c r="AM21" t="str">
        <f t="shared" si="0"/>
        <v>LALA HERMANDA</v>
      </c>
      <c r="AT21" s="47">
        <v>13</v>
      </c>
      <c r="AU21" s="48" t="s">
        <v>917</v>
      </c>
      <c r="AV21" s="49" t="s">
        <v>585</v>
      </c>
      <c r="AW21" s="50" t="s">
        <v>7</v>
      </c>
    </row>
    <row r="22" spans="1:49" ht="20.100000000000001" customHeight="1" x14ac:dyDescent="0.25">
      <c r="A22" s="4">
        <v>13</v>
      </c>
      <c r="B22" s="4">
        <v>14759</v>
      </c>
      <c r="C22" s="9" t="s">
        <v>248</v>
      </c>
      <c r="D22" s="5" t="s">
        <v>249</v>
      </c>
      <c r="E22" s="50" t="s">
        <v>8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F22" s="15" t="s">
        <v>726</v>
      </c>
      <c r="AG22" t="s">
        <v>442</v>
      </c>
      <c r="AH22">
        <v>20527180</v>
      </c>
      <c r="AI22" t="s">
        <v>443</v>
      </c>
      <c r="AJ22" t="s">
        <v>8</v>
      </c>
      <c r="AM22" t="str">
        <f t="shared" si="0"/>
        <v>M ABYAN FAITH FAWAZEE</v>
      </c>
      <c r="AT22" s="47">
        <v>14</v>
      </c>
      <c r="AU22" s="48" t="s">
        <v>918</v>
      </c>
      <c r="AV22" s="51" t="s">
        <v>919</v>
      </c>
      <c r="AW22" s="50" t="s">
        <v>8</v>
      </c>
    </row>
    <row r="23" spans="1:49" ht="20.100000000000001" customHeight="1" x14ac:dyDescent="0.25">
      <c r="A23" s="4">
        <v>14</v>
      </c>
      <c r="B23" s="4">
        <v>14765</v>
      </c>
      <c r="C23" s="5" t="s">
        <v>20</v>
      </c>
      <c r="D23" s="5" t="s">
        <v>21</v>
      </c>
      <c r="E23" s="50" t="s">
        <v>7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F23" s="18" t="s">
        <v>371</v>
      </c>
      <c r="AG23">
        <v>3082973214</v>
      </c>
      <c r="AH23">
        <v>20528625</v>
      </c>
      <c r="AI23" t="s">
        <v>331</v>
      </c>
      <c r="AJ23" t="s">
        <v>8</v>
      </c>
      <c r="AM23" t="str">
        <f t="shared" si="0"/>
        <v>MALIKA APRILIA SYAFIUN</v>
      </c>
      <c r="AT23" s="47">
        <v>15</v>
      </c>
      <c r="AU23" s="48" t="s">
        <v>920</v>
      </c>
      <c r="AV23" s="49" t="s">
        <v>21</v>
      </c>
      <c r="AW23" s="50" t="s">
        <v>7</v>
      </c>
    </row>
    <row r="24" spans="1:49" ht="20.100000000000001" customHeight="1" x14ac:dyDescent="0.25">
      <c r="A24" s="4">
        <v>15</v>
      </c>
      <c r="B24" s="4">
        <v>14771</v>
      </c>
      <c r="C24" s="5" t="s">
        <v>291</v>
      </c>
      <c r="D24" s="5" t="s">
        <v>292</v>
      </c>
      <c r="E24" s="50" t="s">
        <v>8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F24" s="13" t="s">
        <v>50</v>
      </c>
      <c r="AG24" t="s">
        <v>24</v>
      </c>
      <c r="AH24">
        <v>20527202</v>
      </c>
      <c r="AI24" t="s">
        <v>25</v>
      </c>
      <c r="AJ24" t="s">
        <v>7</v>
      </c>
      <c r="AM24" t="str">
        <f t="shared" si="0"/>
        <v>MEIDY ARYANTO WIGUNA</v>
      </c>
      <c r="AT24" s="47">
        <v>16</v>
      </c>
      <c r="AU24" s="48" t="s">
        <v>921</v>
      </c>
      <c r="AV24" s="49" t="s">
        <v>292</v>
      </c>
      <c r="AW24" s="50" t="s">
        <v>8</v>
      </c>
    </row>
    <row r="25" spans="1:49" ht="20.100000000000001" customHeight="1" x14ac:dyDescent="0.25">
      <c r="A25" s="4">
        <v>16</v>
      </c>
      <c r="B25" s="4">
        <v>14775</v>
      </c>
      <c r="C25" s="5" t="s">
        <v>323</v>
      </c>
      <c r="D25" s="5" t="s">
        <v>324</v>
      </c>
      <c r="E25" s="50" t="s">
        <v>8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F25" s="18" t="s">
        <v>371</v>
      </c>
      <c r="AG25" t="s">
        <v>349</v>
      </c>
      <c r="AH25">
        <v>20527197</v>
      </c>
      <c r="AI25" t="s">
        <v>350</v>
      </c>
      <c r="AJ25" t="s">
        <v>7</v>
      </c>
      <c r="AM25" t="str">
        <f t="shared" si="0"/>
        <v>MIFTAHUL FADLI DANIAR</v>
      </c>
      <c r="AT25" s="47">
        <v>17</v>
      </c>
      <c r="AU25" s="48" t="s">
        <v>922</v>
      </c>
      <c r="AV25" s="49" t="s">
        <v>324</v>
      </c>
      <c r="AW25" s="50" t="s">
        <v>8</v>
      </c>
    </row>
    <row r="26" spans="1:49" ht="20.100000000000001" customHeight="1" x14ac:dyDescent="0.25">
      <c r="A26" s="4">
        <v>17</v>
      </c>
      <c r="B26" s="4">
        <v>14777</v>
      </c>
      <c r="C26" s="5" t="s">
        <v>704</v>
      </c>
      <c r="D26" s="5" t="s">
        <v>705</v>
      </c>
      <c r="E26" s="50" t="s">
        <v>7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F26" s="15" t="s">
        <v>726</v>
      </c>
      <c r="AG26" t="s">
        <v>630</v>
      </c>
      <c r="AH26">
        <v>20527197</v>
      </c>
      <c r="AI26" t="s">
        <v>631</v>
      </c>
      <c r="AJ26" t="s">
        <v>7</v>
      </c>
      <c r="AM26" t="e">
        <f>UPPER(#REF!)</f>
        <v>#REF!</v>
      </c>
      <c r="AT26" s="47">
        <v>18</v>
      </c>
      <c r="AU26" s="48" t="s">
        <v>923</v>
      </c>
      <c r="AV26" s="49" t="s">
        <v>705</v>
      </c>
      <c r="AW26" s="50" t="s">
        <v>7</v>
      </c>
    </row>
    <row r="27" spans="1:49" ht="20.100000000000001" customHeight="1" x14ac:dyDescent="0.25">
      <c r="A27" s="4">
        <v>18</v>
      </c>
      <c r="B27" s="4">
        <v>14794</v>
      </c>
      <c r="C27" s="5" t="s">
        <v>428</v>
      </c>
      <c r="D27" s="5" t="s">
        <v>429</v>
      </c>
      <c r="E27" s="50" t="s">
        <v>8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F27" s="17" t="s">
        <v>197</v>
      </c>
      <c r="AG27">
        <v>3080968608</v>
      </c>
      <c r="AH27">
        <v>70027854</v>
      </c>
      <c r="AI27" t="s">
        <v>146</v>
      </c>
      <c r="AJ27" t="s">
        <v>8</v>
      </c>
      <c r="AM27" t="str">
        <f t="shared" si="0"/>
        <v>MOH RAFI HIDAYATULLAH</v>
      </c>
      <c r="AT27" s="47">
        <v>19</v>
      </c>
      <c r="AU27" s="48" t="s">
        <v>924</v>
      </c>
      <c r="AV27" s="49" t="s">
        <v>429</v>
      </c>
      <c r="AW27" s="50" t="s">
        <v>8</v>
      </c>
    </row>
    <row r="28" spans="1:49" ht="20.100000000000001" customHeight="1" x14ac:dyDescent="0.25">
      <c r="A28" s="4">
        <v>19</v>
      </c>
      <c r="B28" s="4">
        <v>14798</v>
      </c>
      <c r="C28" s="5" t="s">
        <v>471</v>
      </c>
      <c r="D28" s="5" t="s">
        <v>472</v>
      </c>
      <c r="E28" s="50" t="s">
        <v>8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F28" s="15" t="s">
        <v>726</v>
      </c>
      <c r="AG28" t="s">
        <v>493</v>
      </c>
      <c r="AH28">
        <v>20527197</v>
      </c>
      <c r="AI28" t="s">
        <v>494</v>
      </c>
      <c r="AJ28" t="s">
        <v>7</v>
      </c>
      <c r="AM28" t="str">
        <f t="shared" si="0"/>
        <v>MOHAMMAD DHORIF AFLAH FAISAL</v>
      </c>
      <c r="AT28" s="47">
        <v>20</v>
      </c>
      <c r="AU28" s="48" t="s">
        <v>925</v>
      </c>
      <c r="AV28" s="49" t="s">
        <v>472</v>
      </c>
      <c r="AW28" s="50" t="s">
        <v>8</v>
      </c>
    </row>
    <row r="29" spans="1:49" ht="20.100000000000001" customHeight="1" x14ac:dyDescent="0.25">
      <c r="A29" s="4">
        <v>20</v>
      </c>
      <c r="B29" s="4">
        <v>14799</v>
      </c>
      <c r="C29" s="5" t="s">
        <v>706</v>
      </c>
      <c r="D29" s="23" t="s">
        <v>707</v>
      </c>
      <c r="E29" s="50" t="s">
        <v>8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F29" s="17" t="s">
        <v>197</v>
      </c>
      <c r="AG29" t="s">
        <v>178</v>
      </c>
      <c r="AH29">
        <v>20527180</v>
      </c>
      <c r="AI29" t="s">
        <v>179</v>
      </c>
      <c r="AJ29" t="s">
        <v>8</v>
      </c>
      <c r="AM29" t="str">
        <f t="shared" si="0"/>
        <v>MOHAMMAD GHAVIN AZZARYA TAMRIN</v>
      </c>
      <c r="AT29" s="47">
        <v>21</v>
      </c>
      <c r="AU29" s="48" t="s">
        <v>926</v>
      </c>
      <c r="AV29" s="49" t="s">
        <v>707</v>
      </c>
      <c r="AW29" s="50" t="s">
        <v>8</v>
      </c>
    </row>
    <row r="30" spans="1:49" ht="20.100000000000001" customHeight="1" x14ac:dyDescent="0.25">
      <c r="A30" s="4">
        <v>21</v>
      </c>
      <c r="B30" s="4">
        <v>14809</v>
      </c>
      <c r="C30" s="5" t="s">
        <v>256</v>
      </c>
      <c r="D30" s="5" t="s">
        <v>257</v>
      </c>
      <c r="E30" s="50" t="s">
        <v>8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F30" s="14" t="s">
        <v>141</v>
      </c>
      <c r="AG30" t="s">
        <v>121</v>
      </c>
      <c r="AH30">
        <v>20527185</v>
      </c>
      <c r="AI30" t="s">
        <v>122</v>
      </c>
      <c r="AJ30" t="s">
        <v>7</v>
      </c>
      <c r="AM30" t="str">
        <f t="shared" si="0"/>
        <v>MUHAMMAD FAKHRULLAH AGIEL</v>
      </c>
      <c r="AT30" s="47">
        <v>22</v>
      </c>
      <c r="AU30" s="48" t="s">
        <v>927</v>
      </c>
      <c r="AV30" s="49" t="s">
        <v>257</v>
      </c>
      <c r="AW30" s="50" t="s">
        <v>8</v>
      </c>
    </row>
    <row r="31" spans="1:49" ht="20.100000000000001" customHeight="1" x14ac:dyDescent="0.25">
      <c r="A31" s="4">
        <v>22</v>
      </c>
      <c r="B31" s="4">
        <v>14826</v>
      </c>
      <c r="C31" s="5" t="s">
        <v>771</v>
      </c>
      <c r="D31" s="5" t="s">
        <v>252</v>
      </c>
      <c r="E31" s="50" t="s">
        <v>7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F31" s="15" t="s">
        <v>726</v>
      </c>
      <c r="AG31" t="s">
        <v>576</v>
      </c>
      <c r="AH31">
        <v>20583411</v>
      </c>
      <c r="AI31" t="s">
        <v>577</v>
      </c>
      <c r="AJ31" t="s">
        <v>7</v>
      </c>
      <c r="AM31" t="str">
        <f t="shared" si="0"/>
        <v>MULIA ANNISA SETYA WARDANI</v>
      </c>
      <c r="AT31" s="47">
        <v>24</v>
      </c>
      <c r="AU31" s="48" t="s">
        <v>928</v>
      </c>
      <c r="AV31" s="49" t="s">
        <v>252</v>
      </c>
      <c r="AW31" s="50" t="s">
        <v>7</v>
      </c>
    </row>
    <row r="32" spans="1:49" ht="20.100000000000001" customHeight="1" x14ac:dyDescent="0.25">
      <c r="A32" s="4">
        <v>23</v>
      </c>
      <c r="B32" s="4">
        <v>14831</v>
      </c>
      <c r="C32" s="5" t="s">
        <v>355</v>
      </c>
      <c r="D32" s="5" t="s">
        <v>356</v>
      </c>
      <c r="E32" s="50" t="s">
        <v>7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F32" s="15" t="s">
        <v>726</v>
      </c>
      <c r="AG32" t="s">
        <v>402</v>
      </c>
      <c r="AH32">
        <v>20527185</v>
      </c>
      <c r="AI32" t="s">
        <v>403</v>
      </c>
      <c r="AJ32" t="s">
        <v>8</v>
      </c>
      <c r="AM32" t="str">
        <f t="shared" si="0"/>
        <v>NADIYAH ARINDA ALFIYANI</v>
      </c>
      <c r="AT32" s="47">
        <v>25</v>
      </c>
      <c r="AU32" s="48" t="s">
        <v>929</v>
      </c>
      <c r="AV32" s="49" t="s">
        <v>356</v>
      </c>
      <c r="AW32" s="50" t="s">
        <v>7</v>
      </c>
    </row>
    <row r="33" spans="1:49" ht="20.100000000000001" customHeight="1" x14ac:dyDescent="0.25">
      <c r="A33" s="4">
        <v>24</v>
      </c>
      <c r="B33" s="4">
        <v>14838</v>
      </c>
      <c r="C33" s="5" t="s">
        <v>72</v>
      </c>
      <c r="D33" s="5" t="s">
        <v>73</v>
      </c>
      <c r="E33" s="50" t="s">
        <v>8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F33" s="15" t="s">
        <v>726</v>
      </c>
      <c r="AG33" t="s">
        <v>659</v>
      </c>
      <c r="AH33">
        <v>20527180</v>
      </c>
      <c r="AI33" t="s">
        <v>660</v>
      </c>
      <c r="AJ33" t="s">
        <v>7</v>
      </c>
      <c r="AM33" t="str">
        <f t="shared" si="0"/>
        <v>NATHANIEL HIZKIA PANJAITAN</v>
      </c>
      <c r="AT33" s="47">
        <v>26</v>
      </c>
      <c r="AU33" s="48" t="s">
        <v>930</v>
      </c>
      <c r="AV33" s="49" t="s">
        <v>73</v>
      </c>
      <c r="AW33" s="50" t="s">
        <v>8</v>
      </c>
    </row>
    <row r="34" spans="1:49" ht="20.100000000000001" customHeight="1" x14ac:dyDescent="0.25">
      <c r="A34" s="4">
        <v>25</v>
      </c>
      <c r="B34" s="4">
        <v>14841</v>
      </c>
      <c r="C34" s="5" t="s">
        <v>507</v>
      </c>
      <c r="D34" s="5" t="s">
        <v>508</v>
      </c>
      <c r="E34" s="50" t="s">
        <v>8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F34" s="17" t="s">
        <v>197</v>
      </c>
      <c r="AG34" t="s">
        <v>159</v>
      </c>
      <c r="AH34">
        <v>20583363</v>
      </c>
      <c r="AI34" t="s">
        <v>160</v>
      </c>
      <c r="AJ34" t="s">
        <v>7</v>
      </c>
      <c r="AM34" t="str">
        <f t="shared" si="0"/>
        <v>NAUFAL PUTRA HARDIANSYAH</v>
      </c>
      <c r="AT34" s="47">
        <v>27</v>
      </c>
      <c r="AU34" s="48" t="s">
        <v>931</v>
      </c>
      <c r="AV34" s="49" t="s">
        <v>508</v>
      </c>
      <c r="AW34" s="50" t="s">
        <v>8</v>
      </c>
    </row>
    <row r="35" spans="1:49" ht="20.100000000000001" customHeight="1" x14ac:dyDescent="0.25">
      <c r="A35" s="4">
        <v>26</v>
      </c>
      <c r="B35" s="4">
        <v>14853</v>
      </c>
      <c r="C35" s="5" t="s">
        <v>673</v>
      </c>
      <c r="D35" s="5" t="s">
        <v>674</v>
      </c>
      <c r="E35" s="50" t="s">
        <v>7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M35" t="str">
        <f t="shared" si="0"/>
        <v>NORUSSIFA NOVIYANA SYAFANI</v>
      </c>
      <c r="AT35" s="47">
        <v>28</v>
      </c>
      <c r="AU35" s="48" t="s">
        <v>932</v>
      </c>
      <c r="AV35" s="49" t="s">
        <v>674</v>
      </c>
      <c r="AW35" s="50" t="s">
        <v>7</v>
      </c>
    </row>
    <row r="36" spans="1:49" ht="20.100000000000001" customHeight="1" x14ac:dyDescent="0.25">
      <c r="A36" s="4">
        <v>27</v>
      </c>
      <c r="B36" s="4">
        <v>14872</v>
      </c>
      <c r="C36" s="5" t="s">
        <v>53</v>
      </c>
      <c r="D36" s="5" t="s">
        <v>790</v>
      </c>
      <c r="E36" s="50" t="s">
        <v>7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M36" t="str">
        <f t="shared" si="0"/>
        <v>R. AYU NOURA AZKIA</v>
      </c>
      <c r="AT36" s="47">
        <v>29</v>
      </c>
      <c r="AU36" s="48" t="s">
        <v>933</v>
      </c>
      <c r="AV36" s="49" t="s">
        <v>790</v>
      </c>
      <c r="AW36" s="50" t="s">
        <v>7</v>
      </c>
    </row>
    <row r="37" spans="1:49" ht="20.100000000000001" customHeight="1" x14ac:dyDescent="0.25">
      <c r="A37" s="4">
        <v>28</v>
      </c>
      <c r="B37" s="4">
        <v>14901</v>
      </c>
      <c r="C37" s="5" t="s">
        <v>135</v>
      </c>
      <c r="D37" s="5" t="s">
        <v>136</v>
      </c>
      <c r="E37" s="50" t="s">
        <v>7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M37" t="str">
        <f t="shared" si="0"/>
        <v>SABRINA YASMIN FIRYAL SISWANTO</v>
      </c>
      <c r="AT37" s="47">
        <v>30</v>
      </c>
      <c r="AU37" s="48" t="s">
        <v>934</v>
      </c>
      <c r="AV37" s="49" t="s">
        <v>136</v>
      </c>
      <c r="AW37" s="50" t="s">
        <v>7</v>
      </c>
    </row>
    <row r="38" spans="1:49" ht="20.100000000000001" customHeight="1" x14ac:dyDescent="0.25">
      <c r="A38" s="4">
        <v>29</v>
      </c>
      <c r="B38" s="4">
        <v>14908</v>
      </c>
      <c r="C38" s="5" t="s">
        <v>495</v>
      </c>
      <c r="D38" s="5" t="s">
        <v>496</v>
      </c>
      <c r="E38" s="50" t="s">
        <v>7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M38" t="str">
        <f t="shared" si="0"/>
        <v>SAVIRA ELDIANA</v>
      </c>
      <c r="AT38" s="47">
        <v>31</v>
      </c>
      <c r="AU38" s="48" t="s">
        <v>935</v>
      </c>
      <c r="AV38" s="49" t="s">
        <v>496</v>
      </c>
      <c r="AW38" s="50" t="s">
        <v>7</v>
      </c>
    </row>
    <row r="39" spans="1:49" ht="20.100000000000001" customHeight="1" x14ac:dyDescent="0.25">
      <c r="A39" s="4">
        <v>30</v>
      </c>
      <c r="B39" s="4">
        <v>14914</v>
      </c>
      <c r="C39" s="5" t="s">
        <v>689</v>
      </c>
      <c r="D39" s="5" t="s">
        <v>690</v>
      </c>
      <c r="E39" s="50" t="s">
        <v>7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M39" t="str">
        <f t="shared" si="0"/>
        <v>SHEBIA KINANTI AURELLUNA</v>
      </c>
      <c r="AT39" s="47">
        <v>32</v>
      </c>
      <c r="AU39" s="48" t="s">
        <v>936</v>
      </c>
      <c r="AV39" s="49" t="s">
        <v>690</v>
      </c>
      <c r="AW39" s="50" t="s">
        <v>7</v>
      </c>
    </row>
    <row r="40" spans="1:49" ht="20.100000000000001" customHeight="1" x14ac:dyDescent="0.25">
      <c r="A40" s="4">
        <v>31</v>
      </c>
      <c r="B40" s="4">
        <v>14928</v>
      </c>
      <c r="C40" s="5" t="s">
        <v>687</v>
      </c>
      <c r="D40" s="23" t="s">
        <v>688</v>
      </c>
      <c r="E40" s="50" t="s">
        <v>7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M40" t="str">
        <f t="shared" si="0"/>
        <v>TANIA KHANZA FIRNANDA RAMADHANI</v>
      </c>
      <c r="AT40" s="47">
        <v>33</v>
      </c>
      <c r="AU40" s="48" t="s">
        <v>937</v>
      </c>
      <c r="AV40" s="49" t="s">
        <v>688</v>
      </c>
      <c r="AW40" s="50" t="s">
        <v>7</v>
      </c>
    </row>
    <row r="41" spans="1:49" ht="20.100000000000001" customHeight="1" x14ac:dyDescent="0.25">
      <c r="A41" s="4">
        <v>32</v>
      </c>
      <c r="B41" s="4">
        <v>14937</v>
      </c>
      <c r="C41" s="5" t="s">
        <v>204</v>
      </c>
      <c r="D41" s="5" t="s">
        <v>736</v>
      </c>
      <c r="E41" s="50" t="s">
        <v>7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M41" t="str">
        <f t="shared" si="0"/>
        <v>VINA ISTIANA</v>
      </c>
      <c r="AT41" s="47">
        <v>34</v>
      </c>
      <c r="AU41" s="48" t="s">
        <v>938</v>
      </c>
      <c r="AV41" s="49" t="s">
        <v>205</v>
      </c>
      <c r="AW41" s="50" t="s">
        <v>7</v>
      </c>
    </row>
    <row r="42" spans="1:49" ht="20.100000000000001" customHeight="1" x14ac:dyDescent="0.25">
      <c r="A42" s="4">
        <v>33</v>
      </c>
      <c r="B42" s="4">
        <v>14939</v>
      </c>
      <c r="C42" s="5" t="s">
        <v>180</v>
      </c>
      <c r="D42" s="5" t="s">
        <v>743</v>
      </c>
      <c r="E42" s="50" t="s">
        <v>8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M42" t="str">
        <f t="shared" si="0"/>
        <v>VINCENTIUS SAMUEL CANDRA</v>
      </c>
      <c r="AT42" s="47">
        <v>35</v>
      </c>
      <c r="AU42" s="48" t="s">
        <v>939</v>
      </c>
      <c r="AV42" s="49" t="s">
        <v>181</v>
      </c>
      <c r="AW42" s="50" t="s">
        <v>8</v>
      </c>
    </row>
    <row r="43" spans="1:49" ht="20.100000000000001" customHeight="1" x14ac:dyDescent="0.25">
      <c r="A43" s="4">
        <v>34</v>
      </c>
      <c r="B43" s="4">
        <v>14945</v>
      </c>
      <c r="C43" s="5" t="s">
        <v>469</v>
      </c>
      <c r="D43" s="5" t="s">
        <v>470</v>
      </c>
      <c r="E43" s="50" t="s">
        <v>7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M43" t="str">
        <f t="shared" si="0"/>
        <v>YUNIAR AL MIRA RAMADHANI</v>
      </c>
      <c r="AT43" s="47">
        <v>36</v>
      </c>
      <c r="AU43" s="48" t="s">
        <v>940</v>
      </c>
      <c r="AV43" s="49" t="s">
        <v>470</v>
      </c>
      <c r="AW43" s="50" t="s">
        <v>7</v>
      </c>
    </row>
    <row r="44" spans="1:49" x14ac:dyDescent="0.25">
      <c r="A44" s="65" t="s">
        <v>10</v>
      </c>
      <c r="B44" s="65"/>
      <c r="C44" s="65"/>
      <c r="D44" s="10" t="s">
        <v>11</v>
      </c>
      <c r="E44" s="8">
        <f>COUNTIFS($E$10:$E$43,"L")</f>
        <v>17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spans="1:49" x14ac:dyDescent="0.25">
      <c r="A45" s="65" t="s">
        <v>12</v>
      </c>
      <c r="B45" s="65"/>
      <c r="C45" s="65"/>
      <c r="D45" s="10" t="s">
        <v>13</v>
      </c>
      <c r="E45" s="8">
        <f>COUNTIFS($E$10:$E$43,"P")</f>
        <v>17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spans="1:49" x14ac:dyDescent="0.25">
      <c r="A46" s="1"/>
      <c r="B46" s="1"/>
      <c r="C46" s="2"/>
      <c r="E46">
        <f>E44+E45</f>
        <v>34</v>
      </c>
    </row>
  </sheetData>
  <sortState xmlns:xlrd2="http://schemas.microsoft.com/office/spreadsheetml/2017/richdata2" ref="C10:E43">
    <sortCondition ref="D10:D43"/>
  </sortState>
  <mergeCells count="16">
    <mergeCell ref="A1:AC1"/>
    <mergeCell ref="A2:AC2"/>
    <mergeCell ref="A3:AC3"/>
    <mergeCell ref="A4:AC4"/>
    <mergeCell ref="A7:A9"/>
    <mergeCell ref="C7:C9"/>
    <mergeCell ref="D7:D9"/>
    <mergeCell ref="E7:E9"/>
    <mergeCell ref="F7:H7"/>
    <mergeCell ref="B7:B9"/>
    <mergeCell ref="F8:AC8"/>
    <mergeCell ref="A44:C44"/>
    <mergeCell ref="A45:C45"/>
    <mergeCell ref="I7:S7"/>
    <mergeCell ref="T7:U7"/>
    <mergeCell ref="V7:AC7"/>
  </mergeCells>
  <conditionalFormatting sqref="D26">
    <cfRule type="colorScale" priority="11">
      <colorScale>
        <cfvo type="min"/>
        <cfvo type="max"/>
        <color rgb="FFFCFCFF"/>
        <color rgb="FF63BE7B"/>
      </colorScale>
    </cfRule>
    <cfRule type="duplicateValues" dxfId="697" priority="12"/>
  </conditionalFormatting>
  <conditionalFormatting sqref="D28">
    <cfRule type="colorScale" priority="17">
      <colorScale>
        <cfvo type="min"/>
        <cfvo type="max"/>
        <color rgb="FFFCFCFF"/>
        <color rgb="FF63BE7B"/>
      </colorScale>
    </cfRule>
    <cfRule type="duplicateValues" dxfId="696" priority="18"/>
  </conditionalFormatting>
  <conditionalFormatting sqref="D41:D43">
    <cfRule type="colorScale" priority="13">
      <colorScale>
        <cfvo type="min"/>
        <cfvo type="max"/>
        <color rgb="FFFCFCFF"/>
        <color rgb="FF63BE7B"/>
      </colorScale>
    </cfRule>
    <cfRule type="duplicateValues" dxfId="695" priority="14"/>
  </conditionalFormatting>
  <conditionalFormatting sqref="D29:D40 D10:D25 D27">
    <cfRule type="colorScale" priority="1238">
      <colorScale>
        <cfvo type="min"/>
        <cfvo type="max"/>
        <color rgb="FFFCFCFF"/>
        <color rgb="FF63BE7B"/>
      </colorScale>
    </cfRule>
    <cfRule type="duplicateValues" dxfId="694" priority="1239"/>
  </conditionalFormatting>
  <pageMargins left="0.23622047244094491" right="0.15748031496062992" top="0.43307086614173229" bottom="0.74803149606299213" header="0.31496062992125984" footer="0.31496062992125984"/>
  <pageSetup paperSize="5" scale="85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49"/>
  <sheetViews>
    <sheetView workbookViewId="0">
      <selection activeCell="F8" sqref="F8:AC8"/>
    </sheetView>
  </sheetViews>
  <sheetFormatPr defaultColWidth="3.28515625" defaultRowHeight="15" x14ac:dyDescent="0.25"/>
  <cols>
    <col min="1" max="1" width="4.5703125" bestFit="1" customWidth="1"/>
    <col min="2" max="2" width="6.140625" customWidth="1"/>
    <col min="3" max="3" width="11" bestFit="1" customWidth="1"/>
    <col min="4" max="4" width="32.7109375" customWidth="1"/>
    <col min="5" max="5" width="3.7109375" bestFit="1" customWidth="1"/>
    <col min="6" max="29" width="2.7109375" customWidth="1"/>
    <col min="31" max="46" width="0" hidden="1" customWidth="1"/>
    <col min="49" max="49" width="17.85546875" bestFit="1" customWidth="1"/>
    <col min="50" max="50" width="36.7109375" bestFit="1" customWidth="1"/>
  </cols>
  <sheetData>
    <row r="1" spans="1:51" x14ac:dyDescent="0.25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E1" s="18" t="s">
        <v>371</v>
      </c>
      <c r="AF1" t="s">
        <v>281</v>
      </c>
      <c r="AG1">
        <v>20527197</v>
      </c>
      <c r="AH1" t="s">
        <v>282</v>
      </c>
      <c r="AI1" t="s">
        <v>7</v>
      </c>
    </row>
    <row r="2" spans="1:51" ht="21.75" customHeight="1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E2" s="15" t="s">
        <v>726</v>
      </c>
      <c r="AF2" t="s">
        <v>511</v>
      </c>
      <c r="AG2">
        <v>20566545</v>
      </c>
      <c r="AH2" t="s">
        <v>512</v>
      </c>
      <c r="AI2" t="s">
        <v>8</v>
      </c>
    </row>
    <row r="3" spans="1:51" ht="20.25" customHeight="1" x14ac:dyDescent="0.25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E3" s="15" t="s">
        <v>726</v>
      </c>
      <c r="AF3" t="s">
        <v>448</v>
      </c>
      <c r="AG3">
        <v>20527180</v>
      </c>
      <c r="AH3" t="s">
        <v>449</v>
      </c>
      <c r="AI3" t="s">
        <v>8</v>
      </c>
    </row>
    <row r="4" spans="1:51" ht="21" x14ac:dyDescent="0.35">
      <c r="A4" s="55" t="s">
        <v>1209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E4" s="13" t="s">
        <v>50</v>
      </c>
      <c r="AF4" t="s">
        <v>46</v>
      </c>
      <c r="AG4">
        <v>20527166</v>
      </c>
      <c r="AH4" t="s">
        <v>47</v>
      </c>
      <c r="AI4" t="s">
        <v>8</v>
      </c>
    </row>
    <row r="5" spans="1:51" x14ac:dyDescent="0.25">
      <c r="A5" s="1"/>
      <c r="B5" s="1"/>
      <c r="C5" s="2"/>
      <c r="P5" s="11"/>
      <c r="AE5" s="14" t="s">
        <v>141</v>
      </c>
      <c r="AF5" t="s">
        <v>85</v>
      </c>
      <c r="AG5">
        <v>20527197</v>
      </c>
      <c r="AH5" t="s">
        <v>86</v>
      </c>
      <c r="AI5" t="s">
        <v>7</v>
      </c>
    </row>
    <row r="6" spans="1:51" ht="3.75" customHeight="1" x14ac:dyDescent="0.25">
      <c r="A6" s="1"/>
      <c r="B6" s="1"/>
      <c r="C6" s="2"/>
      <c r="AE6" s="15" t="s">
        <v>726</v>
      </c>
      <c r="AF6" t="s">
        <v>661</v>
      </c>
      <c r="AG6">
        <v>20566545</v>
      </c>
      <c r="AH6" t="s">
        <v>662</v>
      </c>
      <c r="AI6" t="s">
        <v>7</v>
      </c>
    </row>
    <row r="7" spans="1:51" x14ac:dyDescent="0.25">
      <c r="A7" s="56" t="s">
        <v>0</v>
      </c>
      <c r="B7" s="57" t="s">
        <v>803</v>
      </c>
      <c r="C7" s="57" t="s">
        <v>1</v>
      </c>
      <c r="D7" s="56" t="s">
        <v>2</v>
      </c>
      <c r="E7" s="58" t="s">
        <v>3</v>
      </c>
      <c r="F7" s="59" t="s">
        <v>4</v>
      </c>
      <c r="G7" s="60"/>
      <c r="H7" s="61"/>
      <c r="I7" s="70" t="s">
        <v>815</v>
      </c>
      <c r="J7" s="71"/>
      <c r="K7" s="71"/>
      <c r="L7" s="71"/>
      <c r="M7" s="71"/>
      <c r="N7" s="71"/>
      <c r="O7" s="71"/>
      <c r="P7" s="71"/>
      <c r="Q7" s="71"/>
      <c r="R7" s="71"/>
      <c r="S7" s="72"/>
      <c r="T7" s="65" t="s">
        <v>5</v>
      </c>
      <c r="U7" s="65"/>
      <c r="V7" s="69" t="s">
        <v>816</v>
      </c>
      <c r="W7" s="69"/>
      <c r="X7" s="69"/>
      <c r="Y7" s="69"/>
      <c r="Z7" s="69"/>
      <c r="AA7" s="69"/>
      <c r="AB7" s="69"/>
      <c r="AC7" s="69"/>
      <c r="AE7" s="15" t="s">
        <v>726</v>
      </c>
      <c r="AF7" t="s">
        <v>537</v>
      </c>
      <c r="AG7">
        <v>20527180</v>
      </c>
      <c r="AH7" t="s">
        <v>538</v>
      </c>
      <c r="AI7" t="s">
        <v>7</v>
      </c>
    </row>
    <row r="8" spans="1:51" x14ac:dyDescent="0.25">
      <c r="A8" s="56"/>
      <c r="B8" s="57"/>
      <c r="C8" s="57"/>
      <c r="D8" s="56"/>
      <c r="E8" s="58"/>
      <c r="F8" s="62" t="s">
        <v>1214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4"/>
      <c r="AE8" s="18" t="s">
        <v>371</v>
      </c>
      <c r="AF8" t="s">
        <v>206</v>
      </c>
      <c r="AG8">
        <v>20527185</v>
      </c>
      <c r="AH8" t="s">
        <v>207</v>
      </c>
      <c r="AI8" t="s">
        <v>8</v>
      </c>
    </row>
    <row r="9" spans="1:51" x14ac:dyDescent="0.25">
      <c r="A9" s="56"/>
      <c r="B9" s="57"/>
      <c r="C9" s="57"/>
      <c r="D9" s="56"/>
      <c r="E9" s="58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E9" s="18" t="s">
        <v>371</v>
      </c>
      <c r="AF9" t="s">
        <v>353</v>
      </c>
      <c r="AG9">
        <v>20527197</v>
      </c>
      <c r="AH9" t="s">
        <v>354</v>
      </c>
      <c r="AI9" t="s">
        <v>7</v>
      </c>
    </row>
    <row r="10" spans="1:51" ht="20.100000000000001" customHeight="1" x14ac:dyDescent="0.25">
      <c r="A10" s="4">
        <v>1</v>
      </c>
      <c r="B10" s="4">
        <v>14595</v>
      </c>
      <c r="C10" s="5" t="s">
        <v>602</v>
      </c>
      <c r="D10" s="5" t="s">
        <v>603</v>
      </c>
      <c r="E10" s="24" t="s">
        <v>8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E10" s="14" t="s">
        <v>141</v>
      </c>
      <c r="AF10" t="s">
        <v>93</v>
      </c>
      <c r="AG10">
        <v>20527180</v>
      </c>
      <c r="AH10" t="s">
        <v>94</v>
      </c>
      <c r="AI10" t="s">
        <v>8</v>
      </c>
      <c r="AM10" t="str">
        <f>UPPER('XII-A-7'!D10)</f>
        <v>ACH NURUL HIDAYAT</v>
      </c>
      <c r="AV10" s="47">
        <v>1</v>
      </c>
      <c r="AW10" s="48" t="s">
        <v>941</v>
      </c>
      <c r="AX10" s="49" t="s">
        <v>603</v>
      </c>
      <c r="AY10" s="50" t="s">
        <v>8</v>
      </c>
    </row>
    <row r="11" spans="1:51" ht="20.100000000000001" customHeight="1" x14ac:dyDescent="0.25">
      <c r="A11" s="4">
        <v>2</v>
      </c>
      <c r="B11" s="4">
        <v>14597</v>
      </c>
      <c r="C11" s="5" t="s">
        <v>119</v>
      </c>
      <c r="D11" s="5" t="s">
        <v>120</v>
      </c>
      <c r="E11" s="24" t="s">
        <v>7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E11" s="15" t="s">
        <v>726</v>
      </c>
      <c r="AF11" t="s">
        <v>444</v>
      </c>
      <c r="AG11">
        <v>20527197</v>
      </c>
      <c r="AH11" t="s">
        <v>445</v>
      </c>
      <c r="AI11" t="s">
        <v>7</v>
      </c>
      <c r="AM11" t="str">
        <f>UPPER('XII-B-3'!D14)</f>
        <v>AMELIA HERIYANTO</v>
      </c>
      <c r="AV11" s="47">
        <v>2</v>
      </c>
      <c r="AW11" s="48" t="s">
        <v>942</v>
      </c>
      <c r="AX11" s="49" t="s">
        <v>120</v>
      </c>
      <c r="AY11" s="50" t="s">
        <v>7</v>
      </c>
    </row>
    <row r="12" spans="1:51" ht="20.100000000000001" customHeight="1" x14ac:dyDescent="0.25">
      <c r="A12" s="4">
        <v>3</v>
      </c>
      <c r="B12" s="4">
        <v>14614</v>
      </c>
      <c r="C12" s="5" t="s">
        <v>614</v>
      </c>
      <c r="D12" s="5" t="s">
        <v>615</v>
      </c>
      <c r="E12" s="24" t="s">
        <v>8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E12" s="15" t="s">
        <v>726</v>
      </c>
      <c r="AF12" t="s">
        <v>588</v>
      </c>
      <c r="AG12">
        <v>20527197</v>
      </c>
      <c r="AH12" t="s">
        <v>589</v>
      </c>
      <c r="AI12" t="s">
        <v>8</v>
      </c>
      <c r="AM12" t="str">
        <f>UPPER('XII-A-7'!D12)</f>
        <v>ADINDA AYU RISTIANTI</v>
      </c>
      <c r="AV12" s="47">
        <v>3</v>
      </c>
      <c r="AW12" s="48" t="s">
        <v>943</v>
      </c>
      <c r="AX12" s="49" t="s">
        <v>615</v>
      </c>
      <c r="AY12" s="50" t="s">
        <v>8</v>
      </c>
    </row>
    <row r="13" spans="1:51" ht="20.100000000000001" customHeight="1" x14ac:dyDescent="0.25">
      <c r="A13" s="4">
        <v>4</v>
      </c>
      <c r="B13" s="4">
        <v>14638</v>
      </c>
      <c r="C13" s="9" t="s">
        <v>85</v>
      </c>
      <c r="D13" s="5" t="s">
        <v>86</v>
      </c>
      <c r="E13" s="24" t="s">
        <v>7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E13" s="15" t="s">
        <v>726</v>
      </c>
      <c r="AF13">
        <v>3089324280</v>
      </c>
      <c r="AG13">
        <v>20566545</v>
      </c>
      <c r="AH13" t="s">
        <v>701</v>
      </c>
      <c r="AI13" t="s">
        <v>7</v>
      </c>
      <c r="AM13" t="str">
        <f>UPPER('XII-A-7'!D13)</f>
        <v>ADLYANSYAH BUDIMAN</v>
      </c>
      <c r="AV13" s="47">
        <v>4</v>
      </c>
      <c r="AW13" s="48" t="s">
        <v>944</v>
      </c>
      <c r="AX13" s="49" t="s">
        <v>86</v>
      </c>
      <c r="AY13" s="50" t="s">
        <v>7</v>
      </c>
    </row>
    <row r="14" spans="1:51" ht="20.100000000000001" customHeight="1" x14ac:dyDescent="0.25">
      <c r="A14" s="4">
        <v>5</v>
      </c>
      <c r="B14" s="4">
        <v>14660</v>
      </c>
      <c r="C14" s="5" t="s">
        <v>537</v>
      </c>
      <c r="D14" s="5" t="s">
        <v>538</v>
      </c>
      <c r="E14" s="24" t="s">
        <v>7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E14" s="15" t="s">
        <v>726</v>
      </c>
      <c r="AF14" t="s">
        <v>406</v>
      </c>
      <c r="AG14">
        <v>20527197</v>
      </c>
      <c r="AH14" t="s">
        <v>407</v>
      </c>
      <c r="AI14" t="s">
        <v>7</v>
      </c>
      <c r="AM14" t="str">
        <f>UPPER('XII-A-7'!D14)</f>
        <v>AHMAD FAIZ RAHMATILLAH</v>
      </c>
      <c r="AV14" s="47">
        <v>5</v>
      </c>
      <c r="AW14" s="48" t="s">
        <v>945</v>
      </c>
      <c r="AX14" s="49" t="s">
        <v>538</v>
      </c>
      <c r="AY14" s="50" t="s">
        <v>7</v>
      </c>
    </row>
    <row r="15" spans="1:51" ht="20.100000000000001" customHeight="1" x14ac:dyDescent="0.25">
      <c r="A15" s="4">
        <v>6</v>
      </c>
      <c r="B15" s="4">
        <v>14665</v>
      </c>
      <c r="C15" s="5" t="s">
        <v>137</v>
      </c>
      <c r="D15" s="5" t="s">
        <v>138</v>
      </c>
      <c r="E15" s="24" t="s">
        <v>7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E15" s="18" t="s">
        <v>371</v>
      </c>
      <c r="AF15" t="s">
        <v>212</v>
      </c>
      <c r="AG15">
        <v>20583367</v>
      </c>
      <c r="AH15" t="s">
        <v>213</v>
      </c>
      <c r="AI15" t="s">
        <v>7</v>
      </c>
      <c r="AM15" t="str">
        <f>UPPER('XII-A-7'!D15)</f>
        <v>AHMAD GHOSI AKBAR</v>
      </c>
      <c r="AV15" s="47">
        <v>6</v>
      </c>
      <c r="AW15" s="48" t="s">
        <v>946</v>
      </c>
      <c r="AX15" s="49" t="s">
        <v>138</v>
      </c>
      <c r="AY15" s="50" t="s">
        <v>7</v>
      </c>
    </row>
    <row r="16" spans="1:51" ht="20.100000000000001" customHeight="1" x14ac:dyDescent="0.25">
      <c r="A16" s="4">
        <v>7</v>
      </c>
      <c r="B16" s="4">
        <v>14671</v>
      </c>
      <c r="C16" s="5" t="s">
        <v>618</v>
      </c>
      <c r="D16" s="6" t="s">
        <v>619</v>
      </c>
      <c r="E16" s="7" t="s">
        <v>8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E16" s="18" t="s">
        <v>371</v>
      </c>
      <c r="AF16" t="s">
        <v>248</v>
      </c>
      <c r="AG16">
        <v>20583367</v>
      </c>
      <c r="AH16" t="s">
        <v>249</v>
      </c>
      <c r="AI16" t="s">
        <v>8</v>
      </c>
      <c r="AM16" t="str">
        <f>UPPER('XII-B-3'!D36)</f>
        <v>OWEN FILIPO SANTOSO</v>
      </c>
      <c r="AV16" s="47">
        <v>7</v>
      </c>
      <c r="AW16" s="48" t="s">
        <v>947</v>
      </c>
      <c r="AX16" s="49" t="s">
        <v>948</v>
      </c>
      <c r="AY16" s="50" t="s">
        <v>8</v>
      </c>
    </row>
    <row r="17" spans="1:51" ht="20.100000000000001" customHeight="1" x14ac:dyDescent="0.25">
      <c r="A17" s="4">
        <v>8</v>
      </c>
      <c r="B17" s="4">
        <v>14676</v>
      </c>
      <c r="C17" s="5" t="s">
        <v>325</v>
      </c>
      <c r="D17" s="5" t="s">
        <v>746</v>
      </c>
      <c r="E17" s="24" t="s">
        <v>7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E17" s="18" t="s">
        <v>371</v>
      </c>
      <c r="AF17" t="s">
        <v>291</v>
      </c>
      <c r="AG17">
        <v>20527197</v>
      </c>
      <c r="AH17" t="s">
        <v>292</v>
      </c>
      <c r="AI17" t="s">
        <v>8</v>
      </c>
      <c r="AM17" t="str">
        <f>UPPER('XII-A-7'!D17)</f>
        <v>AKSA AHMAD</v>
      </c>
      <c r="AV17" s="47">
        <v>8</v>
      </c>
      <c r="AW17" s="48" t="s">
        <v>949</v>
      </c>
      <c r="AX17" s="49" t="s">
        <v>326</v>
      </c>
      <c r="AY17" s="50" t="s">
        <v>7</v>
      </c>
    </row>
    <row r="18" spans="1:51" ht="20.100000000000001" customHeight="1" x14ac:dyDescent="0.25">
      <c r="A18" s="4">
        <v>9</v>
      </c>
      <c r="B18" s="4">
        <v>14678</v>
      </c>
      <c r="C18" s="5" t="s">
        <v>440</v>
      </c>
      <c r="D18" s="5" t="s">
        <v>441</v>
      </c>
      <c r="E18" s="24" t="s">
        <v>8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E18" s="15" t="s">
        <v>726</v>
      </c>
      <c r="AF18" t="s">
        <v>616</v>
      </c>
      <c r="AG18">
        <v>20579418</v>
      </c>
      <c r="AH18" t="s">
        <v>617</v>
      </c>
      <c r="AI18" t="s">
        <v>8</v>
      </c>
      <c r="AM18" t="str">
        <f>UPPER('XII-A-7'!D18)</f>
        <v>ALDO SUKMA MAULIDZI</v>
      </c>
      <c r="AV18" s="47">
        <v>9</v>
      </c>
      <c r="AW18" s="48" t="s">
        <v>950</v>
      </c>
      <c r="AX18" s="49" t="s">
        <v>441</v>
      </c>
      <c r="AY18" s="50" t="s">
        <v>8</v>
      </c>
    </row>
    <row r="19" spans="1:51" ht="20.100000000000001" customHeight="1" x14ac:dyDescent="0.25">
      <c r="A19" s="4">
        <v>10</v>
      </c>
      <c r="B19" s="4">
        <v>14690</v>
      </c>
      <c r="C19" s="5" t="s">
        <v>169</v>
      </c>
      <c r="D19" s="5" t="s">
        <v>170</v>
      </c>
      <c r="E19" s="24" t="s">
        <v>7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E19" s="15" t="s">
        <v>726</v>
      </c>
      <c r="AF19" t="s">
        <v>479</v>
      </c>
      <c r="AG19">
        <v>20527197</v>
      </c>
      <c r="AH19" t="s">
        <v>480</v>
      </c>
      <c r="AI19" t="s">
        <v>8</v>
      </c>
      <c r="AM19" t="str">
        <f>UPPER('XII-A-7'!D19)</f>
        <v>ALISHA RAMADHANI POERNOMO</v>
      </c>
      <c r="AV19" s="47">
        <v>10</v>
      </c>
      <c r="AW19" s="48" t="s">
        <v>951</v>
      </c>
      <c r="AX19" s="49" t="s">
        <v>170</v>
      </c>
      <c r="AY19" s="50" t="s">
        <v>7</v>
      </c>
    </row>
    <row r="20" spans="1:51" ht="20.100000000000001" customHeight="1" x14ac:dyDescent="0.25">
      <c r="A20" s="4">
        <v>11</v>
      </c>
      <c r="B20" s="4">
        <v>14696</v>
      </c>
      <c r="C20" s="5" t="s">
        <v>582</v>
      </c>
      <c r="D20" s="5" t="s">
        <v>583</v>
      </c>
      <c r="E20" s="24" t="s">
        <v>8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E20" s="17" t="s">
        <v>197</v>
      </c>
      <c r="AF20" t="s">
        <v>149</v>
      </c>
      <c r="AG20">
        <v>20527195</v>
      </c>
      <c r="AH20" t="s">
        <v>150</v>
      </c>
      <c r="AI20" t="s">
        <v>8</v>
      </c>
      <c r="AM20" t="str">
        <f>UPPER('XII-A-7'!D20)</f>
        <v>ANGGUN KARUNIA PUTRI SASIKIRANA</v>
      </c>
      <c r="AV20" s="47">
        <v>11</v>
      </c>
      <c r="AW20" s="48" t="s">
        <v>952</v>
      </c>
      <c r="AX20" s="49" t="s">
        <v>583</v>
      </c>
      <c r="AY20" s="50" t="s">
        <v>8</v>
      </c>
    </row>
    <row r="21" spans="1:51" ht="20.100000000000001" customHeight="1" x14ac:dyDescent="0.25">
      <c r="A21" s="4">
        <v>12</v>
      </c>
      <c r="B21" s="4">
        <v>14706</v>
      </c>
      <c r="C21" s="5" t="s">
        <v>307</v>
      </c>
      <c r="D21" s="5" t="s">
        <v>308</v>
      </c>
      <c r="E21" s="24" t="s">
        <v>7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E21" s="15" t="s">
        <v>726</v>
      </c>
      <c r="AF21" t="s">
        <v>378</v>
      </c>
      <c r="AG21">
        <v>20527180</v>
      </c>
      <c r="AH21" t="s">
        <v>379</v>
      </c>
      <c r="AI21" t="s">
        <v>8</v>
      </c>
      <c r="AM21" t="str">
        <f>UPPER('XII-A-7'!D21)</f>
        <v>ARKAN QUVI RAHAGIS</v>
      </c>
      <c r="AV21" s="47">
        <v>12</v>
      </c>
      <c r="AW21" s="48" t="s">
        <v>953</v>
      </c>
      <c r="AX21" s="49" t="s">
        <v>308</v>
      </c>
      <c r="AY21" s="50" t="s">
        <v>7</v>
      </c>
    </row>
    <row r="22" spans="1:51" ht="20.100000000000001" customHeight="1" x14ac:dyDescent="0.25">
      <c r="A22" s="4">
        <v>13</v>
      </c>
      <c r="B22" s="4">
        <v>14719</v>
      </c>
      <c r="C22" s="5" t="s">
        <v>127</v>
      </c>
      <c r="D22" s="5" t="s">
        <v>128</v>
      </c>
      <c r="E22" s="24" t="s">
        <v>8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E22" s="18" t="s">
        <v>371</v>
      </c>
      <c r="AF22" t="s">
        <v>332</v>
      </c>
      <c r="AG22">
        <v>20528625</v>
      </c>
      <c r="AH22" t="s">
        <v>333</v>
      </c>
      <c r="AI22" t="s">
        <v>8</v>
      </c>
      <c r="AM22" t="str">
        <f>UPPER('XII-A-7'!D22)</f>
        <v>ASSHIFA MAGHFIRAH</v>
      </c>
      <c r="AV22" s="47">
        <v>13</v>
      </c>
      <c r="AW22" s="48" t="s">
        <v>954</v>
      </c>
      <c r="AX22" s="49" t="s">
        <v>128</v>
      </c>
      <c r="AY22" s="50" t="s">
        <v>8</v>
      </c>
    </row>
    <row r="23" spans="1:51" ht="20.100000000000001" customHeight="1" x14ac:dyDescent="0.25">
      <c r="A23" s="4">
        <v>14</v>
      </c>
      <c r="B23" s="4">
        <v>14723</v>
      </c>
      <c r="C23" s="5" t="s">
        <v>592</v>
      </c>
      <c r="D23" s="5" t="s">
        <v>593</v>
      </c>
      <c r="E23" s="24" t="s">
        <v>8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E23" s="15" t="s">
        <v>726</v>
      </c>
      <c r="AF23" t="s">
        <v>706</v>
      </c>
      <c r="AG23">
        <v>20527180</v>
      </c>
      <c r="AH23" t="s">
        <v>707</v>
      </c>
      <c r="AI23" t="s">
        <v>8</v>
      </c>
      <c r="AM23" t="str">
        <f>UPPER('XII-A-7'!D23)</f>
        <v>AYDIN NARARYA TARIQ</v>
      </c>
      <c r="AV23" s="47">
        <v>14</v>
      </c>
      <c r="AW23" s="48" t="s">
        <v>955</v>
      </c>
      <c r="AX23" s="49" t="s">
        <v>593</v>
      </c>
      <c r="AY23" s="50" t="s">
        <v>8</v>
      </c>
    </row>
    <row r="24" spans="1:51" ht="20.100000000000001" customHeight="1" x14ac:dyDescent="0.25">
      <c r="A24" s="4">
        <v>15</v>
      </c>
      <c r="B24" s="4">
        <v>14729</v>
      </c>
      <c r="C24" s="5" t="s">
        <v>81</v>
      </c>
      <c r="D24" s="5" t="s">
        <v>82</v>
      </c>
      <c r="E24" s="24" t="s">
        <v>8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E24" s="15" t="s">
        <v>726</v>
      </c>
      <c r="AF24" t="s">
        <v>404</v>
      </c>
      <c r="AG24">
        <v>20527180</v>
      </c>
      <c r="AH24" t="s">
        <v>405</v>
      </c>
      <c r="AI24" t="s">
        <v>8</v>
      </c>
      <c r="AM24" t="str">
        <f>UPPER('XII-A-7'!D24)</f>
        <v>BETARIA WIFAN AGUSTA</v>
      </c>
      <c r="AV24" s="47">
        <v>15</v>
      </c>
      <c r="AW24" s="48" t="s">
        <v>956</v>
      </c>
      <c r="AX24" s="49" t="s">
        <v>82</v>
      </c>
      <c r="AY24" s="50" t="s">
        <v>8</v>
      </c>
    </row>
    <row r="25" spans="1:51" ht="20.100000000000001" customHeight="1" x14ac:dyDescent="0.25">
      <c r="A25" s="4">
        <v>16</v>
      </c>
      <c r="B25" s="4">
        <v>14733</v>
      </c>
      <c r="C25" s="5" t="s">
        <v>714</v>
      </c>
      <c r="D25" s="5" t="s">
        <v>715</v>
      </c>
      <c r="E25" s="24" t="s">
        <v>8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E25" s="15" t="s">
        <v>726</v>
      </c>
      <c r="AF25" t="s">
        <v>675</v>
      </c>
      <c r="AG25">
        <v>20566545</v>
      </c>
      <c r="AH25" t="s">
        <v>676</v>
      </c>
      <c r="AI25" t="s">
        <v>8</v>
      </c>
      <c r="AM25" t="str">
        <f>UPPER('XII-A-7'!D25)</f>
        <v>BILQIS NABILA ZAHROH</v>
      </c>
      <c r="AV25" s="47">
        <v>16</v>
      </c>
      <c r="AW25" s="48" t="s">
        <v>957</v>
      </c>
      <c r="AX25" s="49" t="s">
        <v>715</v>
      </c>
      <c r="AY25" s="50" t="s">
        <v>8</v>
      </c>
    </row>
    <row r="26" spans="1:51" ht="20.100000000000001" customHeight="1" x14ac:dyDescent="0.25">
      <c r="A26" s="4">
        <v>17</v>
      </c>
      <c r="B26" s="4">
        <v>14737</v>
      </c>
      <c r="C26" s="5" t="s">
        <v>608</v>
      </c>
      <c r="D26" s="5" t="s">
        <v>791</v>
      </c>
      <c r="E26" s="24" t="s">
        <v>7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E26" s="18" t="s">
        <v>371</v>
      </c>
      <c r="AF26">
        <v>3099461393</v>
      </c>
      <c r="AG26">
        <v>20528625</v>
      </c>
      <c r="AH26" t="s">
        <v>252</v>
      </c>
      <c r="AI26" t="s">
        <v>7</v>
      </c>
      <c r="AM26" t="e">
        <f>UPPER('XII-A-7'!#REF!)</f>
        <v>#REF!</v>
      </c>
      <c r="AV26" s="47">
        <v>17</v>
      </c>
      <c r="AW26" s="48" t="s">
        <v>958</v>
      </c>
      <c r="AX26" s="49" t="s">
        <v>609</v>
      </c>
      <c r="AY26" s="50" t="s">
        <v>7</v>
      </c>
    </row>
    <row r="27" spans="1:51" ht="20.100000000000001" customHeight="1" x14ac:dyDescent="0.25">
      <c r="A27" s="4">
        <v>18</v>
      </c>
      <c r="B27" s="4">
        <v>14749</v>
      </c>
      <c r="C27" s="5" t="s">
        <v>62</v>
      </c>
      <c r="D27" s="5" t="s">
        <v>63</v>
      </c>
      <c r="E27" s="24" t="s">
        <v>7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E27" s="17" t="s">
        <v>197</v>
      </c>
      <c r="AF27" t="s">
        <v>163</v>
      </c>
      <c r="AG27">
        <v>20527197</v>
      </c>
      <c r="AH27" t="s">
        <v>164</v>
      </c>
      <c r="AI27" t="s">
        <v>7</v>
      </c>
      <c r="AM27" t="str">
        <f>UPPER('XII-A-4'!D35)</f>
        <v>MOHAMMAD IQBAL RISTRIANTO</v>
      </c>
      <c r="AV27" s="47">
        <v>18</v>
      </c>
      <c r="AW27" s="48" t="s">
        <v>959</v>
      </c>
      <c r="AX27" s="49" t="s">
        <v>63</v>
      </c>
      <c r="AY27" s="50" t="s">
        <v>7</v>
      </c>
    </row>
    <row r="28" spans="1:51" ht="20.100000000000001" customHeight="1" x14ac:dyDescent="0.25">
      <c r="A28" s="4">
        <v>19</v>
      </c>
      <c r="B28" s="4">
        <v>14756</v>
      </c>
      <c r="C28" s="5" t="s">
        <v>212</v>
      </c>
      <c r="D28" s="5" t="s">
        <v>213</v>
      </c>
      <c r="E28" s="24" t="s">
        <v>7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E28" s="18" t="s">
        <v>371</v>
      </c>
      <c r="AF28" t="s">
        <v>313</v>
      </c>
      <c r="AG28">
        <v>20527197</v>
      </c>
      <c r="AH28" t="s">
        <v>314</v>
      </c>
      <c r="AI28" t="s">
        <v>7</v>
      </c>
      <c r="AM28" t="str">
        <f>UPPER('XII-A-7'!D28)</f>
        <v>IRMA NOVIANTI PUTRI NASIR</v>
      </c>
      <c r="AV28" s="47">
        <v>19</v>
      </c>
      <c r="AW28" s="48" t="s">
        <v>960</v>
      </c>
      <c r="AX28" s="49" t="s">
        <v>213</v>
      </c>
      <c r="AY28" s="50" t="s">
        <v>7</v>
      </c>
    </row>
    <row r="29" spans="1:51" ht="20.100000000000001" customHeight="1" x14ac:dyDescent="0.25">
      <c r="A29" s="4">
        <v>20</v>
      </c>
      <c r="B29" s="4">
        <v>14757</v>
      </c>
      <c r="C29" s="5" t="s">
        <v>365</v>
      </c>
      <c r="D29" s="5" t="s">
        <v>366</v>
      </c>
      <c r="E29" s="24" t="s">
        <v>7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E29" s="15" t="s">
        <v>726</v>
      </c>
      <c r="AF29" t="s">
        <v>549</v>
      </c>
      <c r="AG29">
        <v>20527197</v>
      </c>
      <c r="AH29" t="s">
        <v>550</v>
      </c>
      <c r="AI29" t="s">
        <v>8</v>
      </c>
      <c r="AM29" t="str">
        <f>UPPER('XII-A-7'!D29)</f>
        <v>KHANSA AISYAH SHABRINA</v>
      </c>
      <c r="AV29" s="47">
        <v>20</v>
      </c>
      <c r="AW29" s="48" t="s">
        <v>961</v>
      </c>
      <c r="AX29" s="49" t="s">
        <v>366</v>
      </c>
      <c r="AY29" s="50" t="s">
        <v>7</v>
      </c>
    </row>
    <row r="30" spans="1:51" ht="20.100000000000001" customHeight="1" x14ac:dyDescent="0.25">
      <c r="A30" s="4">
        <v>21</v>
      </c>
      <c r="B30" s="4">
        <v>14758</v>
      </c>
      <c r="C30" s="5" t="s">
        <v>295</v>
      </c>
      <c r="D30" s="5" t="s">
        <v>296</v>
      </c>
      <c r="E30" s="24" t="s">
        <v>7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E30" s="12" t="s">
        <v>61</v>
      </c>
      <c r="AF30" t="s">
        <v>53</v>
      </c>
      <c r="AG30">
        <v>20527197</v>
      </c>
      <c r="AH30" t="s">
        <v>54</v>
      </c>
      <c r="AI30" t="s">
        <v>7</v>
      </c>
      <c r="AM30" t="str">
        <f>UPPER('XII-A-5'!D13)</f>
        <v>AISYAH ANI HARIYANTO</v>
      </c>
      <c r="AV30" s="47">
        <v>21</v>
      </c>
      <c r="AW30" s="48" t="s">
        <v>962</v>
      </c>
      <c r="AX30" s="49" t="s">
        <v>296</v>
      </c>
      <c r="AY30" s="50" t="s">
        <v>7</v>
      </c>
    </row>
    <row r="31" spans="1:51" ht="20.100000000000001" customHeight="1" x14ac:dyDescent="0.25">
      <c r="A31" s="4">
        <v>22</v>
      </c>
      <c r="B31" s="4">
        <v>14762</v>
      </c>
      <c r="C31" s="5" t="s">
        <v>250</v>
      </c>
      <c r="D31" s="5" t="s">
        <v>251</v>
      </c>
      <c r="E31" s="24" t="s">
        <v>7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E31" s="15" t="s">
        <v>726</v>
      </c>
      <c r="AF31" t="s">
        <v>634</v>
      </c>
      <c r="AG31">
        <v>20527197</v>
      </c>
      <c r="AH31" t="s">
        <v>635</v>
      </c>
      <c r="AI31" t="s">
        <v>7</v>
      </c>
      <c r="AM31" t="str">
        <f>UPPER('XII-B-2'!D19)</f>
        <v>CAROLINA AGUSTIN ARYA SARI</v>
      </c>
      <c r="AV31" s="47">
        <v>22</v>
      </c>
      <c r="AW31" s="48" t="s">
        <v>963</v>
      </c>
      <c r="AX31" s="49" t="s">
        <v>964</v>
      </c>
      <c r="AY31" s="50" t="s">
        <v>7</v>
      </c>
    </row>
    <row r="32" spans="1:51" ht="20.100000000000001" customHeight="1" x14ac:dyDescent="0.25">
      <c r="A32" s="4">
        <v>23</v>
      </c>
      <c r="B32" s="4">
        <v>14776</v>
      </c>
      <c r="C32" s="5" t="s">
        <v>438</v>
      </c>
      <c r="D32" s="5" t="s">
        <v>439</v>
      </c>
      <c r="E32" s="24" t="s">
        <v>7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E32" s="14" t="s">
        <v>141</v>
      </c>
      <c r="AF32" t="s">
        <v>123</v>
      </c>
      <c r="AG32">
        <v>20529915</v>
      </c>
      <c r="AH32" t="s">
        <v>124</v>
      </c>
      <c r="AI32" t="s">
        <v>7</v>
      </c>
      <c r="AM32" t="str">
        <f>UPPER('XII-A-7'!D33)</f>
        <v>MUHAMMAD FAKHRY HIDAYAT</v>
      </c>
      <c r="AV32" s="47">
        <v>23</v>
      </c>
      <c r="AW32" s="48" t="s">
        <v>965</v>
      </c>
      <c r="AX32" s="49" t="s">
        <v>439</v>
      </c>
      <c r="AY32" s="50" t="s">
        <v>7</v>
      </c>
    </row>
    <row r="33" spans="1:51" ht="20.100000000000001" customHeight="1" x14ac:dyDescent="0.25">
      <c r="A33" s="4">
        <v>24</v>
      </c>
      <c r="B33" s="4">
        <v>14781</v>
      </c>
      <c r="C33" s="5" t="s">
        <v>525</v>
      </c>
      <c r="D33" s="5" t="s">
        <v>526</v>
      </c>
      <c r="E33" s="24" t="s">
        <v>8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E33" s="15" t="s">
        <v>726</v>
      </c>
      <c r="AF33" t="s">
        <v>495</v>
      </c>
      <c r="AG33">
        <v>20583367</v>
      </c>
      <c r="AH33" t="s">
        <v>496</v>
      </c>
      <c r="AI33" t="s">
        <v>7</v>
      </c>
      <c r="AM33" t="str">
        <f>UPPER('XII-A-7'!D34)</f>
        <v>MUHAMMAD FRITZ ZAHRAN VIRODILA</v>
      </c>
      <c r="AV33" s="47">
        <v>24</v>
      </c>
      <c r="AW33" s="48" t="s">
        <v>966</v>
      </c>
      <c r="AX33" s="49" t="s">
        <v>967</v>
      </c>
      <c r="AY33" s="50" t="s">
        <v>8</v>
      </c>
    </row>
    <row r="34" spans="1:51" ht="20.100000000000001" customHeight="1" x14ac:dyDescent="0.25">
      <c r="A34" s="4">
        <v>25</v>
      </c>
      <c r="B34" s="4">
        <v>14792</v>
      </c>
      <c r="C34" s="5" t="s">
        <v>317</v>
      </c>
      <c r="D34" s="5" t="s">
        <v>318</v>
      </c>
      <c r="E34" s="24" t="s">
        <v>8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E34" s="13" t="s">
        <v>50</v>
      </c>
      <c r="AF34" t="s">
        <v>26</v>
      </c>
      <c r="AG34">
        <v>20527202</v>
      </c>
      <c r="AH34" t="s">
        <v>27</v>
      </c>
      <c r="AI34" t="s">
        <v>7</v>
      </c>
      <c r="AM34" t="str">
        <f>UPPER('XII-A-7'!D35)</f>
        <v>MUHAMMAD INDRA RIZKY FAHREZA</v>
      </c>
      <c r="AV34" s="47">
        <v>25</v>
      </c>
      <c r="AW34" s="48" t="s">
        <v>968</v>
      </c>
      <c r="AX34" s="49" t="s">
        <v>969</v>
      </c>
      <c r="AY34" s="50" t="s">
        <v>8</v>
      </c>
    </row>
    <row r="35" spans="1:51" ht="20.100000000000001" customHeight="1" x14ac:dyDescent="0.25">
      <c r="A35" s="4">
        <v>26</v>
      </c>
      <c r="B35" s="4">
        <v>14801</v>
      </c>
      <c r="C35" s="5" t="s">
        <v>586</v>
      </c>
      <c r="D35" s="5" t="s">
        <v>587</v>
      </c>
      <c r="E35" s="24" t="s">
        <v>8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E35" s="17" t="s">
        <v>197</v>
      </c>
      <c r="AF35" t="s">
        <v>180</v>
      </c>
      <c r="AG35">
        <v>20527169</v>
      </c>
      <c r="AH35" t="s">
        <v>181</v>
      </c>
      <c r="AI35" t="s">
        <v>8</v>
      </c>
      <c r="AM35" t="str">
        <f>UPPER('XII-A-7'!D36)</f>
        <v>MUHAMMAD IQBAL LISMARTA</v>
      </c>
      <c r="AV35" s="47">
        <v>26</v>
      </c>
      <c r="AW35" s="48" t="s">
        <v>970</v>
      </c>
      <c r="AX35" s="49" t="s">
        <v>587</v>
      </c>
      <c r="AY35" s="50" t="s">
        <v>8</v>
      </c>
    </row>
    <row r="36" spans="1:51" ht="20.100000000000001" customHeight="1" x14ac:dyDescent="0.25">
      <c r="A36" s="4">
        <v>27</v>
      </c>
      <c r="B36" s="4">
        <v>14835</v>
      </c>
      <c r="C36" s="5" t="s">
        <v>242</v>
      </c>
      <c r="D36" s="5" t="s">
        <v>243</v>
      </c>
      <c r="E36" s="24" t="s">
        <v>7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E36" s="15" t="s">
        <v>726</v>
      </c>
      <c r="AF36" t="s">
        <v>578</v>
      </c>
      <c r="AG36">
        <v>20527180</v>
      </c>
      <c r="AH36" t="s">
        <v>579</v>
      </c>
      <c r="AI36" t="s">
        <v>7</v>
      </c>
      <c r="AM36" t="str">
        <f>UPPER('XII-A-7'!D37)</f>
        <v>NAURA YASMITA DWI SEPTIANDINA</v>
      </c>
      <c r="AV36" s="47">
        <v>27</v>
      </c>
      <c r="AW36" s="48" t="s">
        <v>971</v>
      </c>
      <c r="AX36" s="49" t="s">
        <v>243</v>
      </c>
      <c r="AY36" s="50" t="s">
        <v>7</v>
      </c>
    </row>
    <row r="37" spans="1:51" ht="20.100000000000001" customHeight="1" x14ac:dyDescent="0.25">
      <c r="A37" s="4">
        <v>28</v>
      </c>
      <c r="B37" s="4">
        <v>14843</v>
      </c>
      <c r="C37" s="5" t="s">
        <v>24</v>
      </c>
      <c r="D37" s="5" t="s">
        <v>739</v>
      </c>
      <c r="E37" s="24" t="s">
        <v>7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M37" t="e">
        <f>UPPER('XII-A-7'!#REF!)</f>
        <v>#REF!</v>
      </c>
      <c r="AV37" s="47">
        <v>28</v>
      </c>
      <c r="AW37" s="48" t="s">
        <v>972</v>
      </c>
      <c r="AX37" s="49" t="s">
        <v>25</v>
      </c>
      <c r="AY37" s="50" t="s">
        <v>7</v>
      </c>
    </row>
    <row r="38" spans="1:51" ht="20.100000000000001" customHeight="1" x14ac:dyDescent="0.25">
      <c r="A38" s="4">
        <v>29</v>
      </c>
      <c r="B38" s="4">
        <v>14848</v>
      </c>
      <c r="C38" s="5" t="s">
        <v>349</v>
      </c>
      <c r="D38" s="5" t="s">
        <v>350</v>
      </c>
      <c r="E38" s="24" t="s">
        <v>7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M38" t="str">
        <f>UPPER('XII-B-1'!D35)</f>
        <v>RANGGA ADITYA SUGIANTO</v>
      </c>
      <c r="AV38" s="47">
        <v>29</v>
      </c>
      <c r="AW38" s="48" t="s">
        <v>973</v>
      </c>
      <c r="AX38" s="49" t="s">
        <v>350</v>
      </c>
      <c r="AY38" s="50" t="s">
        <v>7</v>
      </c>
    </row>
    <row r="39" spans="1:51" ht="20.100000000000001" customHeight="1" x14ac:dyDescent="0.25">
      <c r="A39" s="4">
        <v>30</v>
      </c>
      <c r="B39" s="4">
        <v>14849</v>
      </c>
      <c r="C39" s="5" t="s">
        <v>313</v>
      </c>
      <c r="D39" s="5" t="s">
        <v>314</v>
      </c>
      <c r="E39" s="24" t="s">
        <v>7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M39" t="e">
        <f>UPPER('XII-A-7'!#REF!)</f>
        <v>#REF!</v>
      </c>
      <c r="AV39" s="47">
        <v>30</v>
      </c>
      <c r="AW39" s="48" t="s">
        <v>974</v>
      </c>
      <c r="AX39" s="49" t="s">
        <v>314</v>
      </c>
      <c r="AY39" s="50" t="s">
        <v>7</v>
      </c>
    </row>
    <row r="40" spans="1:51" ht="20.100000000000001" customHeight="1" x14ac:dyDescent="0.25">
      <c r="A40" s="4">
        <v>31</v>
      </c>
      <c r="B40" s="4">
        <v>14874</v>
      </c>
      <c r="C40" s="5" t="s">
        <v>167</v>
      </c>
      <c r="D40" s="5" t="s">
        <v>168</v>
      </c>
      <c r="E40" s="24" t="s">
        <v>8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M40" t="str">
        <f>UPPER('XII-A-7'!D39)</f>
        <v>NURDIA BILQIS RAHMAISNAENY</v>
      </c>
      <c r="AV40" s="47">
        <v>31</v>
      </c>
      <c r="AW40" s="48" t="s">
        <v>975</v>
      </c>
      <c r="AX40" s="49" t="s">
        <v>168</v>
      </c>
      <c r="AY40" s="50" t="s">
        <v>8</v>
      </c>
    </row>
    <row r="41" spans="1:51" ht="20.100000000000001" customHeight="1" x14ac:dyDescent="0.25">
      <c r="A41" s="4">
        <v>32</v>
      </c>
      <c r="B41" s="4">
        <v>14877</v>
      </c>
      <c r="C41" s="5" t="s">
        <v>430</v>
      </c>
      <c r="D41" s="5" t="s">
        <v>431</v>
      </c>
      <c r="E41" s="24" t="s">
        <v>8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M41" t="str">
        <f>UPPER('XII-A-7'!D40)</f>
        <v>NURUL JIHAN MAULIDIA</v>
      </c>
      <c r="AV41" s="47">
        <v>32</v>
      </c>
      <c r="AW41" s="48" t="s">
        <v>976</v>
      </c>
      <c r="AX41" s="49" t="s">
        <v>431</v>
      </c>
      <c r="AY41" s="50" t="s">
        <v>8</v>
      </c>
    </row>
    <row r="42" spans="1:51" ht="20.100000000000001" customHeight="1" x14ac:dyDescent="0.25">
      <c r="A42" s="4">
        <v>33</v>
      </c>
      <c r="B42" s="4">
        <v>14899</v>
      </c>
      <c r="C42" s="5" t="s">
        <v>113</v>
      </c>
      <c r="D42" s="5" t="s">
        <v>114</v>
      </c>
      <c r="E42" s="24" t="s">
        <v>7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M42" t="str">
        <f>UPPER('XII-A-7'!D41)</f>
        <v>SAFAIRA PUTERI MAEDIANSYAH</v>
      </c>
      <c r="AV42" s="47">
        <v>33</v>
      </c>
      <c r="AW42" s="48" t="s">
        <v>977</v>
      </c>
      <c r="AX42" s="49" t="s">
        <v>114</v>
      </c>
      <c r="AY42" s="50" t="s">
        <v>7</v>
      </c>
    </row>
    <row r="43" spans="1:51" ht="20.100000000000001" customHeight="1" x14ac:dyDescent="0.25">
      <c r="A43" s="4">
        <v>34</v>
      </c>
      <c r="B43" s="4">
        <v>14907</v>
      </c>
      <c r="C43" s="5" t="s">
        <v>220</v>
      </c>
      <c r="D43" s="5" t="s">
        <v>221</v>
      </c>
      <c r="E43" s="24" t="s">
        <v>8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V43" s="47">
        <v>34</v>
      </c>
      <c r="AW43" s="48" t="s">
        <v>978</v>
      </c>
      <c r="AX43" s="49" t="s">
        <v>221</v>
      </c>
      <c r="AY43" s="50" t="s">
        <v>8</v>
      </c>
    </row>
    <row r="44" spans="1:51" ht="20.100000000000001" customHeight="1" x14ac:dyDescent="0.25">
      <c r="A44" s="4">
        <v>35</v>
      </c>
      <c r="B44" s="4">
        <v>14916</v>
      </c>
      <c r="C44" s="5" t="s">
        <v>477</v>
      </c>
      <c r="D44" s="5" t="s">
        <v>478</v>
      </c>
      <c r="E44" s="24" t="s">
        <v>7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M44" t="str">
        <f>UPPER('XII-B-1'!D44)</f>
        <v>VEREN ALANA SUYONO</v>
      </c>
      <c r="AV44" s="47">
        <v>35</v>
      </c>
      <c r="AW44" s="48" t="s">
        <v>979</v>
      </c>
      <c r="AX44" s="49" t="s">
        <v>478</v>
      </c>
      <c r="AY44" s="50" t="s">
        <v>7</v>
      </c>
    </row>
    <row r="45" spans="1:51" ht="20.100000000000001" customHeight="1" x14ac:dyDescent="0.25">
      <c r="A45" s="4">
        <v>36</v>
      </c>
      <c r="B45" s="4">
        <v>14933</v>
      </c>
      <c r="C45" s="5" t="s">
        <v>142</v>
      </c>
      <c r="D45" s="5" t="s">
        <v>732</v>
      </c>
      <c r="E45" s="24" t="s">
        <v>8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M45" t="str">
        <f>UPPER('XII-A-7'!D43)</f>
        <v>TASNIM KHAIRULLAH HIDAYAT</v>
      </c>
      <c r="AV45" s="47">
        <v>36</v>
      </c>
      <c r="AW45" s="48" t="s">
        <v>980</v>
      </c>
      <c r="AX45" s="49" t="s">
        <v>143</v>
      </c>
      <c r="AY45" s="50" t="s">
        <v>8</v>
      </c>
    </row>
    <row r="46" spans="1:51" ht="20.100000000000001" customHeight="1" x14ac:dyDescent="0.25">
      <c r="A46" s="33" t="s">
        <v>10</v>
      </c>
      <c r="B46" s="33"/>
      <c r="C46" s="33"/>
      <c r="D46" s="10" t="s">
        <v>11</v>
      </c>
      <c r="E46" s="8">
        <f>COUNTIFS($E$10:$E$45,"L")</f>
        <v>16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M46" t="str">
        <f>UPPER('XII-A-7'!D44)</f>
        <v>VALENCIA PUTERI SUZANA</v>
      </c>
    </row>
    <row r="47" spans="1:51" x14ac:dyDescent="0.25">
      <c r="A47" s="65" t="s">
        <v>12</v>
      </c>
      <c r="B47" s="65"/>
      <c r="C47" s="65"/>
      <c r="D47" s="10" t="s">
        <v>13</v>
      </c>
      <c r="E47" s="8">
        <f>COUNTIFS($E$10:$E$45,"P")</f>
        <v>20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M47" t="str">
        <f>UPPER('XII-A-7'!D47)</f>
        <v>L :</v>
      </c>
    </row>
    <row r="48" spans="1:51" x14ac:dyDescent="0.25">
      <c r="E48">
        <f>E46+E47</f>
        <v>36</v>
      </c>
    </row>
    <row r="49" spans="1:3" x14ac:dyDescent="0.25">
      <c r="A49" s="1"/>
      <c r="B49" s="1"/>
      <c r="C49" s="2"/>
    </row>
  </sheetData>
  <sortState xmlns:xlrd2="http://schemas.microsoft.com/office/spreadsheetml/2017/richdata2" ref="B10:E45">
    <sortCondition ref="D10:D45"/>
  </sortState>
  <mergeCells count="15">
    <mergeCell ref="A1:AC1"/>
    <mergeCell ref="A2:AC2"/>
    <mergeCell ref="A3:AC3"/>
    <mergeCell ref="A4:AC4"/>
    <mergeCell ref="A7:A9"/>
    <mergeCell ref="C7:C9"/>
    <mergeCell ref="D7:D9"/>
    <mergeCell ref="E7:E9"/>
    <mergeCell ref="F7:H7"/>
    <mergeCell ref="B7:B9"/>
    <mergeCell ref="F8:AC8"/>
    <mergeCell ref="A47:C47"/>
    <mergeCell ref="I7:S7"/>
    <mergeCell ref="T7:U7"/>
    <mergeCell ref="V7:AC7"/>
  </mergeCells>
  <conditionalFormatting sqref="D12">
    <cfRule type="colorScale" priority="2">
      <colorScale>
        <cfvo type="min"/>
        <cfvo type="max"/>
        <color rgb="FFFCFCFF"/>
        <color rgb="FF63BE7B"/>
      </colorScale>
    </cfRule>
    <cfRule type="duplicateValues" dxfId="693" priority="3"/>
  </conditionalFormatting>
  <conditionalFormatting sqref="D29">
    <cfRule type="colorScale" priority="14">
      <colorScale>
        <cfvo type="min"/>
        <cfvo type="max"/>
        <color rgb="FFFCFCFF"/>
        <color rgb="FF63BE7B"/>
      </colorScale>
    </cfRule>
    <cfRule type="duplicateValues" dxfId="692" priority="15"/>
  </conditionalFormatting>
  <conditionalFormatting sqref="D35">
    <cfRule type="colorScale" priority="8">
      <colorScale>
        <cfvo type="min"/>
        <cfvo type="max"/>
        <color rgb="FFFCFCFF"/>
        <color rgb="FF63BE7B"/>
      </colorScale>
    </cfRule>
    <cfRule type="duplicateValues" dxfId="691" priority="9"/>
  </conditionalFormatting>
  <conditionalFormatting sqref="D36:D41 D10:D11 D30:D34 D13:D28">
    <cfRule type="colorScale" priority="12">
      <colorScale>
        <cfvo type="min"/>
        <cfvo type="max"/>
        <color rgb="FFFCFCFF"/>
        <color rgb="FF63BE7B"/>
      </colorScale>
    </cfRule>
    <cfRule type="duplicateValues" dxfId="690" priority="13"/>
  </conditionalFormatting>
  <conditionalFormatting sqref="D42:D44">
    <cfRule type="colorScale" priority="10">
      <colorScale>
        <cfvo type="min"/>
        <cfvo type="max"/>
        <color rgb="FFFCFCFF"/>
        <color rgb="FF63BE7B"/>
      </colorScale>
    </cfRule>
    <cfRule type="duplicateValues" dxfId="689" priority="11"/>
  </conditionalFormatting>
  <conditionalFormatting sqref="D45">
    <cfRule type="colorScale" priority="6">
      <colorScale>
        <cfvo type="min"/>
        <cfvo type="max"/>
        <color rgb="FFFCFCFF"/>
        <color rgb="FF63BE7B"/>
      </colorScale>
    </cfRule>
    <cfRule type="duplicateValues" dxfId="688" priority="7"/>
  </conditionalFormatting>
  <conditionalFormatting sqref="AX10">
    <cfRule type="expression" dxfId="687" priority="1">
      <formula>AX10&lt;&gt;D10</formula>
    </cfRule>
  </conditionalFormatting>
  <pageMargins left="0.11811023622047245" right="0.11811023622047245" top="0.39370078740157483" bottom="0.74803149606299213" header="0.31496062992125984" footer="0.31496062992125984"/>
  <pageSetup paperSize="5" scale="85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D46"/>
  <sheetViews>
    <sheetView workbookViewId="0">
      <selection activeCell="F9" sqref="F9:AC9"/>
    </sheetView>
  </sheetViews>
  <sheetFormatPr defaultColWidth="3.28515625" defaultRowHeight="15" x14ac:dyDescent="0.25"/>
  <cols>
    <col min="1" max="1" width="4.5703125" bestFit="1" customWidth="1"/>
    <col min="2" max="2" width="6" customWidth="1"/>
    <col min="3" max="3" width="11" bestFit="1" customWidth="1"/>
    <col min="4" max="4" width="31.42578125" customWidth="1"/>
    <col min="5" max="5" width="3.7109375" bestFit="1" customWidth="1"/>
    <col min="6" max="29" width="2.7109375" customWidth="1"/>
    <col min="32" max="32" width="0" hidden="1" customWidth="1"/>
    <col min="33" max="33" width="9.28515625" hidden="1" customWidth="1"/>
    <col min="34" max="34" width="9" hidden="1" customWidth="1"/>
    <col min="35" max="35" width="35.5703125" hidden="1" customWidth="1"/>
    <col min="36" max="44" width="0" hidden="1" customWidth="1"/>
    <col min="47" max="47" width="17.85546875" bestFit="1" customWidth="1"/>
    <col min="48" max="48" width="40" bestFit="1" customWidth="1"/>
  </cols>
  <sheetData>
    <row r="1" spans="1:56" x14ac:dyDescent="0.25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F1" s="18" t="s">
        <v>371</v>
      </c>
      <c r="AG1" t="s">
        <v>283</v>
      </c>
      <c r="AH1">
        <v>20527197</v>
      </c>
      <c r="AI1" t="s">
        <v>284</v>
      </c>
      <c r="AJ1" t="s">
        <v>7</v>
      </c>
    </row>
    <row r="2" spans="1:56" ht="21.75" customHeight="1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F2" s="18" t="s">
        <v>371</v>
      </c>
      <c r="AG2" t="s">
        <v>334</v>
      </c>
      <c r="AH2">
        <v>20529909</v>
      </c>
      <c r="AI2" t="s">
        <v>335</v>
      </c>
      <c r="AJ2" t="s">
        <v>8</v>
      </c>
    </row>
    <row r="3" spans="1:56" ht="20.25" customHeight="1" x14ac:dyDescent="0.25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F3" s="18" t="s">
        <v>371</v>
      </c>
      <c r="AG3" t="s">
        <v>293</v>
      </c>
      <c r="AH3">
        <v>20527197</v>
      </c>
      <c r="AI3" t="s">
        <v>294</v>
      </c>
      <c r="AJ3" t="s">
        <v>8</v>
      </c>
    </row>
    <row r="4" spans="1:56" ht="21" x14ac:dyDescent="0.35">
      <c r="A4" s="55" t="s">
        <v>1209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F4" s="15" t="s">
        <v>726</v>
      </c>
      <c r="AG4" t="s">
        <v>636</v>
      </c>
      <c r="AH4">
        <v>20527180</v>
      </c>
      <c r="AI4" t="s">
        <v>637</v>
      </c>
      <c r="AJ4" t="s">
        <v>7</v>
      </c>
    </row>
    <row r="5" spans="1:56" x14ac:dyDescent="0.25">
      <c r="A5" s="1"/>
      <c r="B5" s="1"/>
      <c r="C5" s="2"/>
      <c r="P5" s="11"/>
      <c r="AF5" s="13" t="s">
        <v>50</v>
      </c>
      <c r="AG5" t="s">
        <v>28</v>
      </c>
      <c r="AH5">
        <v>20527166</v>
      </c>
      <c r="AI5" t="s">
        <v>29</v>
      </c>
      <c r="AJ5" t="s">
        <v>7</v>
      </c>
    </row>
    <row r="6" spans="1:56" ht="3.75" customHeight="1" x14ac:dyDescent="0.25">
      <c r="A6" s="1"/>
      <c r="B6" s="1"/>
      <c r="C6" s="2"/>
      <c r="AF6" s="15" t="s">
        <v>726</v>
      </c>
      <c r="AG6" t="s">
        <v>710</v>
      </c>
      <c r="AH6">
        <v>20566545</v>
      </c>
      <c r="AI6" t="s">
        <v>711</v>
      </c>
      <c r="AJ6" t="s">
        <v>8</v>
      </c>
    </row>
    <row r="7" spans="1:56" x14ac:dyDescent="0.25">
      <c r="A7" s="56" t="s">
        <v>0</v>
      </c>
      <c r="B7" s="57" t="s">
        <v>803</v>
      </c>
      <c r="C7" s="57" t="s">
        <v>1</v>
      </c>
      <c r="D7" s="56" t="s">
        <v>2</v>
      </c>
      <c r="E7" s="58" t="s">
        <v>3</v>
      </c>
      <c r="F7" s="59" t="s">
        <v>4</v>
      </c>
      <c r="G7" s="60"/>
      <c r="H7" s="61"/>
      <c r="I7" s="70" t="s">
        <v>1210</v>
      </c>
      <c r="J7" s="71"/>
      <c r="K7" s="71"/>
      <c r="L7" s="71"/>
      <c r="M7" s="71"/>
      <c r="N7" s="71"/>
      <c r="O7" s="71"/>
      <c r="P7" s="71"/>
      <c r="Q7" s="71"/>
      <c r="R7" s="71"/>
      <c r="S7" s="72"/>
      <c r="T7" s="65" t="s">
        <v>5</v>
      </c>
      <c r="U7" s="65"/>
      <c r="V7" s="94" t="s">
        <v>1211</v>
      </c>
      <c r="W7" s="95"/>
      <c r="X7" s="95"/>
      <c r="Y7" s="95"/>
      <c r="Z7" s="95"/>
      <c r="AA7" s="95"/>
      <c r="AB7" s="95"/>
      <c r="AC7" s="95"/>
      <c r="AF7" s="18" t="s">
        <v>371</v>
      </c>
      <c r="AG7" t="s">
        <v>315</v>
      </c>
      <c r="AH7">
        <v>20500505</v>
      </c>
      <c r="AI7" t="s">
        <v>316</v>
      </c>
      <c r="AJ7" t="s">
        <v>7</v>
      </c>
    </row>
    <row r="8" spans="1:56" x14ac:dyDescent="0.25">
      <c r="A8" s="56"/>
      <c r="B8" s="57"/>
      <c r="C8" s="57"/>
      <c r="D8" s="56"/>
      <c r="E8" s="58"/>
      <c r="F8" s="62" t="s">
        <v>1214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4"/>
      <c r="AF8" s="18" t="s">
        <v>371</v>
      </c>
      <c r="AG8" t="s">
        <v>253</v>
      </c>
      <c r="AH8">
        <v>20527197</v>
      </c>
      <c r="AI8" t="s">
        <v>254</v>
      </c>
      <c r="AJ8" t="s">
        <v>7</v>
      </c>
    </row>
    <row r="9" spans="1:56" x14ac:dyDescent="0.25">
      <c r="A9" s="56"/>
      <c r="B9" s="57"/>
      <c r="C9" s="57"/>
      <c r="D9" s="56"/>
      <c r="E9" s="58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F9" s="15" t="s">
        <v>726</v>
      </c>
      <c r="AG9" t="s">
        <v>663</v>
      </c>
      <c r="AH9">
        <v>20566545</v>
      </c>
      <c r="AI9" t="s">
        <v>664</v>
      </c>
      <c r="AJ9" t="s">
        <v>7</v>
      </c>
    </row>
    <row r="10" spans="1:56" ht="20.100000000000001" customHeight="1" x14ac:dyDescent="0.25">
      <c r="A10" s="4">
        <v>1</v>
      </c>
      <c r="B10" s="4">
        <v>14593</v>
      </c>
      <c r="C10" s="5" t="s">
        <v>388</v>
      </c>
      <c r="D10" s="5" t="s">
        <v>389</v>
      </c>
      <c r="E10" s="24" t="s">
        <v>8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F10" s="15" t="s">
        <v>726</v>
      </c>
      <c r="AG10" t="s">
        <v>450</v>
      </c>
      <c r="AH10">
        <v>20527180</v>
      </c>
      <c r="AI10" t="s">
        <v>451</v>
      </c>
      <c r="AJ10" t="s">
        <v>8</v>
      </c>
      <c r="AL10" t="str">
        <f>UPPER(D10)</f>
        <v>ACH RIZKY RAMADHANA R</v>
      </c>
      <c r="AT10" s="47">
        <v>1</v>
      </c>
      <c r="AU10" s="48" t="s">
        <v>981</v>
      </c>
      <c r="AV10" s="49" t="s">
        <v>982</v>
      </c>
      <c r="AW10" s="50" t="s">
        <v>8</v>
      </c>
      <c r="BD10" s="52"/>
    </row>
    <row r="11" spans="1:56" ht="20.100000000000001" customHeight="1" x14ac:dyDescent="0.25">
      <c r="A11" s="4">
        <v>2</v>
      </c>
      <c r="B11" s="4">
        <v>14605</v>
      </c>
      <c r="C11" s="5" t="s">
        <v>649</v>
      </c>
      <c r="D11" s="5" t="s">
        <v>650</v>
      </c>
      <c r="E11" s="24" t="s">
        <v>8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F11" s="17" t="s">
        <v>197</v>
      </c>
      <c r="AG11" t="s">
        <v>182</v>
      </c>
      <c r="AH11">
        <v>20527180</v>
      </c>
      <c r="AI11" t="s">
        <v>183</v>
      </c>
      <c r="AJ11" t="s">
        <v>8</v>
      </c>
      <c r="AL11" t="str">
        <f>UPPER(D11)</f>
        <v>AGUNG AULIA AKBAR</v>
      </c>
      <c r="AT11" s="47">
        <v>2</v>
      </c>
      <c r="AU11" s="48" t="s">
        <v>983</v>
      </c>
      <c r="AV11" s="49" t="s">
        <v>650</v>
      </c>
      <c r="AW11" s="50" t="s">
        <v>8</v>
      </c>
    </row>
    <row r="12" spans="1:56" ht="20.100000000000001" customHeight="1" x14ac:dyDescent="0.25">
      <c r="A12" s="4">
        <v>3</v>
      </c>
      <c r="B12" s="4">
        <v>14608</v>
      </c>
      <c r="C12" s="5" t="s">
        <v>22</v>
      </c>
      <c r="D12" s="5" t="s">
        <v>23</v>
      </c>
      <c r="E12" s="24" t="s">
        <v>8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F12" s="15" t="s">
        <v>726</v>
      </c>
      <c r="AG12" t="s">
        <v>618</v>
      </c>
      <c r="AH12">
        <v>20527197</v>
      </c>
      <c r="AI12" t="s">
        <v>619</v>
      </c>
      <c r="AJ12" t="s">
        <v>8</v>
      </c>
      <c r="AL12" t="str">
        <f>UPPER(D12)</f>
        <v>AHMAD FARHAN HAKIKI</v>
      </c>
      <c r="AT12" s="47">
        <v>3</v>
      </c>
      <c r="AU12" s="48" t="s">
        <v>984</v>
      </c>
      <c r="AV12" s="49" t="s">
        <v>23</v>
      </c>
      <c r="AW12" s="50" t="s">
        <v>8</v>
      </c>
    </row>
    <row r="13" spans="1:56" ht="20.100000000000001" customHeight="1" x14ac:dyDescent="0.25">
      <c r="A13" s="4">
        <v>4</v>
      </c>
      <c r="B13" s="4">
        <v>14610</v>
      </c>
      <c r="C13" s="9" t="s">
        <v>283</v>
      </c>
      <c r="D13" s="5" t="s">
        <v>284</v>
      </c>
      <c r="E13" s="24" t="s">
        <v>7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F13" s="17" t="s">
        <v>197</v>
      </c>
      <c r="AG13" t="s">
        <v>169</v>
      </c>
      <c r="AH13">
        <v>20527197</v>
      </c>
      <c r="AI13" t="s">
        <v>170</v>
      </c>
      <c r="AJ13" t="s">
        <v>7</v>
      </c>
      <c r="AL13" t="e">
        <f>UPPER(#REF!)</f>
        <v>#REF!</v>
      </c>
      <c r="AT13" s="47">
        <v>4</v>
      </c>
      <c r="AU13" s="48" t="s">
        <v>985</v>
      </c>
      <c r="AV13" s="49" t="s">
        <v>284</v>
      </c>
      <c r="AW13" s="50" t="s">
        <v>7</v>
      </c>
    </row>
    <row r="14" spans="1:56" ht="20.100000000000001" customHeight="1" x14ac:dyDescent="0.25">
      <c r="A14" s="4">
        <v>5</v>
      </c>
      <c r="B14" s="4">
        <v>14620</v>
      </c>
      <c r="C14" s="5" t="s">
        <v>198</v>
      </c>
      <c r="D14" s="5" t="s">
        <v>759</v>
      </c>
      <c r="E14" s="24" t="s">
        <v>7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F14" s="15" t="s">
        <v>726</v>
      </c>
      <c r="AG14" t="s">
        <v>517</v>
      </c>
      <c r="AH14">
        <v>20527180</v>
      </c>
      <c r="AI14" t="s">
        <v>518</v>
      </c>
      <c r="AJ14" t="s">
        <v>8</v>
      </c>
      <c r="AL14" t="str">
        <f t="shared" ref="AL14:AL43" si="0">UPPER(D14)</f>
        <v>ALFISA SYAHIRA SUTIKNO</v>
      </c>
      <c r="AT14" s="47">
        <v>5</v>
      </c>
      <c r="AU14" s="48" t="s">
        <v>986</v>
      </c>
      <c r="AV14" s="49" t="s">
        <v>199</v>
      </c>
      <c r="AW14" s="50" t="s">
        <v>7</v>
      </c>
    </row>
    <row r="15" spans="1:56" ht="20.100000000000001" customHeight="1" x14ac:dyDescent="0.25">
      <c r="A15" s="4">
        <v>6</v>
      </c>
      <c r="B15" s="4">
        <v>14622</v>
      </c>
      <c r="C15" s="5" t="s">
        <v>293</v>
      </c>
      <c r="D15" s="5" t="s">
        <v>294</v>
      </c>
      <c r="E15" s="24" t="s">
        <v>8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F15" s="15" t="s">
        <v>726</v>
      </c>
      <c r="AG15" t="s">
        <v>483</v>
      </c>
      <c r="AH15">
        <v>20527197</v>
      </c>
      <c r="AI15" t="s">
        <v>484</v>
      </c>
      <c r="AJ15" t="s">
        <v>8</v>
      </c>
      <c r="AL15" t="str">
        <f t="shared" si="0"/>
        <v>ALLAFA ALYYUS SULTANSYAH WIDJAYA</v>
      </c>
      <c r="AT15" s="47">
        <v>6</v>
      </c>
      <c r="AU15" s="48" t="s">
        <v>987</v>
      </c>
      <c r="AV15" s="49" t="s">
        <v>294</v>
      </c>
      <c r="AW15" s="50" t="s">
        <v>8</v>
      </c>
    </row>
    <row r="16" spans="1:56" ht="20.100000000000001" customHeight="1" x14ac:dyDescent="0.25">
      <c r="A16" s="4">
        <v>7</v>
      </c>
      <c r="B16" s="4">
        <v>14634</v>
      </c>
      <c r="C16" s="5" t="s">
        <v>28</v>
      </c>
      <c r="D16" s="5" t="s">
        <v>29</v>
      </c>
      <c r="E16" s="24" t="s">
        <v>7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F16" s="12" t="s">
        <v>61</v>
      </c>
      <c r="AG16" t="s">
        <v>55</v>
      </c>
      <c r="AH16">
        <v>20527180</v>
      </c>
      <c r="AI16" t="s">
        <v>56</v>
      </c>
      <c r="AJ16" t="s">
        <v>7</v>
      </c>
      <c r="AL16" t="str">
        <f t="shared" si="0"/>
        <v>ANDINI PUTRI SUGIONO</v>
      </c>
      <c r="AT16" s="47">
        <v>7</v>
      </c>
      <c r="AU16" s="48" t="s">
        <v>988</v>
      </c>
      <c r="AV16" s="49" t="s">
        <v>29</v>
      </c>
      <c r="AW16" s="50" t="s">
        <v>7</v>
      </c>
    </row>
    <row r="17" spans="1:49" ht="20.100000000000001" customHeight="1" x14ac:dyDescent="0.25">
      <c r="A17" s="4">
        <v>8</v>
      </c>
      <c r="B17" s="4">
        <v>14647</v>
      </c>
      <c r="C17" s="5" t="s">
        <v>724</v>
      </c>
      <c r="D17" s="5" t="s">
        <v>725</v>
      </c>
      <c r="E17" s="24" t="s">
        <v>8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F17" s="15" t="s">
        <v>726</v>
      </c>
      <c r="AG17" t="s">
        <v>584</v>
      </c>
      <c r="AH17">
        <v>20527197</v>
      </c>
      <c r="AI17" t="s">
        <v>585</v>
      </c>
      <c r="AJ17" t="s">
        <v>7</v>
      </c>
      <c r="AL17" t="str">
        <f t="shared" si="0"/>
        <v>ASRAFUL MIFTAH</v>
      </c>
      <c r="AT17" s="47">
        <v>8</v>
      </c>
      <c r="AU17" s="48" t="s">
        <v>989</v>
      </c>
      <c r="AV17" s="49" t="s">
        <v>725</v>
      </c>
      <c r="AW17" s="50" t="s">
        <v>8</v>
      </c>
    </row>
    <row r="18" spans="1:49" ht="20.100000000000001" customHeight="1" x14ac:dyDescent="0.25">
      <c r="A18" s="4">
        <v>9</v>
      </c>
      <c r="B18" s="4">
        <v>14664</v>
      </c>
      <c r="C18" s="5" t="s">
        <v>683</v>
      </c>
      <c r="D18" s="5" t="s">
        <v>747</v>
      </c>
      <c r="E18" s="24" t="s">
        <v>8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F18" s="18" t="s">
        <v>371</v>
      </c>
      <c r="AG18" t="s">
        <v>250</v>
      </c>
      <c r="AH18">
        <v>20527197</v>
      </c>
      <c r="AI18" t="s">
        <v>251</v>
      </c>
      <c r="AJ18" t="s">
        <v>8</v>
      </c>
      <c r="AL18" t="str">
        <f t="shared" si="0"/>
        <v>BENNETT WANG</v>
      </c>
      <c r="AT18" s="47">
        <v>9</v>
      </c>
      <c r="AU18" s="48" t="s">
        <v>990</v>
      </c>
      <c r="AV18" s="49" t="s">
        <v>684</v>
      </c>
      <c r="AW18" s="50" t="s">
        <v>8</v>
      </c>
    </row>
    <row r="19" spans="1:49" ht="20.100000000000001" customHeight="1" x14ac:dyDescent="0.25">
      <c r="A19" s="4">
        <v>10</v>
      </c>
      <c r="B19" s="4">
        <v>14688</v>
      </c>
      <c r="C19" s="5" t="s">
        <v>361</v>
      </c>
      <c r="D19" s="5" t="s">
        <v>730</v>
      </c>
      <c r="E19" s="24" t="s">
        <v>8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F19" s="18" t="s">
        <v>371</v>
      </c>
      <c r="AG19" t="s">
        <v>214</v>
      </c>
      <c r="AH19">
        <v>20583367</v>
      </c>
      <c r="AI19" t="s">
        <v>215</v>
      </c>
      <c r="AJ19" t="s">
        <v>7</v>
      </c>
      <c r="AL19" t="str">
        <f t="shared" si="0"/>
        <v>DIRGANTARA FAIRUZ IFTIKHORI</v>
      </c>
      <c r="AT19" s="47">
        <v>10</v>
      </c>
      <c r="AU19" s="48" t="s">
        <v>991</v>
      </c>
      <c r="AV19" s="49" t="s">
        <v>362</v>
      </c>
      <c r="AW19" s="50" t="s">
        <v>8</v>
      </c>
    </row>
    <row r="20" spans="1:49" ht="20.100000000000001" customHeight="1" x14ac:dyDescent="0.25">
      <c r="A20" s="4">
        <v>11</v>
      </c>
      <c r="B20" s="4">
        <v>14691</v>
      </c>
      <c r="C20" s="5" t="s">
        <v>762</v>
      </c>
      <c r="D20" s="5" t="s">
        <v>255</v>
      </c>
      <c r="E20" s="24" t="s">
        <v>7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F20" s="15" t="s">
        <v>726</v>
      </c>
      <c r="AG20" t="s">
        <v>539</v>
      </c>
      <c r="AH20">
        <v>20583410</v>
      </c>
      <c r="AI20" t="s">
        <v>540</v>
      </c>
      <c r="AJ20" t="s">
        <v>7</v>
      </c>
      <c r="AL20" t="str">
        <f t="shared" si="0"/>
        <v>DYAH SYAFARINA ROSAYANTI</v>
      </c>
      <c r="AT20" s="47">
        <v>11</v>
      </c>
      <c r="AU20" s="48" t="s">
        <v>992</v>
      </c>
      <c r="AV20" s="49" t="s">
        <v>255</v>
      </c>
      <c r="AW20" s="50" t="s">
        <v>7</v>
      </c>
    </row>
    <row r="21" spans="1:49" ht="20.100000000000001" customHeight="1" x14ac:dyDescent="0.25">
      <c r="A21" s="4">
        <v>12</v>
      </c>
      <c r="B21" s="4">
        <v>14698</v>
      </c>
      <c r="C21" s="5" t="s">
        <v>188</v>
      </c>
      <c r="D21" s="5" t="s">
        <v>748</v>
      </c>
      <c r="E21" s="24" t="s">
        <v>8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F21" s="14" t="s">
        <v>141</v>
      </c>
      <c r="AG21" t="s">
        <v>91</v>
      </c>
      <c r="AH21">
        <v>20583367</v>
      </c>
      <c r="AI21" t="s">
        <v>92</v>
      </c>
      <c r="AJ21" t="s">
        <v>7</v>
      </c>
      <c r="AL21" t="str">
        <f t="shared" si="0"/>
        <v>FADEL RISQULLAH BAKRIE</v>
      </c>
      <c r="AT21" s="47">
        <v>12</v>
      </c>
      <c r="AU21" s="48" t="s">
        <v>993</v>
      </c>
      <c r="AV21" s="49" t="s">
        <v>189</v>
      </c>
      <c r="AW21" s="50" t="s">
        <v>8</v>
      </c>
    </row>
    <row r="22" spans="1:49" ht="20.100000000000001" customHeight="1" x14ac:dyDescent="0.25">
      <c r="A22" s="4">
        <v>13</v>
      </c>
      <c r="B22" s="4">
        <v>14713</v>
      </c>
      <c r="C22" s="5" t="s">
        <v>338</v>
      </c>
      <c r="D22" s="5" t="s">
        <v>339</v>
      </c>
      <c r="E22" s="24" t="s">
        <v>7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F22" s="15" t="s">
        <v>726</v>
      </c>
      <c r="AG22" t="s">
        <v>704</v>
      </c>
      <c r="AH22">
        <v>20527197</v>
      </c>
      <c r="AI22" t="s">
        <v>705</v>
      </c>
      <c r="AJ22" t="s">
        <v>7</v>
      </c>
      <c r="AL22" t="str">
        <f t="shared" si="0"/>
        <v>FIRZA AMIRA EL FAIZA</v>
      </c>
      <c r="AT22" s="47">
        <v>13</v>
      </c>
      <c r="AU22" s="48" t="s">
        <v>994</v>
      </c>
      <c r="AV22" s="49" t="s">
        <v>339</v>
      </c>
      <c r="AW22" s="50" t="s">
        <v>7</v>
      </c>
    </row>
    <row r="23" spans="1:49" ht="20.100000000000001" customHeight="1" x14ac:dyDescent="0.25">
      <c r="A23" s="4">
        <v>14</v>
      </c>
      <c r="B23" s="4">
        <v>14714</v>
      </c>
      <c r="C23" s="5" t="s">
        <v>272</v>
      </c>
      <c r="D23" s="5" t="s">
        <v>273</v>
      </c>
      <c r="E23" s="24" t="s">
        <v>7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F23" s="14" t="s">
        <v>141</v>
      </c>
      <c r="AG23" t="s">
        <v>99</v>
      </c>
      <c r="AH23">
        <v>20527180</v>
      </c>
      <c r="AI23" t="s">
        <v>100</v>
      </c>
      <c r="AJ23" t="s">
        <v>8</v>
      </c>
      <c r="AL23" t="str">
        <f t="shared" si="0"/>
        <v>FIYHIMA AINANI TAJRIYAN</v>
      </c>
      <c r="AT23" s="47">
        <v>14</v>
      </c>
      <c r="AU23" s="48" t="s">
        <v>995</v>
      </c>
      <c r="AV23" s="49" t="s">
        <v>273</v>
      </c>
      <c r="AW23" s="50" t="s">
        <v>7</v>
      </c>
    </row>
    <row r="24" spans="1:49" ht="20.100000000000001" customHeight="1" x14ac:dyDescent="0.25">
      <c r="A24" s="4">
        <v>15</v>
      </c>
      <c r="B24" s="4">
        <v>14718</v>
      </c>
      <c r="C24" s="5" t="s">
        <v>483</v>
      </c>
      <c r="D24" s="5" t="s">
        <v>484</v>
      </c>
      <c r="E24" s="24" t="s">
        <v>8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F24" s="15" t="s">
        <v>726</v>
      </c>
      <c r="AG24" t="s">
        <v>551</v>
      </c>
      <c r="AH24">
        <v>20527180</v>
      </c>
      <c r="AI24" t="s">
        <v>552</v>
      </c>
      <c r="AJ24" t="s">
        <v>8</v>
      </c>
      <c r="AL24" t="str">
        <f t="shared" si="0"/>
        <v>GILANG AKMAL HIDAYAT</v>
      </c>
      <c r="AT24" s="47">
        <v>15</v>
      </c>
      <c r="AU24" s="48" t="s">
        <v>996</v>
      </c>
      <c r="AV24" s="49" t="s">
        <v>484</v>
      </c>
      <c r="AW24" s="50" t="s">
        <v>8</v>
      </c>
    </row>
    <row r="25" spans="1:49" ht="20.100000000000001" customHeight="1" x14ac:dyDescent="0.25">
      <c r="A25" s="4">
        <v>16</v>
      </c>
      <c r="B25" s="4">
        <v>14732</v>
      </c>
      <c r="C25" s="5" t="s">
        <v>97</v>
      </c>
      <c r="D25" s="5" t="s">
        <v>98</v>
      </c>
      <c r="E25" s="24" t="s">
        <v>7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F25" s="17" t="s">
        <v>197</v>
      </c>
      <c r="AG25" t="s">
        <v>151</v>
      </c>
      <c r="AH25">
        <v>20527193</v>
      </c>
      <c r="AI25" t="s">
        <v>152</v>
      </c>
      <c r="AJ25" t="s">
        <v>8</v>
      </c>
      <c r="AL25" t="str">
        <f t="shared" si="0"/>
        <v>HUMAIRA SHALSABILA FIRDAUZI</v>
      </c>
      <c r="AT25" s="47">
        <v>16</v>
      </c>
      <c r="AU25" s="48" t="s">
        <v>997</v>
      </c>
      <c r="AV25" s="49" t="s">
        <v>98</v>
      </c>
      <c r="AW25" s="50" t="s">
        <v>7</v>
      </c>
    </row>
    <row r="26" spans="1:49" ht="20.100000000000001" customHeight="1" x14ac:dyDescent="0.25">
      <c r="A26" s="4">
        <v>17</v>
      </c>
      <c r="B26" s="4">
        <v>14742</v>
      </c>
      <c r="C26" s="5" t="s">
        <v>347</v>
      </c>
      <c r="D26" s="5" t="s">
        <v>734</v>
      </c>
      <c r="E26" s="24" t="s">
        <v>7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F26" s="15" t="s">
        <v>726</v>
      </c>
      <c r="AG26" t="s">
        <v>380</v>
      </c>
      <c r="AH26">
        <v>20527197</v>
      </c>
      <c r="AI26" t="s">
        <v>381</v>
      </c>
      <c r="AJ26" t="s">
        <v>8</v>
      </c>
      <c r="AL26" t="str">
        <f t="shared" si="0"/>
        <v>JUWITA RISKI AMALIA</v>
      </c>
      <c r="AT26" s="47">
        <v>17</v>
      </c>
      <c r="AU26" s="48" t="s">
        <v>998</v>
      </c>
      <c r="AV26" s="49" t="s">
        <v>348</v>
      </c>
      <c r="AW26" s="50" t="s">
        <v>7</v>
      </c>
    </row>
    <row r="27" spans="1:49" ht="20.100000000000001" customHeight="1" x14ac:dyDescent="0.25">
      <c r="A27" s="44">
        <v>18</v>
      </c>
      <c r="B27" s="44">
        <v>15302</v>
      </c>
      <c r="C27" s="9" t="s">
        <v>823</v>
      </c>
      <c r="D27" s="5" t="s">
        <v>824</v>
      </c>
      <c r="E27" s="45" t="s">
        <v>8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F27" s="15" t="s">
        <v>726</v>
      </c>
      <c r="AG27" t="s">
        <v>677</v>
      </c>
      <c r="AH27">
        <v>20527203</v>
      </c>
      <c r="AI27" t="s">
        <v>678</v>
      </c>
      <c r="AJ27" t="s">
        <v>8</v>
      </c>
      <c r="AL27" t="str">
        <f t="shared" si="0"/>
        <v>M. FAYHAN HIDAYAT</v>
      </c>
      <c r="AT27" s="47">
        <v>18</v>
      </c>
      <c r="AU27" s="48" t="s">
        <v>999</v>
      </c>
      <c r="AV27" s="49" t="s">
        <v>824</v>
      </c>
      <c r="AW27" s="50" t="s">
        <v>8</v>
      </c>
    </row>
    <row r="28" spans="1:49" ht="20.100000000000001" customHeight="1" x14ac:dyDescent="0.25">
      <c r="A28" s="4">
        <v>19</v>
      </c>
      <c r="B28" s="4">
        <v>14770</v>
      </c>
      <c r="C28" s="5" t="s">
        <v>557</v>
      </c>
      <c r="D28" s="5" t="s">
        <v>558</v>
      </c>
      <c r="E28" s="24" t="s">
        <v>7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F28" s="15" t="s">
        <v>726</v>
      </c>
      <c r="AG28" t="s">
        <v>410</v>
      </c>
      <c r="AH28">
        <v>20527197</v>
      </c>
      <c r="AI28" t="s">
        <v>411</v>
      </c>
      <c r="AJ28" t="s">
        <v>7</v>
      </c>
      <c r="AL28" t="str">
        <f t="shared" si="0"/>
        <v>MAYSATUL HASANAH</v>
      </c>
      <c r="AT28" s="47">
        <v>19</v>
      </c>
      <c r="AU28" s="48" t="s">
        <v>1000</v>
      </c>
      <c r="AV28" s="49" t="s">
        <v>558</v>
      </c>
      <c r="AW28" s="50" t="s">
        <v>7</v>
      </c>
    </row>
    <row r="29" spans="1:49" ht="20.100000000000001" customHeight="1" x14ac:dyDescent="0.25">
      <c r="A29" s="4">
        <v>20</v>
      </c>
      <c r="B29" s="4">
        <v>14772</v>
      </c>
      <c r="C29" s="5" t="s">
        <v>228</v>
      </c>
      <c r="D29" s="5" t="s">
        <v>229</v>
      </c>
      <c r="E29" s="24" t="s">
        <v>7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F29" s="18" t="s">
        <v>371</v>
      </c>
      <c r="AG29" t="s">
        <v>355</v>
      </c>
      <c r="AH29">
        <v>20527197</v>
      </c>
      <c r="AI29" t="s">
        <v>356</v>
      </c>
      <c r="AJ29" t="s">
        <v>7</v>
      </c>
      <c r="AL29" t="str">
        <f t="shared" si="0"/>
        <v>MEITA NAJMI BERLIANTI</v>
      </c>
      <c r="AT29" s="47">
        <v>20</v>
      </c>
      <c r="AU29" s="48" t="s">
        <v>1001</v>
      </c>
      <c r="AV29" s="49" t="s">
        <v>229</v>
      </c>
      <c r="AW29" s="50" t="s">
        <v>7</v>
      </c>
    </row>
    <row r="30" spans="1:49" ht="20.100000000000001" customHeight="1" x14ac:dyDescent="0.25">
      <c r="A30" s="4">
        <v>21</v>
      </c>
      <c r="B30" s="4">
        <v>14774</v>
      </c>
      <c r="C30" s="5" t="s">
        <v>51</v>
      </c>
      <c r="D30" s="5" t="s">
        <v>738</v>
      </c>
      <c r="E30" s="24" t="s">
        <v>7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F30" s="13" t="s">
        <v>50</v>
      </c>
      <c r="AG30" t="s">
        <v>48</v>
      </c>
      <c r="AH30">
        <v>20527197</v>
      </c>
      <c r="AI30" t="s">
        <v>49</v>
      </c>
      <c r="AJ30" t="s">
        <v>8</v>
      </c>
      <c r="AL30" t="str">
        <f t="shared" si="0"/>
        <v>MERISA ANGGI YULIA PUTRI</v>
      </c>
      <c r="AT30" s="47">
        <v>21</v>
      </c>
      <c r="AU30" s="48" t="s">
        <v>1002</v>
      </c>
      <c r="AV30" s="49" t="s">
        <v>52</v>
      </c>
      <c r="AW30" s="50" t="s">
        <v>7</v>
      </c>
    </row>
    <row r="31" spans="1:49" ht="20.100000000000001" customHeight="1" x14ac:dyDescent="0.25">
      <c r="A31" s="4">
        <v>22</v>
      </c>
      <c r="B31" s="4">
        <v>14787</v>
      </c>
      <c r="C31" s="5" t="s">
        <v>501</v>
      </c>
      <c r="D31" s="5" t="s">
        <v>502</v>
      </c>
      <c r="E31" s="24" t="s">
        <v>8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F31" s="15" t="s">
        <v>726</v>
      </c>
      <c r="AG31" t="s">
        <v>446</v>
      </c>
      <c r="AH31">
        <v>20527180</v>
      </c>
      <c r="AI31" t="s">
        <v>447</v>
      </c>
      <c r="AJ31" t="s">
        <v>7</v>
      </c>
      <c r="AL31" t="str">
        <f t="shared" si="0"/>
        <v>MOH RANDHIKA ARSY PUTRA</v>
      </c>
      <c r="AT31" s="47">
        <v>22</v>
      </c>
      <c r="AU31" s="48" t="s">
        <v>1003</v>
      </c>
      <c r="AV31" s="49" t="s">
        <v>1004</v>
      </c>
      <c r="AW31" s="50" t="s">
        <v>8</v>
      </c>
    </row>
    <row r="32" spans="1:49" ht="20.100000000000001" customHeight="1" x14ac:dyDescent="0.25">
      <c r="A32" s="4">
        <v>23</v>
      </c>
      <c r="B32" s="4">
        <v>14804</v>
      </c>
      <c r="C32" s="5" t="s">
        <v>216</v>
      </c>
      <c r="D32" s="5" t="s">
        <v>217</v>
      </c>
      <c r="E32" s="24" t="s">
        <v>8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F32" s="18" t="s">
        <v>371</v>
      </c>
      <c r="AG32" t="s">
        <v>210</v>
      </c>
      <c r="AH32">
        <v>20583367</v>
      </c>
      <c r="AI32" t="s">
        <v>211</v>
      </c>
      <c r="AJ32" t="s">
        <v>8</v>
      </c>
      <c r="AL32" t="str">
        <f t="shared" si="0"/>
        <v>MUH ZACKY MIRZA SUGANDA</v>
      </c>
      <c r="AT32" s="47">
        <v>23</v>
      </c>
      <c r="AU32" s="48" t="s">
        <v>1005</v>
      </c>
      <c r="AV32" s="49" t="s">
        <v>1006</v>
      </c>
      <c r="AW32" s="50" t="s">
        <v>8</v>
      </c>
    </row>
    <row r="33" spans="1:49" ht="20.100000000000001" customHeight="1" x14ac:dyDescent="0.25">
      <c r="A33" s="4">
        <v>24</v>
      </c>
      <c r="B33" s="4">
        <v>14825</v>
      </c>
      <c r="C33" s="5" t="s">
        <v>473</v>
      </c>
      <c r="D33" s="5" t="s">
        <v>474</v>
      </c>
      <c r="E33" s="24" t="s">
        <v>8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F33" s="15" t="s">
        <v>726</v>
      </c>
      <c r="AG33" t="s">
        <v>408</v>
      </c>
      <c r="AH33">
        <v>20527190</v>
      </c>
      <c r="AI33" t="s">
        <v>409</v>
      </c>
      <c r="AJ33" t="s">
        <v>8</v>
      </c>
      <c r="AL33" t="str">
        <f t="shared" si="0"/>
        <v>MUHAMMAD YUSUF ADI PRATAMA</v>
      </c>
      <c r="AT33" s="47">
        <v>24</v>
      </c>
      <c r="AU33" s="48" t="s">
        <v>1007</v>
      </c>
      <c r="AV33" s="49" t="s">
        <v>474</v>
      </c>
      <c r="AW33" s="50" t="s">
        <v>8</v>
      </c>
    </row>
    <row r="34" spans="1:49" ht="20.100000000000001" customHeight="1" x14ac:dyDescent="0.25">
      <c r="A34" s="4">
        <v>25</v>
      </c>
      <c r="B34" s="4">
        <v>14828</v>
      </c>
      <c r="C34" s="5" t="s">
        <v>336</v>
      </c>
      <c r="D34" s="5" t="s">
        <v>755</v>
      </c>
      <c r="E34" s="24" t="s">
        <v>7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F34" s="15" t="s">
        <v>726</v>
      </c>
      <c r="AG34" t="s">
        <v>590</v>
      </c>
      <c r="AH34">
        <v>20566545</v>
      </c>
      <c r="AI34" t="s">
        <v>591</v>
      </c>
      <c r="AJ34" t="s">
        <v>8</v>
      </c>
      <c r="AL34" t="str">
        <f t="shared" si="0"/>
        <v>NABILA NOVALINDA ALI WAFA</v>
      </c>
      <c r="AT34" s="47">
        <v>25</v>
      </c>
      <c r="AU34" s="48" t="s">
        <v>1008</v>
      </c>
      <c r="AV34" s="49" t="s">
        <v>337</v>
      </c>
      <c r="AW34" s="50" t="s">
        <v>7</v>
      </c>
    </row>
    <row r="35" spans="1:49" ht="20.100000000000001" customHeight="1" x14ac:dyDescent="0.25">
      <c r="A35" s="4">
        <v>26</v>
      </c>
      <c r="B35" s="4">
        <v>14830</v>
      </c>
      <c r="C35" s="5" t="s">
        <v>234</v>
      </c>
      <c r="D35" s="5" t="s">
        <v>235</v>
      </c>
      <c r="E35" s="24" t="s">
        <v>7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F35" s="15" t="s">
        <v>726</v>
      </c>
      <c r="AG35" t="s">
        <v>497</v>
      </c>
      <c r="AH35">
        <v>20527180</v>
      </c>
      <c r="AI35" t="s">
        <v>498</v>
      </c>
      <c r="AJ35" t="s">
        <v>7</v>
      </c>
      <c r="AL35" t="str">
        <f t="shared" si="0"/>
        <v>NADIA RAHMAWATI</v>
      </c>
      <c r="AT35" s="47">
        <v>26</v>
      </c>
      <c r="AU35" s="48" t="s">
        <v>1009</v>
      </c>
      <c r="AV35" s="49" t="s">
        <v>235</v>
      </c>
      <c r="AW35" s="50" t="s">
        <v>7</v>
      </c>
    </row>
    <row r="36" spans="1:49" ht="20.100000000000001" customHeight="1" x14ac:dyDescent="0.25">
      <c r="A36" s="4">
        <v>27</v>
      </c>
      <c r="B36" s="4">
        <v>14839</v>
      </c>
      <c r="C36" s="5" t="s">
        <v>174</v>
      </c>
      <c r="D36" s="5" t="s">
        <v>175</v>
      </c>
      <c r="E36" s="24" t="s">
        <v>8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F36" s="14" t="s">
        <v>141</v>
      </c>
      <c r="AG36" t="s">
        <v>125</v>
      </c>
      <c r="AH36">
        <v>20527185</v>
      </c>
      <c r="AI36" t="s">
        <v>126</v>
      </c>
      <c r="AJ36" t="s">
        <v>7</v>
      </c>
      <c r="AL36" t="str">
        <f t="shared" si="0"/>
        <v>NAUFAL ALWAN HAKIM</v>
      </c>
      <c r="AT36" s="47">
        <v>27</v>
      </c>
      <c r="AU36" s="48" t="s">
        <v>1010</v>
      </c>
      <c r="AV36" s="49" t="s">
        <v>175</v>
      </c>
      <c r="AW36" s="50" t="s">
        <v>8</v>
      </c>
    </row>
    <row r="37" spans="1:49" ht="20.100000000000001" customHeight="1" x14ac:dyDescent="0.25">
      <c r="A37" s="4">
        <v>28</v>
      </c>
      <c r="B37" s="4">
        <v>14869</v>
      </c>
      <c r="C37" s="5" t="s">
        <v>568</v>
      </c>
      <c r="D37" s="5" t="s">
        <v>569</v>
      </c>
      <c r="E37" s="24" t="s">
        <v>7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L37" t="str">
        <f t="shared" si="0"/>
        <v>PUTRI GARANITA ARDALIA WIBOWO</v>
      </c>
      <c r="AT37" s="47">
        <v>29</v>
      </c>
      <c r="AU37" s="48" t="s">
        <v>1011</v>
      </c>
      <c r="AV37" s="49" t="s">
        <v>569</v>
      </c>
      <c r="AW37" s="50" t="s">
        <v>7</v>
      </c>
    </row>
    <row r="38" spans="1:49" ht="20.100000000000001" customHeight="1" x14ac:dyDescent="0.25">
      <c r="A38" s="4">
        <v>29</v>
      </c>
      <c r="B38" s="4">
        <v>14884</v>
      </c>
      <c r="C38" s="5" t="s">
        <v>598</v>
      </c>
      <c r="D38" s="5" t="s">
        <v>599</v>
      </c>
      <c r="E38" s="24" t="s">
        <v>8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L38" t="str">
        <f t="shared" si="0"/>
        <v>RANGGA MAULIDAN RAHMAN CPK</v>
      </c>
      <c r="AT38" s="47">
        <v>30</v>
      </c>
      <c r="AU38" s="48" t="s">
        <v>1012</v>
      </c>
      <c r="AV38" s="49" t="s">
        <v>599</v>
      </c>
      <c r="AW38" s="50" t="s">
        <v>8</v>
      </c>
    </row>
    <row r="39" spans="1:49" ht="20.100000000000001" customHeight="1" x14ac:dyDescent="0.25">
      <c r="A39" s="4">
        <v>30</v>
      </c>
      <c r="B39" s="4">
        <v>14895</v>
      </c>
      <c r="C39" s="5" t="s">
        <v>340</v>
      </c>
      <c r="D39" s="5" t="s">
        <v>341</v>
      </c>
      <c r="E39" s="24" t="s">
        <v>8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L39" t="str">
        <f t="shared" si="0"/>
        <v>RIKI PUTRA RAIHAN</v>
      </c>
      <c r="AT39" s="47">
        <v>32</v>
      </c>
      <c r="AU39" s="48" t="s">
        <v>1013</v>
      </c>
      <c r="AV39" s="49" t="s">
        <v>341</v>
      </c>
      <c r="AW39" s="50" t="s">
        <v>8</v>
      </c>
    </row>
    <row r="40" spans="1:49" ht="20.100000000000001" customHeight="1" x14ac:dyDescent="0.25">
      <c r="A40" s="4">
        <v>31</v>
      </c>
      <c r="B40" s="4">
        <v>14897</v>
      </c>
      <c r="C40" s="5" t="s">
        <v>155</v>
      </c>
      <c r="D40" s="5" t="s">
        <v>156</v>
      </c>
      <c r="E40" s="24" t="s">
        <v>7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L40" t="str">
        <f t="shared" si="0"/>
        <v>RIZKIANA INTANSARI</v>
      </c>
      <c r="AT40" s="47">
        <v>33</v>
      </c>
      <c r="AU40" s="48" t="s">
        <v>1014</v>
      </c>
      <c r="AV40" s="49" t="s">
        <v>156</v>
      </c>
      <c r="AW40" s="50" t="s">
        <v>7</v>
      </c>
    </row>
    <row r="41" spans="1:49" ht="20.100000000000001" customHeight="1" x14ac:dyDescent="0.25">
      <c r="A41" s="4">
        <v>32</v>
      </c>
      <c r="B41" s="4">
        <v>14906</v>
      </c>
      <c r="C41" s="5" t="s">
        <v>200</v>
      </c>
      <c r="D41" s="5" t="s">
        <v>201</v>
      </c>
      <c r="E41" s="24" t="s">
        <v>7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L41" t="str">
        <f t="shared" si="0"/>
        <v>SARAH SALSABILA</v>
      </c>
      <c r="AT41" s="47">
        <v>34</v>
      </c>
      <c r="AU41" s="48" t="s">
        <v>1015</v>
      </c>
      <c r="AV41" s="49" t="s">
        <v>201</v>
      </c>
      <c r="AW41" s="50" t="s">
        <v>7</v>
      </c>
    </row>
    <row r="42" spans="1:49" ht="20.100000000000001" customHeight="1" x14ac:dyDescent="0.25">
      <c r="A42" s="4">
        <v>33</v>
      </c>
      <c r="B42" s="4">
        <v>14938</v>
      </c>
      <c r="C42" s="5" t="s">
        <v>452</v>
      </c>
      <c r="D42" s="5" t="s">
        <v>453</v>
      </c>
      <c r="E42" s="24" t="s">
        <v>7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L42" t="str">
        <f t="shared" si="0"/>
        <v>VINA SAFRIYANI</v>
      </c>
      <c r="AT42" s="47">
        <v>35</v>
      </c>
      <c r="AU42" s="48" t="s">
        <v>1016</v>
      </c>
      <c r="AV42" s="49" t="s">
        <v>453</v>
      </c>
      <c r="AW42" s="50" t="s">
        <v>7</v>
      </c>
    </row>
    <row r="43" spans="1:49" ht="20.100000000000001" customHeight="1" x14ac:dyDescent="0.25">
      <c r="A43" s="4">
        <v>34</v>
      </c>
      <c r="B43" s="4">
        <v>14942</v>
      </c>
      <c r="C43" s="5" t="s">
        <v>454</v>
      </c>
      <c r="D43" s="5" t="s">
        <v>455</v>
      </c>
      <c r="E43" s="24" t="s">
        <v>7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L43" t="str">
        <f t="shared" si="0"/>
        <v>YULIA EKA FITRIANSYAH</v>
      </c>
      <c r="AT43" s="47">
        <v>36</v>
      </c>
      <c r="AU43" s="48" t="s">
        <v>1017</v>
      </c>
      <c r="AV43" s="49" t="s">
        <v>455</v>
      </c>
      <c r="AW43" s="50" t="s">
        <v>7</v>
      </c>
    </row>
    <row r="44" spans="1:49" x14ac:dyDescent="0.25">
      <c r="A44" s="65" t="s">
        <v>10</v>
      </c>
      <c r="B44" s="65"/>
      <c r="C44" s="65"/>
      <c r="D44" s="10" t="s">
        <v>11</v>
      </c>
      <c r="E44" s="8">
        <f>COUNTIFS($E$10:$E$43,"L")</f>
        <v>16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spans="1:49" x14ac:dyDescent="0.25">
      <c r="A45" s="65" t="s">
        <v>12</v>
      </c>
      <c r="B45" s="65"/>
      <c r="C45" s="65"/>
      <c r="D45" s="10" t="s">
        <v>13</v>
      </c>
      <c r="E45" s="8">
        <f>COUNTIFS($E$10:$E$43,"P")</f>
        <v>18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spans="1:49" x14ac:dyDescent="0.25">
      <c r="A46" s="1"/>
      <c r="B46" s="1"/>
      <c r="C46" s="2"/>
      <c r="E46">
        <f>E44+E45</f>
        <v>34</v>
      </c>
    </row>
  </sheetData>
  <sortState xmlns:xlrd2="http://schemas.microsoft.com/office/spreadsheetml/2017/richdata2" ref="B10:E43">
    <sortCondition ref="D10:D43"/>
  </sortState>
  <mergeCells count="16">
    <mergeCell ref="A1:AC1"/>
    <mergeCell ref="A2:AC2"/>
    <mergeCell ref="A3:AC3"/>
    <mergeCell ref="A4:AC4"/>
    <mergeCell ref="A7:A9"/>
    <mergeCell ref="C7:C9"/>
    <mergeCell ref="D7:D9"/>
    <mergeCell ref="E7:E9"/>
    <mergeCell ref="F7:H7"/>
    <mergeCell ref="B7:B9"/>
    <mergeCell ref="F8:AC8"/>
    <mergeCell ref="A44:C44"/>
    <mergeCell ref="A45:C45"/>
    <mergeCell ref="I7:S7"/>
    <mergeCell ref="T7:U7"/>
    <mergeCell ref="V7:AC7"/>
  </mergeCells>
  <conditionalFormatting sqref="D12">
    <cfRule type="colorScale" priority="4">
      <colorScale>
        <cfvo type="min"/>
        <cfvo type="max"/>
        <color rgb="FFFCFCFF"/>
        <color rgb="FF63BE7B"/>
      </colorScale>
    </cfRule>
    <cfRule type="duplicateValues" dxfId="686" priority="5"/>
  </conditionalFormatting>
  <conditionalFormatting sqref="D28">
    <cfRule type="colorScale" priority="10">
      <colorScale>
        <cfvo type="min"/>
        <cfvo type="max"/>
        <color rgb="FFFCFCFF"/>
        <color rgb="FF63BE7B"/>
      </colorScale>
    </cfRule>
    <cfRule type="duplicateValues" dxfId="685" priority="11"/>
  </conditionalFormatting>
  <conditionalFormatting sqref="D40:D42">
    <cfRule type="colorScale" priority="6">
      <colorScale>
        <cfvo type="min"/>
        <cfvo type="max"/>
        <color rgb="FFFCFCFF"/>
        <color rgb="FF63BE7B"/>
      </colorScale>
    </cfRule>
    <cfRule type="duplicateValues" dxfId="684" priority="7"/>
  </conditionalFormatting>
  <conditionalFormatting sqref="D43">
    <cfRule type="colorScale" priority="28">
      <colorScale>
        <cfvo type="min"/>
        <cfvo type="max"/>
        <color rgb="FFFCFCFF"/>
        <color rgb="FF63BE7B"/>
      </colorScale>
    </cfRule>
    <cfRule type="duplicateValues" dxfId="683" priority="29"/>
  </conditionalFormatting>
  <conditionalFormatting sqref="AV10:AV43">
    <cfRule type="expression" dxfId="682" priority="1">
      <formula>AV10&lt;&gt;D10</formula>
    </cfRule>
  </conditionalFormatting>
  <conditionalFormatting sqref="BD10">
    <cfRule type="expression" dxfId="681" priority="3">
      <formula>AV10&lt;&gt;D10</formula>
    </cfRule>
  </conditionalFormatting>
  <conditionalFormatting sqref="D10:D11 D29:D39 D13:D27">
    <cfRule type="colorScale" priority="1234">
      <colorScale>
        <cfvo type="min"/>
        <cfvo type="max"/>
        <color rgb="FFFCFCFF"/>
        <color rgb="FF63BE7B"/>
      </colorScale>
    </cfRule>
    <cfRule type="duplicateValues" dxfId="680" priority="1235"/>
  </conditionalFormatting>
  <pageMargins left="0.23622047244094491" right="0.15748031496062992" top="0.35433070866141736" bottom="0.74803149606299213" header="0.23622047244094491" footer="0.31496062992125984"/>
  <pageSetup paperSize="5" scale="85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48"/>
  <sheetViews>
    <sheetView zoomScale="85" zoomScaleNormal="85" workbookViewId="0">
      <selection activeCell="F8" sqref="F8:AC8"/>
    </sheetView>
  </sheetViews>
  <sheetFormatPr defaultColWidth="3.28515625" defaultRowHeight="15" x14ac:dyDescent="0.25"/>
  <cols>
    <col min="1" max="1" width="4.5703125" bestFit="1" customWidth="1"/>
    <col min="2" max="2" width="6.85546875" customWidth="1"/>
    <col min="3" max="3" width="11" bestFit="1" customWidth="1"/>
    <col min="4" max="4" width="30.7109375" customWidth="1"/>
    <col min="5" max="5" width="3.7109375" bestFit="1" customWidth="1"/>
    <col min="6" max="29" width="2.7109375" customWidth="1"/>
    <col min="33" max="33" width="18" bestFit="1" customWidth="1"/>
    <col min="34" max="34" width="39.85546875" bestFit="1" customWidth="1"/>
  </cols>
  <sheetData>
    <row r="1" spans="1:35" x14ac:dyDescent="0.25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</row>
    <row r="2" spans="1:35" ht="21.75" customHeight="1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</row>
    <row r="3" spans="1:35" ht="20.25" customHeight="1" x14ac:dyDescent="0.25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</row>
    <row r="4" spans="1:35" ht="21" x14ac:dyDescent="0.35">
      <c r="A4" s="55" t="s">
        <v>1209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</row>
    <row r="5" spans="1:35" x14ac:dyDescent="0.25">
      <c r="A5" s="1"/>
      <c r="B5" s="1"/>
      <c r="C5" s="2"/>
      <c r="P5" s="11"/>
    </row>
    <row r="6" spans="1:35" ht="3.75" customHeight="1" x14ac:dyDescent="0.25">
      <c r="A6" s="1"/>
      <c r="B6" s="1"/>
      <c r="C6" s="2"/>
    </row>
    <row r="7" spans="1:35" ht="15.75" x14ac:dyDescent="0.25">
      <c r="A7" s="56" t="s">
        <v>0</v>
      </c>
      <c r="B7" s="57" t="s">
        <v>803</v>
      </c>
      <c r="C7" s="57" t="s">
        <v>1</v>
      </c>
      <c r="D7" s="56" t="s">
        <v>2</v>
      </c>
      <c r="E7" s="58" t="s">
        <v>3</v>
      </c>
      <c r="F7" s="59" t="s">
        <v>4</v>
      </c>
      <c r="G7" s="60"/>
      <c r="H7" s="61"/>
      <c r="I7" s="73" t="s">
        <v>776</v>
      </c>
      <c r="J7" s="74"/>
      <c r="K7" s="74"/>
      <c r="L7" s="74"/>
      <c r="M7" s="74"/>
      <c r="N7" s="74"/>
      <c r="O7" s="74"/>
      <c r="P7" s="74"/>
      <c r="Q7" s="74"/>
      <c r="R7" s="74"/>
      <c r="S7" s="75"/>
      <c r="T7" s="65" t="s">
        <v>5</v>
      </c>
      <c r="U7" s="65"/>
      <c r="V7" s="76" t="s">
        <v>817</v>
      </c>
      <c r="W7" s="65"/>
      <c r="X7" s="65"/>
      <c r="Y7" s="65"/>
      <c r="Z7" s="65"/>
      <c r="AA7" s="65"/>
      <c r="AB7" s="65"/>
      <c r="AC7" s="65"/>
    </row>
    <row r="8" spans="1:35" x14ac:dyDescent="0.25">
      <c r="A8" s="56"/>
      <c r="B8" s="57"/>
      <c r="C8" s="57"/>
      <c r="D8" s="56"/>
      <c r="E8" s="58"/>
      <c r="F8" s="62" t="s">
        <v>1214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4"/>
    </row>
    <row r="9" spans="1:35" x14ac:dyDescent="0.25">
      <c r="A9" s="56"/>
      <c r="B9" s="57"/>
      <c r="C9" s="57"/>
      <c r="D9" s="56"/>
      <c r="E9" s="58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35" ht="20.100000000000001" customHeight="1" x14ac:dyDescent="0.25">
      <c r="A10" s="4">
        <v>1</v>
      </c>
      <c r="B10" s="4">
        <v>14623</v>
      </c>
      <c r="C10" s="9" t="s">
        <v>531</v>
      </c>
      <c r="D10" s="5" t="s">
        <v>532</v>
      </c>
      <c r="E10" s="24" t="s">
        <v>7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F10" s="47">
        <v>1</v>
      </c>
      <c r="AG10" s="48" t="s">
        <v>1018</v>
      </c>
      <c r="AH10" s="49" t="s">
        <v>532</v>
      </c>
      <c r="AI10" s="50" t="s">
        <v>7</v>
      </c>
    </row>
    <row r="11" spans="1:35" ht="20.100000000000001" customHeight="1" x14ac:dyDescent="0.25">
      <c r="A11" s="4">
        <v>2</v>
      </c>
      <c r="B11" s="4">
        <v>14628</v>
      </c>
      <c r="C11" s="5" t="s">
        <v>299</v>
      </c>
      <c r="D11" s="5" t="s">
        <v>300</v>
      </c>
      <c r="E11" s="24" t="s">
        <v>7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F11" s="47">
        <v>2</v>
      </c>
      <c r="AG11" s="48" t="s">
        <v>1019</v>
      </c>
      <c r="AH11" s="49" t="s">
        <v>300</v>
      </c>
      <c r="AI11" s="50" t="s">
        <v>7</v>
      </c>
    </row>
    <row r="12" spans="1:35" ht="20.100000000000001" customHeight="1" x14ac:dyDescent="0.25">
      <c r="A12" s="4">
        <v>3</v>
      </c>
      <c r="B12" s="4">
        <v>14629</v>
      </c>
      <c r="C12" s="5" t="s">
        <v>465</v>
      </c>
      <c r="D12" s="5" t="s">
        <v>466</v>
      </c>
      <c r="E12" s="24" t="s">
        <v>8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F12" s="47">
        <v>3</v>
      </c>
      <c r="AG12" s="48" t="s">
        <v>1020</v>
      </c>
      <c r="AH12" s="49" t="s">
        <v>466</v>
      </c>
      <c r="AI12" s="50" t="s">
        <v>8</v>
      </c>
    </row>
    <row r="13" spans="1:35" ht="20.100000000000001" customHeight="1" x14ac:dyDescent="0.25">
      <c r="A13" s="4">
        <v>4</v>
      </c>
      <c r="B13" s="4">
        <v>14645</v>
      </c>
      <c r="C13" s="5" t="s">
        <v>157</v>
      </c>
      <c r="D13" s="5" t="s">
        <v>158</v>
      </c>
      <c r="E13" s="24" t="s">
        <v>8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F13" s="47">
        <v>4</v>
      </c>
      <c r="AG13" s="48" t="s">
        <v>1021</v>
      </c>
      <c r="AH13" s="49" t="s">
        <v>158</v>
      </c>
      <c r="AI13" s="50" t="s">
        <v>8</v>
      </c>
    </row>
    <row r="14" spans="1:35" ht="20.100000000000001" customHeight="1" x14ac:dyDescent="0.25">
      <c r="A14" s="4">
        <v>5</v>
      </c>
      <c r="B14" s="4">
        <v>14662</v>
      </c>
      <c r="C14" s="9" t="s">
        <v>206</v>
      </c>
      <c r="D14" s="5" t="s">
        <v>740</v>
      </c>
      <c r="E14" s="24" t="s">
        <v>8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F14" s="47">
        <v>5</v>
      </c>
      <c r="AG14" s="48" t="s">
        <v>1022</v>
      </c>
      <c r="AH14" s="49" t="s">
        <v>207</v>
      </c>
      <c r="AI14" s="50" t="s">
        <v>8</v>
      </c>
    </row>
    <row r="15" spans="1:35" ht="20.100000000000001" customHeight="1" x14ac:dyDescent="0.25">
      <c r="A15" s="4">
        <v>6</v>
      </c>
      <c r="B15" s="4">
        <v>14669</v>
      </c>
      <c r="C15" s="5" t="s">
        <v>274</v>
      </c>
      <c r="D15" s="5" t="s">
        <v>275</v>
      </c>
      <c r="E15" s="24" t="s">
        <v>8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F15" s="47">
        <v>6</v>
      </c>
      <c r="AG15" s="48" t="s">
        <v>1023</v>
      </c>
      <c r="AH15" s="49" t="s">
        <v>275</v>
      </c>
      <c r="AI15" s="50" t="s">
        <v>8</v>
      </c>
    </row>
    <row r="16" spans="1:35" ht="20.100000000000001" customHeight="1" x14ac:dyDescent="0.25">
      <c r="A16" s="4">
        <v>7</v>
      </c>
      <c r="B16" s="4">
        <v>14670</v>
      </c>
      <c r="C16" s="5" t="s">
        <v>161</v>
      </c>
      <c r="D16" s="5" t="s">
        <v>162</v>
      </c>
      <c r="E16" s="24" t="s">
        <v>8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F16" s="47">
        <v>7</v>
      </c>
      <c r="AG16" s="48" t="s">
        <v>1024</v>
      </c>
      <c r="AH16" s="49" t="s">
        <v>162</v>
      </c>
      <c r="AI16" s="50" t="s">
        <v>8</v>
      </c>
    </row>
    <row r="17" spans="1:35" ht="20.100000000000001" customHeight="1" x14ac:dyDescent="0.25">
      <c r="A17" s="4">
        <v>8</v>
      </c>
      <c r="B17" s="4">
        <v>14674</v>
      </c>
      <c r="C17" s="5" t="s">
        <v>327</v>
      </c>
      <c r="D17" s="5" t="s">
        <v>328</v>
      </c>
      <c r="E17" s="24" t="s">
        <v>8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F17" s="47">
        <v>8</v>
      </c>
      <c r="AG17" s="48" t="s">
        <v>1025</v>
      </c>
      <c r="AH17" s="49" t="s">
        <v>328</v>
      </c>
      <c r="AI17" s="50" t="s">
        <v>8</v>
      </c>
    </row>
    <row r="18" spans="1:35" ht="20.100000000000001" customHeight="1" x14ac:dyDescent="0.25">
      <c r="A18" s="4">
        <v>9</v>
      </c>
      <c r="B18" s="4">
        <v>14675</v>
      </c>
      <c r="C18" s="5" t="s">
        <v>353</v>
      </c>
      <c r="D18" s="5" t="s">
        <v>354</v>
      </c>
      <c r="E18" s="24" t="s">
        <v>7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F18" s="47">
        <v>9</v>
      </c>
      <c r="AG18" s="48" t="s">
        <v>1026</v>
      </c>
      <c r="AH18" s="49" t="s">
        <v>354</v>
      </c>
      <c r="AI18" s="50" t="s">
        <v>7</v>
      </c>
    </row>
    <row r="19" spans="1:35" ht="20.100000000000001" customHeight="1" x14ac:dyDescent="0.25">
      <c r="A19" s="4">
        <v>10</v>
      </c>
      <c r="B19" s="4">
        <v>14682</v>
      </c>
      <c r="C19" s="5" t="s">
        <v>165</v>
      </c>
      <c r="D19" s="5" t="s">
        <v>166</v>
      </c>
      <c r="E19" s="24" t="s">
        <v>8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F19" s="47">
        <v>10</v>
      </c>
      <c r="AG19" s="48" t="s">
        <v>1027</v>
      </c>
      <c r="AH19" s="49" t="s">
        <v>166</v>
      </c>
      <c r="AI19" s="50" t="s">
        <v>8</v>
      </c>
    </row>
    <row r="20" spans="1:35" ht="20.100000000000001" customHeight="1" x14ac:dyDescent="0.25">
      <c r="A20" s="4">
        <v>11</v>
      </c>
      <c r="B20" s="4">
        <v>14689</v>
      </c>
      <c r="C20" s="5" t="s">
        <v>258</v>
      </c>
      <c r="D20" s="5" t="s">
        <v>259</v>
      </c>
      <c r="E20" s="24" t="s">
        <v>7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F20" s="47">
        <v>11</v>
      </c>
      <c r="AG20" s="48" t="s">
        <v>1028</v>
      </c>
      <c r="AH20" s="49" t="s">
        <v>259</v>
      </c>
      <c r="AI20" s="50" t="s">
        <v>7</v>
      </c>
    </row>
    <row r="21" spans="1:35" ht="20.100000000000001" customHeight="1" x14ac:dyDescent="0.25">
      <c r="A21" s="4">
        <v>12</v>
      </c>
      <c r="B21" s="4">
        <v>14695</v>
      </c>
      <c r="C21" s="5" t="s">
        <v>16</v>
      </c>
      <c r="D21" s="5" t="s">
        <v>17</v>
      </c>
      <c r="E21" s="24" t="s">
        <v>7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F21" s="47">
        <v>12</v>
      </c>
      <c r="AG21" s="48" t="s">
        <v>1029</v>
      </c>
      <c r="AH21" s="49" t="s">
        <v>17</v>
      </c>
      <c r="AI21" s="50" t="s">
        <v>7</v>
      </c>
    </row>
    <row r="22" spans="1:35" ht="20.100000000000001" customHeight="1" x14ac:dyDescent="0.25">
      <c r="A22" s="4">
        <v>13</v>
      </c>
      <c r="B22" s="4">
        <v>14708</v>
      </c>
      <c r="C22" s="5" t="s">
        <v>70</v>
      </c>
      <c r="D22" s="5" t="s">
        <v>71</v>
      </c>
      <c r="E22" s="24" t="s">
        <v>7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F22" s="47">
        <v>13</v>
      </c>
      <c r="AG22" s="48" t="s">
        <v>1030</v>
      </c>
      <c r="AH22" s="49" t="s">
        <v>71</v>
      </c>
      <c r="AI22" s="50" t="s">
        <v>7</v>
      </c>
    </row>
    <row r="23" spans="1:35" ht="20.100000000000001" customHeight="1" x14ac:dyDescent="0.25">
      <c r="A23" s="4">
        <v>14</v>
      </c>
      <c r="B23" s="4">
        <v>14711</v>
      </c>
      <c r="C23" s="5" t="s">
        <v>491</v>
      </c>
      <c r="D23" s="5" t="s">
        <v>492</v>
      </c>
      <c r="E23" s="24" t="s">
        <v>7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F23" s="47">
        <v>14</v>
      </c>
      <c r="AG23" s="48" t="s">
        <v>1031</v>
      </c>
      <c r="AH23" s="49" t="s">
        <v>492</v>
      </c>
      <c r="AI23" s="50" t="s">
        <v>7</v>
      </c>
    </row>
    <row r="24" spans="1:35" ht="20.100000000000001" customHeight="1" x14ac:dyDescent="0.25">
      <c r="A24" s="4">
        <v>15</v>
      </c>
      <c r="B24" s="4">
        <v>14715</v>
      </c>
      <c r="C24" s="5" t="s">
        <v>218</v>
      </c>
      <c r="D24" s="5" t="s">
        <v>219</v>
      </c>
      <c r="E24" s="24" t="s">
        <v>8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F24" s="47">
        <v>15</v>
      </c>
      <c r="AG24" s="48" t="s">
        <v>1032</v>
      </c>
      <c r="AH24" s="49" t="s">
        <v>219</v>
      </c>
      <c r="AI24" s="50" t="s">
        <v>8</v>
      </c>
    </row>
    <row r="25" spans="1:35" ht="20.100000000000001" customHeight="1" x14ac:dyDescent="0.25">
      <c r="A25" s="4">
        <v>16</v>
      </c>
      <c r="B25" s="4">
        <v>14741</v>
      </c>
      <c r="C25" s="5" t="s">
        <v>647</v>
      </c>
      <c r="D25" s="5" t="s">
        <v>648</v>
      </c>
      <c r="E25" s="24" t="s">
        <v>7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F25" s="47">
        <v>16</v>
      </c>
      <c r="AG25" s="48" t="s">
        <v>1033</v>
      </c>
      <c r="AH25" s="49" t="s">
        <v>648</v>
      </c>
      <c r="AI25" s="50" t="s">
        <v>7</v>
      </c>
    </row>
    <row r="26" spans="1:35" ht="20.100000000000001" customHeight="1" x14ac:dyDescent="0.25">
      <c r="A26" s="4">
        <v>17</v>
      </c>
      <c r="B26" s="4">
        <v>14745</v>
      </c>
      <c r="C26" s="5" t="s">
        <v>529</v>
      </c>
      <c r="D26" s="5" t="s">
        <v>530</v>
      </c>
      <c r="E26" s="24" t="s">
        <v>7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F26" s="47">
        <v>17</v>
      </c>
      <c r="AG26" s="48" t="s">
        <v>1034</v>
      </c>
      <c r="AH26" s="49" t="s">
        <v>530</v>
      </c>
      <c r="AI26" s="50" t="s">
        <v>7</v>
      </c>
    </row>
    <row r="27" spans="1:35" ht="20.100000000000001" customHeight="1" x14ac:dyDescent="0.25">
      <c r="A27" s="4">
        <v>18</v>
      </c>
      <c r="B27" s="4">
        <v>14788</v>
      </c>
      <c r="C27" s="5" t="s">
        <v>332</v>
      </c>
      <c r="D27" s="5" t="s">
        <v>333</v>
      </c>
      <c r="E27" s="24" t="s">
        <v>8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F27" s="47">
        <v>18</v>
      </c>
      <c r="AG27" s="48" t="s">
        <v>1035</v>
      </c>
      <c r="AH27" s="49" t="s">
        <v>1036</v>
      </c>
      <c r="AI27" s="50" t="s">
        <v>8</v>
      </c>
    </row>
    <row r="28" spans="1:35" ht="20.100000000000001" customHeight="1" x14ac:dyDescent="0.25">
      <c r="A28" s="4">
        <v>19</v>
      </c>
      <c r="B28" s="4">
        <v>14797</v>
      </c>
      <c r="C28" s="5" t="s">
        <v>462</v>
      </c>
      <c r="D28" s="5" t="s">
        <v>463</v>
      </c>
      <c r="E28" s="24" t="s">
        <v>8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F28" s="47">
        <v>19</v>
      </c>
      <c r="AG28" s="48" t="s">
        <v>1037</v>
      </c>
      <c r="AH28" s="49" t="s">
        <v>463</v>
      </c>
      <c r="AI28" s="50" t="s">
        <v>8</v>
      </c>
    </row>
    <row r="29" spans="1:35" ht="20.100000000000001" customHeight="1" x14ac:dyDescent="0.25">
      <c r="A29" s="4">
        <v>20</v>
      </c>
      <c r="B29" s="4">
        <v>14800</v>
      </c>
      <c r="C29" s="5" t="s">
        <v>551</v>
      </c>
      <c r="D29" s="5" t="s">
        <v>552</v>
      </c>
      <c r="E29" s="24" t="s">
        <v>8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F29" s="47">
        <v>20</v>
      </c>
      <c r="AG29" s="48" t="s">
        <v>1038</v>
      </c>
      <c r="AH29" s="49" t="s">
        <v>552</v>
      </c>
      <c r="AI29" s="50" t="s">
        <v>8</v>
      </c>
    </row>
    <row r="30" spans="1:35" ht="20.100000000000001" customHeight="1" x14ac:dyDescent="0.25">
      <c r="A30" s="4">
        <v>21</v>
      </c>
      <c r="B30" s="4">
        <v>14815</v>
      </c>
      <c r="C30" s="5" t="s">
        <v>68</v>
      </c>
      <c r="D30" s="5" t="s">
        <v>753</v>
      </c>
      <c r="E30" s="24" t="s">
        <v>8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F30" s="47">
        <v>21</v>
      </c>
      <c r="AG30" s="48" t="s">
        <v>1039</v>
      </c>
      <c r="AH30" s="49" t="s">
        <v>69</v>
      </c>
      <c r="AI30" s="50" t="s">
        <v>8</v>
      </c>
    </row>
    <row r="31" spans="1:35" ht="20.100000000000001" customHeight="1" x14ac:dyDescent="0.25">
      <c r="A31" s="4">
        <v>22</v>
      </c>
      <c r="B31" s="4">
        <v>14819</v>
      </c>
      <c r="C31" s="5" t="s">
        <v>351</v>
      </c>
      <c r="D31" s="5" t="s">
        <v>754</v>
      </c>
      <c r="E31" s="24" t="s">
        <v>8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F31" s="47">
        <v>22</v>
      </c>
      <c r="AG31" s="48" t="s">
        <v>1040</v>
      </c>
      <c r="AH31" s="49" t="s">
        <v>352</v>
      </c>
      <c r="AI31" s="50" t="s">
        <v>8</v>
      </c>
    </row>
    <row r="32" spans="1:35" ht="20.100000000000001" customHeight="1" x14ac:dyDescent="0.25">
      <c r="A32" s="4">
        <v>23</v>
      </c>
      <c r="B32" s="4">
        <v>14837</v>
      </c>
      <c r="C32" s="5" t="s">
        <v>87</v>
      </c>
      <c r="D32" s="5" t="s">
        <v>88</v>
      </c>
      <c r="E32" s="24" t="s">
        <v>7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F32" s="47">
        <v>23</v>
      </c>
      <c r="AG32" s="48" t="s">
        <v>1041</v>
      </c>
      <c r="AH32" s="49" t="s">
        <v>88</v>
      </c>
      <c r="AI32" s="50" t="s">
        <v>7</v>
      </c>
    </row>
    <row r="33" spans="1:35" ht="20.100000000000001" customHeight="1" x14ac:dyDescent="0.25">
      <c r="A33" s="4">
        <v>24</v>
      </c>
      <c r="B33" s="4">
        <v>14842</v>
      </c>
      <c r="C33" s="5" t="s">
        <v>772</v>
      </c>
      <c r="D33" s="5" t="s">
        <v>331</v>
      </c>
      <c r="E33" s="24" t="s">
        <v>8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F33" s="47">
        <v>24</v>
      </c>
      <c r="AG33" s="48" t="s">
        <v>1042</v>
      </c>
      <c r="AH33" s="49" t="s">
        <v>331</v>
      </c>
      <c r="AI33" s="50" t="s">
        <v>8</v>
      </c>
    </row>
    <row r="34" spans="1:35" ht="20.100000000000001" customHeight="1" x14ac:dyDescent="0.25">
      <c r="A34" s="4">
        <v>25</v>
      </c>
      <c r="B34" s="4">
        <v>14846</v>
      </c>
      <c r="C34" s="5" t="s">
        <v>186</v>
      </c>
      <c r="D34" s="5" t="s">
        <v>751</v>
      </c>
      <c r="E34" s="24" t="s">
        <v>7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F34" s="47">
        <v>25</v>
      </c>
      <c r="AG34" s="48" t="s">
        <v>1043</v>
      </c>
      <c r="AH34" s="49" t="s">
        <v>187</v>
      </c>
      <c r="AI34" s="50" t="s">
        <v>7</v>
      </c>
    </row>
    <row r="35" spans="1:35" ht="20.100000000000001" customHeight="1" x14ac:dyDescent="0.25">
      <c r="A35" s="4">
        <v>26</v>
      </c>
      <c r="B35" s="4">
        <v>14859</v>
      </c>
      <c r="C35" s="5" t="s">
        <v>655</v>
      </c>
      <c r="D35" s="5" t="s">
        <v>656</v>
      </c>
      <c r="E35" s="24" t="s">
        <v>7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F35" s="47">
        <v>26</v>
      </c>
      <c r="AG35" s="48" t="s">
        <v>1044</v>
      </c>
      <c r="AH35" s="49" t="s">
        <v>656</v>
      </c>
      <c r="AI35" s="50" t="s">
        <v>7</v>
      </c>
    </row>
    <row r="36" spans="1:35" ht="20.100000000000001" customHeight="1" x14ac:dyDescent="0.25">
      <c r="A36" s="4">
        <v>27</v>
      </c>
      <c r="B36" s="4">
        <v>14873</v>
      </c>
      <c r="C36" s="5" t="s">
        <v>363</v>
      </c>
      <c r="D36" s="5" t="s">
        <v>788</v>
      </c>
      <c r="E36" s="24" t="s">
        <v>8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F36" s="47">
        <v>27</v>
      </c>
      <c r="AG36" s="48" t="s">
        <v>1045</v>
      </c>
      <c r="AH36" s="49" t="s">
        <v>788</v>
      </c>
      <c r="AI36" s="50" t="s">
        <v>8</v>
      </c>
    </row>
    <row r="37" spans="1:35" ht="20.100000000000001" customHeight="1" x14ac:dyDescent="0.25">
      <c r="A37" s="4">
        <v>28</v>
      </c>
      <c r="B37" s="4">
        <v>14878</v>
      </c>
      <c r="C37" s="9" t="s">
        <v>831</v>
      </c>
      <c r="D37" s="5" t="s">
        <v>146</v>
      </c>
      <c r="E37" s="24" t="s">
        <v>8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F37" s="47">
        <v>28</v>
      </c>
      <c r="AG37" s="48" t="s">
        <v>1046</v>
      </c>
      <c r="AH37" s="49" t="s">
        <v>146</v>
      </c>
      <c r="AI37" s="50" t="s">
        <v>8</v>
      </c>
    </row>
    <row r="38" spans="1:35" ht="20.100000000000001" customHeight="1" x14ac:dyDescent="0.25">
      <c r="A38" s="4">
        <v>29</v>
      </c>
      <c r="B38" s="4">
        <v>14880</v>
      </c>
      <c r="C38" s="5" t="s">
        <v>493</v>
      </c>
      <c r="D38" s="5" t="s">
        <v>494</v>
      </c>
      <c r="E38" s="24" t="s">
        <v>7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F38" s="47">
        <v>29</v>
      </c>
      <c r="AG38" s="48" t="s">
        <v>1047</v>
      </c>
      <c r="AH38" s="49" t="s">
        <v>494</v>
      </c>
      <c r="AI38" s="50" t="s">
        <v>7</v>
      </c>
    </row>
    <row r="39" spans="1:35" ht="20.100000000000001" customHeight="1" x14ac:dyDescent="0.25">
      <c r="A39" s="4">
        <v>30</v>
      </c>
      <c r="B39" s="4">
        <v>14892</v>
      </c>
      <c r="C39" s="5" t="s">
        <v>481</v>
      </c>
      <c r="D39" s="5" t="s">
        <v>482</v>
      </c>
      <c r="E39" s="24" t="s">
        <v>7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F39" s="47">
        <v>30</v>
      </c>
      <c r="AG39" s="48" t="s">
        <v>1048</v>
      </c>
      <c r="AH39" s="49" t="s">
        <v>482</v>
      </c>
      <c r="AI39" s="50" t="s">
        <v>7</v>
      </c>
    </row>
    <row r="40" spans="1:35" ht="20.100000000000001" customHeight="1" x14ac:dyDescent="0.25">
      <c r="A40" s="4">
        <v>31</v>
      </c>
      <c r="B40" s="4">
        <v>14918</v>
      </c>
      <c r="C40" s="5" t="s">
        <v>190</v>
      </c>
      <c r="D40" s="5" t="s">
        <v>191</v>
      </c>
      <c r="E40" s="24" t="s">
        <v>7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F40" s="47">
        <v>31</v>
      </c>
      <c r="AG40" s="48" t="s">
        <v>1049</v>
      </c>
      <c r="AH40" s="49" t="s">
        <v>191</v>
      </c>
      <c r="AI40" s="50" t="s">
        <v>7</v>
      </c>
    </row>
    <row r="41" spans="1:35" ht="20.100000000000001" customHeight="1" x14ac:dyDescent="0.25">
      <c r="A41" s="4">
        <v>32</v>
      </c>
      <c r="B41" s="4">
        <v>14922</v>
      </c>
      <c r="C41" s="5" t="s">
        <v>289</v>
      </c>
      <c r="D41" s="5" t="s">
        <v>290</v>
      </c>
      <c r="E41" s="24" t="s">
        <v>7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F41" s="47">
        <v>32</v>
      </c>
      <c r="AG41" s="48" t="s">
        <v>1050</v>
      </c>
      <c r="AH41" s="49" t="s">
        <v>290</v>
      </c>
      <c r="AI41" s="50" t="s">
        <v>7</v>
      </c>
    </row>
    <row r="42" spans="1:35" ht="20.100000000000001" customHeight="1" x14ac:dyDescent="0.25">
      <c r="A42" s="4">
        <v>33</v>
      </c>
      <c r="B42" s="4">
        <v>14924</v>
      </c>
      <c r="C42" s="5" t="s">
        <v>147</v>
      </c>
      <c r="D42" s="5" t="s">
        <v>9</v>
      </c>
      <c r="E42" s="24" t="s">
        <v>7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F42" s="47">
        <v>33</v>
      </c>
      <c r="AG42" s="48" t="s">
        <v>1051</v>
      </c>
      <c r="AH42" s="49" t="s">
        <v>148</v>
      </c>
      <c r="AI42" s="50" t="s">
        <v>7</v>
      </c>
    </row>
    <row r="43" spans="1:35" ht="20.100000000000001" customHeight="1" x14ac:dyDescent="0.25">
      <c r="A43" s="4">
        <v>34</v>
      </c>
      <c r="B43" s="4">
        <v>14944</v>
      </c>
      <c r="C43" s="5" t="s">
        <v>578</v>
      </c>
      <c r="D43" s="5" t="s">
        <v>579</v>
      </c>
      <c r="E43" s="24" t="s">
        <v>7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F43" s="47">
        <v>34</v>
      </c>
      <c r="AG43" s="48" t="s">
        <v>1052</v>
      </c>
      <c r="AH43" s="49" t="s">
        <v>806</v>
      </c>
      <c r="AI43" s="50" t="s">
        <v>7</v>
      </c>
    </row>
    <row r="44" spans="1:35" ht="20.100000000000001" customHeight="1" x14ac:dyDescent="0.25">
      <c r="A44" s="4">
        <v>35</v>
      </c>
      <c r="B44" s="4">
        <v>14948</v>
      </c>
      <c r="C44" s="9" t="s">
        <v>805</v>
      </c>
      <c r="D44" s="5" t="s">
        <v>806</v>
      </c>
      <c r="E44" s="24" t="s">
        <v>7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F44" s="47">
        <v>35</v>
      </c>
      <c r="AG44" s="48" t="s">
        <v>1053</v>
      </c>
      <c r="AH44" s="49" t="s">
        <v>639</v>
      </c>
      <c r="AI44" s="50" t="s">
        <v>7</v>
      </c>
    </row>
    <row r="45" spans="1:35" ht="20.100000000000001" customHeight="1" x14ac:dyDescent="0.25">
      <c r="A45" s="4">
        <v>36</v>
      </c>
      <c r="B45" s="4">
        <v>14941</v>
      </c>
      <c r="C45" s="9" t="s">
        <v>638</v>
      </c>
      <c r="D45" s="5" t="s">
        <v>639</v>
      </c>
      <c r="E45" s="24" t="s">
        <v>7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F45" s="47">
        <v>36</v>
      </c>
      <c r="AG45" s="48" t="s">
        <v>1054</v>
      </c>
      <c r="AH45" s="49" t="s">
        <v>579</v>
      </c>
      <c r="AI45" s="50" t="s">
        <v>7</v>
      </c>
    </row>
    <row r="46" spans="1:35" x14ac:dyDescent="0.25">
      <c r="A46" s="65" t="s">
        <v>10</v>
      </c>
      <c r="B46" s="65"/>
      <c r="C46" s="65"/>
      <c r="D46" s="10" t="s">
        <v>11</v>
      </c>
      <c r="E46" s="8">
        <f>COUNTIFS($E$10:$E$45,"L")</f>
        <v>16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spans="1:35" x14ac:dyDescent="0.25">
      <c r="A47" s="65" t="s">
        <v>12</v>
      </c>
      <c r="B47" s="65"/>
      <c r="C47" s="65"/>
      <c r="D47" s="10" t="s">
        <v>13</v>
      </c>
      <c r="E47" s="8">
        <f>COUNTIFS($E$10:$E$45,"P")</f>
        <v>20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spans="1:35" x14ac:dyDescent="0.25">
      <c r="A48" s="1"/>
      <c r="B48" s="1"/>
      <c r="C48" s="2"/>
      <c r="E48">
        <f>E46+E47</f>
        <v>36</v>
      </c>
    </row>
  </sheetData>
  <sortState xmlns:xlrd2="http://schemas.microsoft.com/office/spreadsheetml/2017/richdata2" ref="B10:E43">
    <sortCondition ref="D10:D43"/>
  </sortState>
  <mergeCells count="16">
    <mergeCell ref="A1:AC1"/>
    <mergeCell ref="A2:AC2"/>
    <mergeCell ref="A3:AC3"/>
    <mergeCell ref="A4:AC4"/>
    <mergeCell ref="A7:A9"/>
    <mergeCell ref="C7:C9"/>
    <mergeCell ref="D7:D9"/>
    <mergeCell ref="E7:E9"/>
    <mergeCell ref="F7:H7"/>
    <mergeCell ref="B7:B9"/>
    <mergeCell ref="F8:AC8"/>
    <mergeCell ref="A46:C46"/>
    <mergeCell ref="A47:C47"/>
    <mergeCell ref="I7:S7"/>
    <mergeCell ref="T7:U7"/>
    <mergeCell ref="V7:AC7"/>
  </mergeCells>
  <conditionalFormatting sqref="D10:D11 D30:D31 D13:D28 D33:D42">
    <cfRule type="colorScale" priority="8">
      <colorScale>
        <cfvo type="min"/>
        <cfvo type="max"/>
        <color rgb="FFFCFCFF"/>
        <color rgb="FF63BE7B"/>
      </colorScale>
    </cfRule>
    <cfRule type="duplicateValues" dxfId="679" priority="9"/>
  </conditionalFormatting>
  <conditionalFormatting sqref="D12">
    <cfRule type="colorScale" priority="4">
      <colorScale>
        <cfvo type="min"/>
        <cfvo type="max"/>
        <color rgb="FFFCFCFF"/>
        <color rgb="FF63BE7B"/>
      </colorScale>
    </cfRule>
    <cfRule type="duplicateValues" dxfId="678" priority="5"/>
  </conditionalFormatting>
  <conditionalFormatting sqref="D29">
    <cfRule type="colorScale" priority="10">
      <colorScale>
        <cfvo type="min"/>
        <cfvo type="max"/>
        <color rgb="FFFCFCFF"/>
        <color rgb="FF63BE7B"/>
      </colorScale>
    </cfRule>
    <cfRule type="duplicateValues" dxfId="677" priority="11"/>
  </conditionalFormatting>
  <conditionalFormatting sqref="D32">
    <cfRule type="colorScale" priority="2">
      <colorScale>
        <cfvo type="min"/>
        <cfvo type="max"/>
        <color rgb="FFFCFCFF"/>
        <color rgb="FF63BE7B"/>
      </colorScale>
    </cfRule>
    <cfRule type="duplicateValues" dxfId="676" priority="3"/>
  </conditionalFormatting>
  <conditionalFormatting sqref="D43">
    <cfRule type="colorScale" priority="6">
      <colorScale>
        <cfvo type="min"/>
        <cfvo type="max"/>
        <color rgb="FFFCFCFF"/>
        <color rgb="FF63BE7B"/>
      </colorScale>
    </cfRule>
    <cfRule type="duplicateValues" dxfId="675" priority="7"/>
  </conditionalFormatting>
  <conditionalFormatting sqref="D44:D45">
    <cfRule type="colorScale" priority="38">
      <colorScale>
        <cfvo type="min"/>
        <cfvo type="max"/>
        <color rgb="FFFCFCFF"/>
        <color rgb="FF63BE7B"/>
      </colorScale>
    </cfRule>
    <cfRule type="duplicateValues" dxfId="674" priority="39"/>
  </conditionalFormatting>
  <conditionalFormatting sqref="AH10:AH45">
    <cfRule type="expression" dxfId="673" priority="1">
      <formula>AH10&lt;&gt;D10</formula>
    </cfRule>
  </conditionalFormatting>
  <pageMargins left="0.23622047244094491" right="0.15748031496062992" top="0.47244094488188981" bottom="0.74803149606299213" header="0.31496062992125984" footer="0.31496062992125984"/>
  <pageSetup paperSize="5" scale="85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U49"/>
  <sheetViews>
    <sheetView workbookViewId="0">
      <selection activeCell="F8" sqref="F8:AC8"/>
    </sheetView>
  </sheetViews>
  <sheetFormatPr defaultColWidth="3.28515625" defaultRowHeight="15" x14ac:dyDescent="0.25"/>
  <cols>
    <col min="1" max="1" width="4.5703125" bestFit="1" customWidth="1"/>
    <col min="2" max="2" width="6.140625" customWidth="1"/>
    <col min="3" max="3" width="11" bestFit="1" customWidth="1"/>
    <col min="4" max="4" width="30.7109375" customWidth="1"/>
    <col min="5" max="5" width="3.7109375" bestFit="1" customWidth="1"/>
    <col min="6" max="29" width="2.7109375" customWidth="1"/>
    <col min="32" max="42" width="0" hidden="1" customWidth="1"/>
    <col min="43" max="43" width="4.5703125" hidden="1" customWidth="1"/>
    <col min="45" max="45" width="17.85546875" bestFit="1" customWidth="1"/>
    <col min="46" max="46" width="38.7109375" bestFit="1" customWidth="1"/>
  </cols>
  <sheetData>
    <row r="1" spans="1:47" x14ac:dyDescent="0.25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</row>
    <row r="2" spans="1:47" ht="21.75" customHeight="1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F2" s="15" t="s">
        <v>726</v>
      </c>
      <c r="AG2" t="s">
        <v>487</v>
      </c>
      <c r="AH2">
        <v>20527197</v>
      </c>
      <c r="AI2" t="s">
        <v>488</v>
      </c>
      <c r="AJ2" t="s">
        <v>8</v>
      </c>
    </row>
    <row r="3" spans="1:47" ht="20.25" customHeight="1" x14ac:dyDescent="0.25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F3" s="15" t="s">
        <v>726</v>
      </c>
      <c r="AG3" t="s">
        <v>414</v>
      </c>
      <c r="AH3">
        <v>20583410</v>
      </c>
      <c r="AI3" t="s">
        <v>415</v>
      </c>
      <c r="AJ3" t="s">
        <v>7</v>
      </c>
    </row>
    <row r="4" spans="1:47" ht="21" x14ac:dyDescent="0.35">
      <c r="A4" s="55" t="s">
        <v>1209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F4" s="18" t="s">
        <v>371</v>
      </c>
      <c r="AG4" t="s">
        <v>224</v>
      </c>
      <c r="AH4">
        <v>20527197</v>
      </c>
      <c r="AI4" t="s">
        <v>225</v>
      </c>
      <c r="AJ4" t="s">
        <v>7</v>
      </c>
    </row>
    <row r="5" spans="1:47" x14ac:dyDescent="0.25">
      <c r="A5" s="1"/>
      <c r="B5" s="1"/>
      <c r="C5" s="2"/>
      <c r="P5" s="11"/>
      <c r="AF5" s="15" t="s">
        <v>726</v>
      </c>
      <c r="AG5" t="s">
        <v>641</v>
      </c>
      <c r="AH5">
        <v>20527197</v>
      </c>
      <c r="AI5" t="s">
        <v>642</v>
      </c>
      <c r="AJ5" t="s">
        <v>7</v>
      </c>
    </row>
    <row r="6" spans="1:47" ht="3.75" customHeight="1" x14ac:dyDescent="0.25">
      <c r="A6" s="1"/>
      <c r="B6" s="1"/>
      <c r="C6" s="2"/>
      <c r="AF6" s="15" t="s">
        <v>726</v>
      </c>
      <c r="AG6" t="s">
        <v>513</v>
      </c>
      <c r="AH6">
        <v>20527197</v>
      </c>
      <c r="AI6" t="s">
        <v>514</v>
      </c>
      <c r="AJ6" t="s">
        <v>7</v>
      </c>
    </row>
    <row r="7" spans="1:47" x14ac:dyDescent="0.25">
      <c r="A7" s="56" t="s">
        <v>0</v>
      </c>
      <c r="B7" s="57" t="s">
        <v>803</v>
      </c>
      <c r="C7" s="57" t="s">
        <v>1</v>
      </c>
      <c r="D7" s="56" t="s">
        <v>2</v>
      </c>
      <c r="E7" s="58" t="s">
        <v>3</v>
      </c>
      <c r="F7" s="59" t="s">
        <v>4</v>
      </c>
      <c r="G7" s="60"/>
      <c r="H7" s="61"/>
      <c r="I7" s="70" t="s">
        <v>777</v>
      </c>
      <c r="J7" s="71"/>
      <c r="K7" s="71"/>
      <c r="L7" s="71"/>
      <c r="M7" s="71"/>
      <c r="N7" s="71"/>
      <c r="O7" s="71"/>
      <c r="P7" s="71"/>
      <c r="Q7" s="71"/>
      <c r="R7" s="71"/>
      <c r="S7" s="72"/>
      <c r="T7" s="65" t="s">
        <v>5</v>
      </c>
      <c r="U7" s="65"/>
      <c r="V7" s="69" t="s">
        <v>818</v>
      </c>
      <c r="W7" s="69"/>
      <c r="X7" s="69"/>
      <c r="Y7" s="69"/>
      <c r="Z7" s="69"/>
      <c r="AA7" s="69"/>
      <c r="AB7" s="69"/>
      <c r="AC7" s="69"/>
      <c r="AF7" s="15" t="s">
        <v>726</v>
      </c>
      <c r="AG7" t="s">
        <v>683</v>
      </c>
      <c r="AH7">
        <v>20566545</v>
      </c>
      <c r="AI7" t="s">
        <v>684</v>
      </c>
      <c r="AJ7" t="s">
        <v>8</v>
      </c>
    </row>
    <row r="8" spans="1:47" x14ac:dyDescent="0.25">
      <c r="A8" s="56"/>
      <c r="B8" s="57"/>
      <c r="C8" s="57"/>
      <c r="D8" s="56"/>
      <c r="E8" s="58"/>
      <c r="F8" s="62" t="s">
        <v>1214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4"/>
      <c r="AF8" s="17" t="s">
        <v>197</v>
      </c>
      <c r="AG8" t="s">
        <v>161</v>
      </c>
      <c r="AH8">
        <v>20527180</v>
      </c>
      <c r="AI8" t="s">
        <v>162</v>
      </c>
      <c r="AJ8" t="s">
        <v>8</v>
      </c>
    </row>
    <row r="9" spans="1:47" x14ac:dyDescent="0.25">
      <c r="A9" s="56"/>
      <c r="B9" s="57"/>
      <c r="C9" s="57"/>
      <c r="D9" s="56"/>
      <c r="E9" s="58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F9" s="12" t="s">
        <v>61</v>
      </c>
      <c r="AG9" t="s">
        <v>59</v>
      </c>
      <c r="AH9">
        <v>20527197</v>
      </c>
      <c r="AI9" t="s">
        <v>60</v>
      </c>
      <c r="AJ9" t="s">
        <v>8</v>
      </c>
    </row>
    <row r="10" spans="1:47" ht="20.100000000000001" customHeight="1" x14ac:dyDescent="0.25">
      <c r="A10" s="4">
        <v>1</v>
      </c>
      <c r="B10" s="4">
        <v>14592</v>
      </c>
      <c r="C10" s="9" t="s">
        <v>487</v>
      </c>
      <c r="D10" s="5" t="s">
        <v>488</v>
      </c>
      <c r="E10" s="24" t="s">
        <v>8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R10" s="47">
        <v>1</v>
      </c>
      <c r="AS10" s="48" t="s">
        <v>1055</v>
      </c>
      <c r="AT10" s="49" t="s">
        <v>1056</v>
      </c>
      <c r="AU10" s="50" t="s">
        <v>8</v>
      </c>
    </row>
    <row r="11" spans="1:47" ht="20.100000000000001" customHeight="1" x14ac:dyDescent="0.25">
      <c r="A11" s="4">
        <v>2</v>
      </c>
      <c r="B11" s="4">
        <v>14598</v>
      </c>
      <c r="C11" s="9" t="s">
        <v>519</v>
      </c>
      <c r="D11" s="5" t="s">
        <v>520</v>
      </c>
      <c r="E11" s="24" t="s">
        <v>7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R11" s="47">
        <v>2</v>
      </c>
      <c r="AS11" s="48" t="s">
        <v>1057</v>
      </c>
      <c r="AT11" s="49" t="s">
        <v>520</v>
      </c>
      <c r="AU11" s="50" t="s">
        <v>7</v>
      </c>
    </row>
    <row r="12" spans="1:47" ht="20.100000000000001" customHeight="1" x14ac:dyDescent="0.25">
      <c r="A12" s="4">
        <v>3</v>
      </c>
      <c r="B12" s="4">
        <v>14599</v>
      </c>
      <c r="C12" s="5" t="s">
        <v>374</v>
      </c>
      <c r="D12" s="5" t="s">
        <v>375</v>
      </c>
      <c r="E12" s="24" t="s">
        <v>7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R12" s="47">
        <v>3</v>
      </c>
      <c r="AS12" s="48" t="s">
        <v>1058</v>
      </c>
      <c r="AT12" s="49" t="s">
        <v>375</v>
      </c>
      <c r="AU12" s="50" t="s">
        <v>7</v>
      </c>
    </row>
    <row r="13" spans="1:47" ht="20.100000000000001" customHeight="1" x14ac:dyDescent="0.25">
      <c r="A13" s="4">
        <v>4</v>
      </c>
      <c r="B13" s="4">
        <v>14604</v>
      </c>
      <c r="C13" s="5" t="s">
        <v>202</v>
      </c>
      <c r="D13" s="5" t="s">
        <v>203</v>
      </c>
      <c r="E13" s="24" t="s">
        <v>8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R13" s="47">
        <v>4</v>
      </c>
      <c r="AS13" s="48" t="s">
        <v>1059</v>
      </c>
      <c r="AT13" s="49" t="s">
        <v>203</v>
      </c>
      <c r="AU13" s="50" t="s">
        <v>8</v>
      </c>
    </row>
    <row r="14" spans="1:47" ht="20.100000000000001" customHeight="1" x14ac:dyDescent="0.25">
      <c r="A14" s="4">
        <v>5</v>
      </c>
      <c r="B14" s="4">
        <v>14607</v>
      </c>
      <c r="C14" s="5" t="s">
        <v>285</v>
      </c>
      <c r="D14" s="5" t="s">
        <v>733</v>
      </c>
      <c r="E14" s="24" t="s">
        <v>8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R14" s="47">
        <v>5</v>
      </c>
      <c r="AS14" s="48" t="s">
        <v>1060</v>
      </c>
      <c r="AT14" s="49" t="s">
        <v>286</v>
      </c>
      <c r="AU14" s="50" t="s">
        <v>8</v>
      </c>
    </row>
    <row r="15" spans="1:47" ht="20.100000000000001" customHeight="1" x14ac:dyDescent="0.25">
      <c r="A15" s="44">
        <v>6</v>
      </c>
      <c r="B15" s="44">
        <v>15304</v>
      </c>
      <c r="C15" s="9" t="s">
        <v>825</v>
      </c>
      <c r="D15" s="5" t="s">
        <v>826</v>
      </c>
      <c r="E15" s="24" t="s">
        <v>8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R15" s="47">
        <v>6</v>
      </c>
      <c r="AS15" s="48" t="s">
        <v>1061</v>
      </c>
      <c r="AT15" s="49" t="s">
        <v>1062</v>
      </c>
      <c r="AU15" s="50" t="s">
        <v>8</v>
      </c>
    </row>
    <row r="16" spans="1:47" ht="20.100000000000001" customHeight="1" x14ac:dyDescent="0.25">
      <c r="A16" s="4">
        <v>7</v>
      </c>
      <c r="B16" s="4">
        <v>14615</v>
      </c>
      <c r="C16" s="9" t="s">
        <v>334</v>
      </c>
      <c r="D16" s="5" t="s">
        <v>786</v>
      </c>
      <c r="E16" s="24" t="s">
        <v>8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R16" s="47">
        <v>7</v>
      </c>
      <c r="AS16" s="48" t="s">
        <v>1063</v>
      </c>
      <c r="AT16" s="49" t="s">
        <v>786</v>
      </c>
      <c r="AU16" s="50" t="s">
        <v>8</v>
      </c>
    </row>
    <row r="17" spans="1:47" ht="20.100000000000001" customHeight="1" x14ac:dyDescent="0.25">
      <c r="A17" s="4">
        <v>8</v>
      </c>
      <c r="B17" s="4">
        <v>14617</v>
      </c>
      <c r="C17" s="5" t="s">
        <v>230</v>
      </c>
      <c r="D17" s="5" t="s">
        <v>758</v>
      </c>
      <c r="E17" s="24" t="s">
        <v>8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R17" s="47">
        <v>8</v>
      </c>
      <c r="AS17" s="48" t="s">
        <v>1064</v>
      </c>
      <c r="AT17" s="49" t="s">
        <v>231</v>
      </c>
      <c r="AU17" s="50" t="s">
        <v>8</v>
      </c>
    </row>
    <row r="18" spans="1:47" ht="20.100000000000001" customHeight="1" x14ac:dyDescent="0.25">
      <c r="A18" s="4">
        <v>9</v>
      </c>
      <c r="B18" s="4">
        <v>14619</v>
      </c>
      <c r="C18" s="5" t="s">
        <v>606</v>
      </c>
      <c r="D18" s="5" t="s">
        <v>607</v>
      </c>
      <c r="E18" s="24" t="s">
        <v>8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R18" s="47">
        <v>9</v>
      </c>
      <c r="AS18" s="48" t="s">
        <v>1065</v>
      </c>
      <c r="AT18" s="49" t="s">
        <v>607</v>
      </c>
      <c r="AU18" s="50" t="s">
        <v>8</v>
      </c>
    </row>
    <row r="19" spans="1:47" ht="20.100000000000001" customHeight="1" x14ac:dyDescent="0.25">
      <c r="A19" s="4">
        <v>10</v>
      </c>
      <c r="B19" s="4">
        <v>14621</v>
      </c>
      <c r="C19" s="5" t="s">
        <v>681</v>
      </c>
      <c r="D19" s="5" t="s">
        <v>682</v>
      </c>
      <c r="E19" s="24" t="s">
        <v>7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R19" s="47">
        <v>10</v>
      </c>
      <c r="AS19" s="48" t="s">
        <v>1066</v>
      </c>
      <c r="AT19" s="49" t="s">
        <v>682</v>
      </c>
      <c r="AU19" s="50" t="s">
        <v>7</v>
      </c>
    </row>
    <row r="20" spans="1:47" ht="20.100000000000001" customHeight="1" x14ac:dyDescent="0.25">
      <c r="A20" s="4">
        <v>11</v>
      </c>
      <c r="B20" s="4">
        <v>14636</v>
      </c>
      <c r="C20" s="5" t="s">
        <v>224</v>
      </c>
      <c r="D20" s="23" t="s">
        <v>225</v>
      </c>
      <c r="E20" s="24" t="s">
        <v>7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R20" s="47">
        <v>11</v>
      </c>
      <c r="AS20" s="48" t="s">
        <v>1067</v>
      </c>
      <c r="AT20" s="49" t="s">
        <v>225</v>
      </c>
      <c r="AU20" s="50" t="s">
        <v>7</v>
      </c>
    </row>
    <row r="21" spans="1:47" ht="20.100000000000001" customHeight="1" x14ac:dyDescent="0.25">
      <c r="A21" s="4">
        <v>12</v>
      </c>
      <c r="B21" s="8">
        <v>14644</v>
      </c>
      <c r="C21" s="36" t="s">
        <v>710</v>
      </c>
      <c r="D21" s="8" t="s">
        <v>711</v>
      </c>
      <c r="E21" s="7" t="s">
        <v>8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R21" s="47">
        <v>12</v>
      </c>
      <c r="AS21" s="48" t="s">
        <v>1068</v>
      </c>
      <c r="AT21" s="49" t="s">
        <v>377</v>
      </c>
      <c r="AU21" s="50" t="s">
        <v>7</v>
      </c>
    </row>
    <row r="22" spans="1:47" ht="20.100000000000001" customHeight="1" x14ac:dyDescent="0.25">
      <c r="A22" s="4">
        <v>13</v>
      </c>
      <c r="B22" s="4">
        <v>14648</v>
      </c>
      <c r="C22" s="5" t="s">
        <v>376</v>
      </c>
      <c r="D22" s="5" t="s">
        <v>377</v>
      </c>
      <c r="E22" s="24" t="s">
        <v>7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R22" s="47">
        <v>13</v>
      </c>
      <c r="AS22" s="48" t="s">
        <v>1069</v>
      </c>
      <c r="AT22" s="49" t="s">
        <v>277</v>
      </c>
      <c r="AU22" s="50" t="s">
        <v>8</v>
      </c>
    </row>
    <row r="23" spans="1:47" ht="20.100000000000001" customHeight="1" x14ac:dyDescent="0.25">
      <c r="A23" s="4">
        <v>14</v>
      </c>
      <c r="B23" s="4">
        <v>14658</v>
      </c>
      <c r="C23" s="5" t="s">
        <v>232</v>
      </c>
      <c r="D23" s="5" t="s">
        <v>233</v>
      </c>
      <c r="E23" s="24" t="s">
        <v>8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R23" s="47">
        <v>14</v>
      </c>
      <c r="AS23" s="48" t="s">
        <v>1070</v>
      </c>
      <c r="AT23" s="49" t="s">
        <v>233</v>
      </c>
      <c r="AU23" s="50" t="s">
        <v>8</v>
      </c>
    </row>
    <row r="24" spans="1:47" ht="20.100000000000001" customHeight="1" x14ac:dyDescent="0.25">
      <c r="A24" s="4">
        <v>15</v>
      </c>
      <c r="B24" s="4">
        <v>14666</v>
      </c>
      <c r="C24" s="5" t="s">
        <v>344</v>
      </c>
      <c r="D24" s="5" t="s">
        <v>345</v>
      </c>
      <c r="E24" s="24" t="s">
        <v>7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R24" s="47">
        <v>15</v>
      </c>
      <c r="AS24" s="48" t="s">
        <v>1071</v>
      </c>
      <c r="AT24" s="49" t="s">
        <v>345</v>
      </c>
      <c r="AU24" s="50" t="s">
        <v>7</v>
      </c>
    </row>
    <row r="25" spans="1:47" ht="20.100000000000001" customHeight="1" x14ac:dyDescent="0.25">
      <c r="A25" s="4">
        <v>16</v>
      </c>
      <c r="B25" s="4">
        <v>14667</v>
      </c>
      <c r="C25" s="5" t="s">
        <v>262</v>
      </c>
      <c r="D25" s="5" t="s">
        <v>263</v>
      </c>
      <c r="E25" s="24" t="s">
        <v>7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R25" s="47">
        <v>16</v>
      </c>
      <c r="AS25" s="48" t="s">
        <v>1072</v>
      </c>
      <c r="AT25" s="49" t="s">
        <v>263</v>
      </c>
      <c r="AU25" s="50" t="s">
        <v>7</v>
      </c>
    </row>
    <row r="26" spans="1:47" ht="20.100000000000001" customHeight="1" x14ac:dyDescent="0.25">
      <c r="A26" s="4">
        <v>17</v>
      </c>
      <c r="B26" s="4">
        <v>14673</v>
      </c>
      <c r="C26" s="9" t="s">
        <v>278</v>
      </c>
      <c r="D26" s="5" t="s">
        <v>279</v>
      </c>
      <c r="E26" s="24" t="s">
        <v>7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R26" s="47">
        <v>17</v>
      </c>
      <c r="AS26" s="48" t="s">
        <v>1073</v>
      </c>
      <c r="AT26" s="49" t="s">
        <v>279</v>
      </c>
      <c r="AU26" s="50" t="s">
        <v>7</v>
      </c>
    </row>
    <row r="27" spans="1:47" ht="20.100000000000001" customHeight="1" x14ac:dyDescent="0.25">
      <c r="A27" s="4">
        <v>18</v>
      </c>
      <c r="B27" s="4">
        <v>14725</v>
      </c>
      <c r="C27" s="5" t="s">
        <v>34</v>
      </c>
      <c r="D27" s="5" t="s">
        <v>35</v>
      </c>
      <c r="E27" s="24" t="s">
        <v>7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R27" s="47">
        <v>18</v>
      </c>
      <c r="AS27" s="48" t="s">
        <v>1074</v>
      </c>
      <c r="AT27" s="49" t="s">
        <v>35</v>
      </c>
      <c r="AU27" s="50" t="s">
        <v>7</v>
      </c>
    </row>
    <row r="28" spans="1:47" ht="20.100000000000001" customHeight="1" x14ac:dyDescent="0.25">
      <c r="A28" s="4">
        <v>19</v>
      </c>
      <c r="B28" s="4">
        <v>14738</v>
      </c>
      <c r="C28" s="5" t="s">
        <v>503</v>
      </c>
      <c r="D28" s="5" t="s">
        <v>504</v>
      </c>
      <c r="E28" s="24" t="s">
        <v>7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R28" s="47">
        <v>19</v>
      </c>
      <c r="AS28" s="48" t="s">
        <v>1075</v>
      </c>
      <c r="AT28" s="49" t="s">
        <v>504</v>
      </c>
      <c r="AU28" s="50" t="s">
        <v>7</v>
      </c>
    </row>
    <row r="29" spans="1:47" ht="20.100000000000001" customHeight="1" x14ac:dyDescent="0.25">
      <c r="A29" s="4">
        <v>20</v>
      </c>
      <c r="B29" s="4">
        <v>14748</v>
      </c>
      <c r="C29" s="5" t="s">
        <v>222</v>
      </c>
      <c r="D29" s="5" t="s">
        <v>223</v>
      </c>
      <c r="E29" s="24" t="s">
        <v>7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R29" s="47">
        <v>20</v>
      </c>
      <c r="AS29" s="48" t="s">
        <v>1076</v>
      </c>
      <c r="AT29" s="49" t="s">
        <v>223</v>
      </c>
      <c r="AU29" s="50" t="s">
        <v>7</v>
      </c>
    </row>
    <row r="30" spans="1:47" ht="20.100000000000001" customHeight="1" x14ac:dyDescent="0.25">
      <c r="A30" s="4">
        <v>21</v>
      </c>
      <c r="B30" s="4">
        <v>14766</v>
      </c>
      <c r="C30" s="5" t="s">
        <v>240</v>
      </c>
      <c r="D30" s="5" t="s">
        <v>241</v>
      </c>
      <c r="E30" s="24" t="s">
        <v>7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R30" s="47">
        <v>21</v>
      </c>
      <c r="AS30" s="48" t="s">
        <v>1077</v>
      </c>
      <c r="AT30" s="49" t="s">
        <v>241</v>
      </c>
      <c r="AU30" s="50" t="s">
        <v>7</v>
      </c>
    </row>
    <row r="31" spans="1:47" ht="20.100000000000001" customHeight="1" x14ac:dyDescent="0.25">
      <c r="A31" s="4">
        <v>22</v>
      </c>
      <c r="B31" s="4">
        <v>14773</v>
      </c>
      <c r="C31" s="5" t="s">
        <v>91</v>
      </c>
      <c r="D31" s="5" t="s">
        <v>92</v>
      </c>
      <c r="E31" s="24" t="s">
        <v>7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R31" s="47">
        <v>22</v>
      </c>
      <c r="AS31" s="48" t="s">
        <v>1078</v>
      </c>
      <c r="AT31" s="49" t="s">
        <v>92</v>
      </c>
      <c r="AU31" s="50" t="s">
        <v>7</v>
      </c>
    </row>
    <row r="32" spans="1:47" ht="20.100000000000001" customHeight="1" x14ac:dyDescent="0.25">
      <c r="A32" s="4">
        <v>23</v>
      </c>
      <c r="B32" s="4">
        <v>14786</v>
      </c>
      <c r="C32" s="5" t="s">
        <v>434</v>
      </c>
      <c r="D32" s="5" t="s">
        <v>435</v>
      </c>
      <c r="E32" s="24" t="s">
        <v>8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R32" s="47">
        <v>23</v>
      </c>
      <c r="AS32" s="48" t="s">
        <v>1079</v>
      </c>
      <c r="AT32" s="49" t="s">
        <v>435</v>
      </c>
      <c r="AU32" s="50" t="s">
        <v>8</v>
      </c>
    </row>
    <row r="33" spans="1:47" ht="20.100000000000001" customHeight="1" x14ac:dyDescent="0.25">
      <c r="A33" s="4">
        <v>24</v>
      </c>
      <c r="B33" s="4">
        <v>14810</v>
      </c>
      <c r="C33" s="5" t="s">
        <v>398</v>
      </c>
      <c r="D33" s="5" t="s">
        <v>399</v>
      </c>
      <c r="E33" s="24" t="s">
        <v>8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R33" s="47">
        <v>24</v>
      </c>
      <c r="AS33" s="48" t="s">
        <v>1080</v>
      </c>
      <c r="AT33" s="49" t="s">
        <v>399</v>
      </c>
      <c r="AU33" s="50" t="s">
        <v>8</v>
      </c>
    </row>
    <row r="34" spans="1:47" ht="20.100000000000001" customHeight="1" x14ac:dyDescent="0.25">
      <c r="A34" s="4">
        <v>25</v>
      </c>
      <c r="B34" s="4">
        <v>14812</v>
      </c>
      <c r="C34" s="9" t="s">
        <v>115</v>
      </c>
      <c r="D34" s="23" t="s">
        <v>116</v>
      </c>
      <c r="E34" s="24" t="s">
        <v>8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R34" s="47">
        <v>25</v>
      </c>
      <c r="AS34" s="48" t="s">
        <v>1081</v>
      </c>
      <c r="AT34" s="49" t="s">
        <v>461</v>
      </c>
      <c r="AU34" s="50" t="s">
        <v>8</v>
      </c>
    </row>
    <row r="35" spans="1:47" ht="20.100000000000001" customHeight="1" x14ac:dyDescent="0.25">
      <c r="A35" s="4">
        <v>26</v>
      </c>
      <c r="B35" s="4">
        <v>14814</v>
      </c>
      <c r="C35" s="5" t="s">
        <v>342</v>
      </c>
      <c r="D35" s="5" t="s">
        <v>343</v>
      </c>
      <c r="E35" s="24" t="s">
        <v>8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R35" s="47">
        <v>26</v>
      </c>
      <c r="AS35" s="48" t="s">
        <v>1082</v>
      </c>
      <c r="AT35" s="49" t="s">
        <v>116</v>
      </c>
      <c r="AU35" s="50" t="s">
        <v>8</v>
      </c>
    </row>
    <row r="36" spans="1:47" ht="20.100000000000001" customHeight="1" x14ac:dyDescent="0.25">
      <c r="A36" s="4">
        <v>27</v>
      </c>
      <c r="B36" s="4">
        <v>14816</v>
      </c>
      <c r="C36" s="5" t="s">
        <v>675</v>
      </c>
      <c r="D36" s="5" t="s">
        <v>676</v>
      </c>
      <c r="E36" s="24" t="s">
        <v>8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R36" s="47">
        <v>27</v>
      </c>
      <c r="AS36" s="48" t="s">
        <v>1083</v>
      </c>
      <c r="AT36" s="49" t="s">
        <v>343</v>
      </c>
      <c r="AU36" s="50" t="s">
        <v>8</v>
      </c>
    </row>
    <row r="37" spans="1:47" ht="20.100000000000001" customHeight="1" x14ac:dyDescent="0.25">
      <c r="A37" s="4">
        <v>28</v>
      </c>
      <c r="B37" s="4">
        <v>14844</v>
      </c>
      <c r="C37" s="5" t="s">
        <v>446</v>
      </c>
      <c r="D37" s="5" t="s">
        <v>447</v>
      </c>
      <c r="E37" s="24" t="s">
        <v>7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R37" s="47">
        <v>28</v>
      </c>
      <c r="AS37" s="48" t="s">
        <v>1084</v>
      </c>
      <c r="AT37" s="49" t="s">
        <v>676</v>
      </c>
      <c r="AU37" s="50" t="s">
        <v>8</v>
      </c>
    </row>
    <row r="38" spans="1:47" ht="20.100000000000001" customHeight="1" x14ac:dyDescent="0.25">
      <c r="A38" s="4">
        <v>29</v>
      </c>
      <c r="B38" s="4">
        <v>14845</v>
      </c>
      <c r="C38" s="5" t="s">
        <v>210</v>
      </c>
      <c r="D38" s="5" t="s">
        <v>785</v>
      </c>
      <c r="E38" s="24" t="s">
        <v>8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E38" s="20"/>
      <c r="AF38" s="19"/>
      <c r="AG38" s="7"/>
      <c r="AR38" s="47">
        <v>29</v>
      </c>
      <c r="AS38" s="48" t="s">
        <v>1085</v>
      </c>
      <c r="AT38" s="49" t="s">
        <v>447</v>
      </c>
      <c r="AU38" s="50" t="s">
        <v>7</v>
      </c>
    </row>
    <row r="39" spans="1:47" ht="20.100000000000001" customHeight="1" x14ac:dyDescent="0.25">
      <c r="A39" s="4">
        <v>30</v>
      </c>
      <c r="B39" s="4">
        <v>14857</v>
      </c>
      <c r="C39" s="5" t="s">
        <v>131</v>
      </c>
      <c r="D39" s="5" t="s">
        <v>132</v>
      </c>
      <c r="E39" s="24" t="s">
        <v>7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R39" s="47">
        <v>30</v>
      </c>
      <c r="AS39" s="48" t="s">
        <v>1086</v>
      </c>
      <c r="AT39" s="49" t="s">
        <v>1087</v>
      </c>
      <c r="AU39" s="50" t="s">
        <v>8</v>
      </c>
    </row>
    <row r="40" spans="1:47" ht="20.100000000000001" customHeight="1" x14ac:dyDescent="0.25">
      <c r="A40" s="4">
        <v>31</v>
      </c>
      <c r="B40" s="4">
        <v>14860</v>
      </c>
      <c r="C40" s="5" t="s">
        <v>32</v>
      </c>
      <c r="D40" s="5" t="s">
        <v>33</v>
      </c>
      <c r="E40" s="24" t="s">
        <v>7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R40" s="47">
        <v>31</v>
      </c>
      <c r="AS40" s="48" t="s">
        <v>1088</v>
      </c>
      <c r="AT40" s="49" t="s">
        <v>132</v>
      </c>
      <c r="AU40" s="50" t="s">
        <v>7</v>
      </c>
    </row>
    <row r="41" spans="1:47" ht="20.100000000000001" customHeight="1" x14ac:dyDescent="0.25">
      <c r="A41" s="4">
        <v>32</v>
      </c>
      <c r="B41" s="4">
        <v>14902</v>
      </c>
      <c r="C41" s="5" t="s">
        <v>329</v>
      </c>
      <c r="D41" s="5" t="s">
        <v>330</v>
      </c>
      <c r="E41" s="24" t="s">
        <v>7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R41" s="47">
        <v>32</v>
      </c>
      <c r="AS41" s="48" t="s">
        <v>1089</v>
      </c>
      <c r="AT41" s="49" t="s">
        <v>33</v>
      </c>
      <c r="AU41" s="50" t="s">
        <v>7</v>
      </c>
    </row>
    <row r="42" spans="1:47" ht="20.100000000000001" customHeight="1" x14ac:dyDescent="0.25">
      <c r="A42" s="4">
        <v>33</v>
      </c>
      <c r="B42" s="4">
        <v>14913</v>
      </c>
      <c r="C42" s="5" t="s">
        <v>402</v>
      </c>
      <c r="D42" s="23" t="s">
        <v>403</v>
      </c>
      <c r="E42" s="24" t="s">
        <v>8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R42" s="47">
        <v>33</v>
      </c>
      <c r="AS42" s="48" t="s">
        <v>1090</v>
      </c>
      <c r="AT42" s="49" t="s">
        <v>330</v>
      </c>
      <c r="AU42" s="50" t="s">
        <v>7</v>
      </c>
    </row>
    <row r="43" spans="1:47" ht="20.100000000000001" customHeight="1" x14ac:dyDescent="0.25">
      <c r="A43" s="4">
        <v>34</v>
      </c>
      <c r="B43" s="4">
        <v>14929</v>
      </c>
      <c r="C43" s="5" t="s">
        <v>238</v>
      </c>
      <c r="D43" s="5" t="s">
        <v>239</v>
      </c>
      <c r="E43" s="24" t="s">
        <v>8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E43" s="20"/>
      <c r="AF43" s="21"/>
      <c r="AG43" s="22"/>
      <c r="AR43" s="47">
        <v>34</v>
      </c>
      <c r="AS43" s="48" t="s">
        <v>1091</v>
      </c>
      <c r="AT43" s="49" t="s">
        <v>403</v>
      </c>
      <c r="AU43" s="50" t="s">
        <v>8</v>
      </c>
    </row>
    <row r="44" spans="1:47" ht="20.100000000000001" customHeight="1" x14ac:dyDescent="0.25">
      <c r="A44" s="4">
        <v>35</v>
      </c>
      <c r="B44" s="4">
        <v>14935</v>
      </c>
      <c r="C44" s="5" t="s">
        <v>268</v>
      </c>
      <c r="D44" s="5" t="s">
        <v>269</v>
      </c>
      <c r="E44" s="38" t="s">
        <v>7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R44" s="47">
        <v>35</v>
      </c>
      <c r="AS44" s="48" t="s">
        <v>1092</v>
      </c>
      <c r="AT44" s="49" t="s">
        <v>239</v>
      </c>
      <c r="AU44" s="50" t="s">
        <v>8</v>
      </c>
    </row>
    <row r="45" spans="1:47" ht="20.100000000000001" customHeight="1" x14ac:dyDescent="0.25">
      <c r="A45" s="4"/>
      <c r="B45" s="4"/>
      <c r="C45" s="5"/>
      <c r="D45" s="5"/>
      <c r="E45" s="3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R45" s="47">
        <v>36</v>
      </c>
      <c r="AS45" s="48" t="s">
        <v>1093</v>
      </c>
      <c r="AT45" s="49" t="s">
        <v>269</v>
      </c>
      <c r="AU45" s="50" t="s">
        <v>7</v>
      </c>
    </row>
    <row r="46" spans="1:47" x14ac:dyDescent="0.25">
      <c r="A46" s="34"/>
      <c r="B46" s="4"/>
      <c r="C46" s="5"/>
      <c r="D46" s="5"/>
      <c r="E46" s="3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spans="1:47" x14ac:dyDescent="0.25">
      <c r="A47" s="65" t="s">
        <v>10</v>
      </c>
      <c r="B47" s="65"/>
      <c r="C47" s="65"/>
      <c r="D47" s="10" t="s">
        <v>11</v>
      </c>
      <c r="E47" s="8">
        <f>COUNTIFS($E$10:$E$46,"L")</f>
        <v>17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spans="1:47" x14ac:dyDescent="0.25">
      <c r="A48" s="33" t="s">
        <v>12</v>
      </c>
      <c r="B48" s="33"/>
      <c r="C48" s="33"/>
      <c r="D48" s="10" t="s">
        <v>13</v>
      </c>
      <c r="E48" s="8">
        <f>COUNTIFS($E$10:$E$46,"P")</f>
        <v>18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E48" s="1"/>
      <c r="AF48" s="2"/>
      <c r="AH48">
        <f>E47+E48</f>
        <v>35</v>
      </c>
    </row>
    <row r="49" spans="5:5" x14ac:dyDescent="0.25">
      <c r="E49">
        <f>E47+E48</f>
        <v>35</v>
      </c>
    </row>
  </sheetData>
  <sortState xmlns:xlrd2="http://schemas.microsoft.com/office/spreadsheetml/2017/richdata2" ref="B10:E44">
    <sortCondition ref="D10:D44"/>
  </sortState>
  <mergeCells count="15">
    <mergeCell ref="A1:AC1"/>
    <mergeCell ref="A2:AC2"/>
    <mergeCell ref="A3:AC3"/>
    <mergeCell ref="A4:AC4"/>
    <mergeCell ref="A7:A9"/>
    <mergeCell ref="C7:C9"/>
    <mergeCell ref="D7:D9"/>
    <mergeCell ref="E7:E9"/>
    <mergeCell ref="F7:H7"/>
    <mergeCell ref="B7:B9"/>
    <mergeCell ref="F8:AC8"/>
    <mergeCell ref="A47:C47"/>
    <mergeCell ref="I7:S7"/>
    <mergeCell ref="T7:U7"/>
    <mergeCell ref="V7:AC7"/>
  </mergeCells>
  <conditionalFormatting sqref="D10:D11">
    <cfRule type="colorScale" priority="1154">
      <colorScale>
        <cfvo type="min"/>
        <cfvo type="max"/>
        <color rgb="FFFCFCFF"/>
        <color rgb="FF63BE7B"/>
      </colorScale>
    </cfRule>
    <cfRule type="duplicateValues" dxfId="672" priority="1155"/>
  </conditionalFormatting>
  <conditionalFormatting sqref="D13">
    <cfRule type="colorScale" priority="1150">
      <colorScale>
        <cfvo type="min"/>
        <cfvo type="max"/>
        <color rgb="FFFCFCFF"/>
        <color rgb="FF63BE7B"/>
      </colorScale>
    </cfRule>
    <cfRule type="duplicateValues" dxfId="671" priority="1151"/>
  </conditionalFormatting>
  <conditionalFormatting sqref="D14:D46 D12">
    <cfRule type="colorScale" priority="1148">
      <colorScale>
        <cfvo type="min"/>
        <cfvo type="max"/>
        <color rgb="FFFCFCFF"/>
        <color rgb="FF63BE7B"/>
      </colorScale>
    </cfRule>
    <cfRule type="duplicateValues" dxfId="670" priority="1149"/>
  </conditionalFormatting>
  <conditionalFormatting sqref="D17">
    <cfRule type="colorScale" priority="1114">
      <colorScale>
        <cfvo type="min"/>
        <cfvo type="max"/>
        <color rgb="FFFCFCFF"/>
        <color rgb="FF63BE7B"/>
      </colorScale>
    </cfRule>
    <cfRule type="duplicateValues" dxfId="669" priority="1115"/>
  </conditionalFormatting>
  <conditionalFormatting sqref="D18">
    <cfRule type="colorScale" priority="1134">
      <colorScale>
        <cfvo type="min"/>
        <cfvo type="max"/>
        <color rgb="FFFCFCFF"/>
        <color rgb="FF63BE7B"/>
      </colorScale>
    </cfRule>
    <cfRule type="duplicateValues" dxfId="668" priority="1135"/>
  </conditionalFormatting>
  <conditionalFormatting sqref="D19">
    <cfRule type="colorScale" priority="1046">
      <colorScale>
        <cfvo type="min"/>
        <cfvo type="max"/>
        <color rgb="FFFCFCFF"/>
        <color rgb="FF63BE7B"/>
      </colorScale>
    </cfRule>
    <cfRule type="duplicateValues" dxfId="667" priority="1047"/>
  </conditionalFormatting>
  <conditionalFormatting sqref="D20">
    <cfRule type="colorScale" priority="1064">
      <colorScale>
        <cfvo type="min"/>
        <cfvo type="max"/>
        <color rgb="FFFCFCFF"/>
        <color rgb="FF63BE7B"/>
      </colorScale>
    </cfRule>
    <cfRule type="duplicateValues" dxfId="666" priority="1065"/>
  </conditionalFormatting>
  <conditionalFormatting sqref="D26">
    <cfRule type="colorScale" priority="1084">
      <colorScale>
        <cfvo type="min"/>
        <cfvo type="max"/>
        <color rgb="FFFCFCFF"/>
        <color rgb="FF63BE7B"/>
      </colorScale>
    </cfRule>
    <cfRule type="duplicateValues" dxfId="665" priority="1085"/>
  </conditionalFormatting>
  <conditionalFormatting sqref="D27">
    <cfRule type="colorScale" priority="954">
      <colorScale>
        <cfvo type="min"/>
        <cfvo type="max"/>
        <color rgb="FFFCFCFF"/>
        <color rgb="FF63BE7B"/>
      </colorScale>
    </cfRule>
    <cfRule type="duplicateValues" dxfId="664" priority="955"/>
    <cfRule type="colorScale" priority="1080">
      <colorScale>
        <cfvo type="min"/>
        <cfvo type="max"/>
        <color rgb="FFFCFCFF"/>
        <color rgb="FF63BE7B"/>
      </colorScale>
    </cfRule>
    <cfRule type="duplicateValues" dxfId="663" priority="1081"/>
    <cfRule type="colorScale" priority="1100">
      <colorScale>
        <cfvo type="min"/>
        <cfvo type="max"/>
        <color rgb="FFFCFCFF"/>
        <color rgb="FF63BE7B"/>
      </colorScale>
    </cfRule>
    <cfRule type="duplicateValues" dxfId="662" priority="1101"/>
    <cfRule type="colorScale" priority="1120">
      <colorScale>
        <cfvo type="min"/>
        <cfvo type="max"/>
        <color rgb="FFFCFCFF"/>
        <color rgb="FF63BE7B"/>
      </colorScale>
    </cfRule>
    <cfRule type="duplicateValues" dxfId="661" priority="1121"/>
  </conditionalFormatting>
  <conditionalFormatting sqref="D28">
    <cfRule type="colorScale" priority="950">
      <colorScale>
        <cfvo type="min"/>
        <cfvo type="max"/>
        <color rgb="FFFCFCFF"/>
        <color rgb="FF63BE7B"/>
      </colorScale>
    </cfRule>
    <cfRule type="duplicateValues" dxfId="660" priority="951"/>
    <cfRule type="colorScale" priority="970">
      <colorScale>
        <cfvo type="min"/>
        <cfvo type="max"/>
        <color rgb="FFFCFCFF"/>
        <color rgb="FF63BE7B"/>
      </colorScale>
    </cfRule>
    <cfRule type="duplicateValues" dxfId="659" priority="971"/>
    <cfRule type="colorScale" priority="986">
      <colorScale>
        <cfvo type="min"/>
        <cfvo type="max"/>
        <color rgb="FFFCFCFF"/>
        <color rgb="FF63BE7B"/>
      </colorScale>
    </cfRule>
    <cfRule type="duplicateValues" dxfId="658" priority="987"/>
    <cfRule type="colorScale" priority="1018">
      <colorScale>
        <cfvo type="min"/>
        <cfvo type="max"/>
        <color rgb="FFFCFCFF"/>
        <color rgb="FF63BE7B"/>
      </colorScale>
    </cfRule>
    <cfRule type="duplicateValues" dxfId="657" priority="1019"/>
    <cfRule type="colorScale" priority="1096">
      <colorScale>
        <cfvo type="min"/>
        <cfvo type="max"/>
        <color rgb="FFFCFCFF"/>
        <color rgb="FF63BE7B"/>
      </colorScale>
    </cfRule>
    <cfRule type="duplicateValues" dxfId="656" priority="1097"/>
    <cfRule type="colorScale" priority="1116">
      <colorScale>
        <cfvo type="min"/>
        <cfvo type="max"/>
        <color rgb="FFFCFCFF"/>
        <color rgb="FF63BE7B"/>
      </colorScale>
    </cfRule>
    <cfRule type="duplicateValues" dxfId="655" priority="1117"/>
    <cfRule type="colorScale" priority="1140">
      <colorScale>
        <cfvo type="min"/>
        <cfvo type="max"/>
        <color rgb="FFFCFCFF"/>
        <color rgb="FF63BE7B"/>
      </colorScale>
    </cfRule>
    <cfRule type="duplicateValues" dxfId="654" priority="1141"/>
  </conditionalFormatting>
  <conditionalFormatting sqref="D29">
    <cfRule type="colorScale" priority="892">
      <colorScale>
        <cfvo type="min"/>
        <cfvo type="max"/>
        <color rgb="FFFCFCFF"/>
        <color rgb="FF63BE7B"/>
      </colorScale>
    </cfRule>
    <cfRule type="duplicateValues" dxfId="653" priority="893"/>
    <cfRule type="colorScale" priority="966">
      <colorScale>
        <cfvo type="min"/>
        <cfvo type="max"/>
        <color rgb="FFFCFCFF"/>
        <color rgb="FF63BE7B"/>
      </colorScale>
    </cfRule>
    <cfRule type="duplicateValues" dxfId="652" priority="967"/>
    <cfRule type="colorScale" priority="982">
      <colorScale>
        <cfvo type="min"/>
        <cfvo type="max"/>
        <color rgb="FFFCFCFF"/>
        <color rgb="FF63BE7B"/>
      </colorScale>
    </cfRule>
    <cfRule type="duplicateValues" dxfId="651" priority="983"/>
    <cfRule type="colorScale" priority="1002">
      <colorScale>
        <cfvo type="min"/>
        <cfvo type="max"/>
        <color rgb="FFFCFCFF"/>
        <color rgb="FF63BE7B"/>
      </colorScale>
    </cfRule>
    <cfRule type="duplicateValues" dxfId="650" priority="1003"/>
    <cfRule type="colorScale" priority="1014">
      <colorScale>
        <cfvo type="min"/>
        <cfvo type="max"/>
        <color rgb="FFFCFCFF"/>
        <color rgb="FF63BE7B"/>
      </colorScale>
    </cfRule>
    <cfRule type="duplicateValues" dxfId="649" priority="1015"/>
    <cfRule type="colorScale" priority="1034">
      <colorScale>
        <cfvo type="min"/>
        <cfvo type="max"/>
        <color rgb="FFFCFCFF"/>
        <color rgb="FF63BE7B"/>
      </colorScale>
    </cfRule>
    <cfRule type="duplicateValues" dxfId="648" priority="1035"/>
    <cfRule type="colorScale" priority="1052">
      <colorScale>
        <cfvo type="min"/>
        <cfvo type="max"/>
        <color rgb="FFFCFCFF"/>
        <color rgb="FF63BE7B"/>
      </colorScale>
    </cfRule>
    <cfRule type="duplicateValues" dxfId="647" priority="1053"/>
    <cfRule type="colorScale" priority="1092">
      <colorScale>
        <cfvo type="min"/>
        <cfvo type="max"/>
        <color rgb="FFFCFCFF"/>
        <color rgb="FF63BE7B"/>
      </colorScale>
    </cfRule>
    <cfRule type="duplicateValues" dxfId="646" priority="1093"/>
    <cfRule type="colorScale" priority="1136">
      <colorScale>
        <cfvo type="min"/>
        <cfvo type="max"/>
        <color rgb="FFFCFCFF"/>
        <color rgb="FF63BE7B"/>
      </colorScale>
    </cfRule>
    <cfRule type="duplicateValues" dxfId="645" priority="1137"/>
  </conditionalFormatting>
  <conditionalFormatting sqref="D30">
    <cfRule type="colorScale" priority="888">
      <colorScale>
        <cfvo type="min"/>
        <cfvo type="max"/>
        <color rgb="FFFCFCFF"/>
        <color rgb="FF63BE7B"/>
      </colorScale>
    </cfRule>
    <cfRule type="duplicateValues" dxfId="644" priority="889"/>
    <cfRule type="colorScale" priority="908">
      <colorScale>
        <cfvo type="min"/>
        <cfvo type="max"/>
        <color rgb="FFFCFCFF"/>
        <color rgb="FF63BE7B"/>
      </colorScale>
    </cfRule>
    <cfRule type="duplicateValues" dxfId="643" priority="909"/>
    <cfRule type="colorScale" priority="924">
      <colorScale>
        <cfvo type="min"/>
        <cfvo type="max"/>
        <color rgb="FFFCFCFF"/>
        <color rgb="FF63BE7B"/>
      </colorScale>
    </cfRule>
    <cfRule type="duplicateValues" dxfId="642" priority="925"/>
    <cfRule type="colorScale" priority="962">
      <colorScale>
        <cfvo type="min"/>
        <cfvo type="max"/>
        <color rgb="FFFCFCFF"/>
        <color rgb="FF63BE7B"/>
      </colorScale>
    </cfRule>
    <cfRule type="duplicateValues" dxfId="641" priority="963"/>
    <cfRule type="colorScale" priority="998">
      <colorScale>
        <cfvo type="min"/>
        <cfvo type="max"/>
        <color rgb="FFFCFCFF"/>
        <color rgb="FF63BE7B"/>
      </colorScale>
    </cfRule>
    <cfRule type="duplicateValues" dxfId="640" priority="999"/>
    <cfRule type="colorScale" priority="1030">
      <colorScale>
        <cfvo type="min"/>
        <cfvo type="max"/>
        <color rgb="FFFCFCFF"/>
        <color rgb="FF63BE7B"/>
      </colorScale>
    </cfRule>
    <cfRule type="duplicateValues" dxfId="639" priority="1031"/>
    <cfRule type="colorScale" priority="1048">
      <colorScale>
        <cfvo type="min"/>
        <cfvo type="max"/>
        <color rgb="FFFCFCFF"/>
        <color rgb="FF63BE7B"/>
      </colorScale>
    </cfRule>
    <cfRule type="duplicateValues" dxfId="638" priority="1049"/>
    <cfRule type="colorScale" priority="1070">
      <colorScale>
        <cfvo type="min"/>
        <cfvo type="max"/>
        <color rgb="FFFCFCFF"/>
        <color rgb="FF63BE7B"/>
      </colorScale>
    </cfRule>
    <cfRule type="duplicateValues" dxfId="637" priority="1071"/>
    <cfRule type="colorScale" priority="1078">
      <colorScale>
        <cfvo type="min"/>
        <cfvo type="max"/>
        <color rgb="FFFCFCFF"/>
        <color rgb="FF63BE7B"/>
      </colorScale>
    </cfRule>
    <cfRule type="duplicateValues" dxfId="636" priority="1079"/>
    <cfRule type="colorScale" priority="1108">
      <colorScale>
        <cfvo type="min"/>
        <cfvo type="max"/>
        <color rgb="FFFCFCFF"/>
        <color rgb="FF63BE7B"/>
      </colorScale>
    </cfRule>
    <cfRule type="duplicateValues" dxfId="635" priority="1109"/>
    <cfRule type="colorScale" priority="1128">
      <colorScale>
        <cfvo type="min"/>
        <cfvo type="max"/>
        <color rgb="FFFCFCFF"/>
        <color rgb="FF63BE7B"/>
      </colorScale>
    </cfRule>
    <cfRule type="duplicateValues" dxfId="634" priority="1129"/>
  </conditionalFormatting>
  <conditionalFormatting sqref="D31">
    <cfRule type="colorScale" priority="904">
      <colorScale>
        <cfvo type="min"/>
        <cfvo type="max"/>
        <color rgb="FFFCFCFF"/>
        <color rgb="FF63BE7B"/>
      </colorScale>
    </cfRule>
    <cfRule type="duplicateValues" dxfId="633" priority="905"/>
    <cfRule type="colorScale" priority="920">
      <colorScale>
        <cfvo type="min"/>
        <cfvo type="max"/>
        <color rgb="FFFCFCFF"/>
        <color rgb="FF63BE7B"/>
      </colorScale>
    </cfRule>
    <cfRule type="duplicateValues" dxfId="632" priority="921"/>
    <cfRule type="colorScale" priority="940">
      <colorScale>
        <cfvo type="min"/>
        <cfvo type="max"/>
        <color rgb="FFFCFCFF"/>
        <color rgb="FF63BE7B"/>
      </colorScale>
    </cfRule>
    <cfRule type="duplicateValues" dxfId="631" priority="941"/>
    <cfRule type="colorScale" priority="948">
      <colorScale>
        <cfvo type="min"/>
        <cfvo type="max"/>
        <color rgb="FFFCFCFF"/>
        <color rgb="FF63BE7B"/>
      </colorScale>
    </cfRule>
    <cfRule type="duplicateValues" dxfId="630" priority="949"/>
    <cfRule type="colorScale" priority="978">
      <colorScale>
        <cfvo type="min"/>
        <cfvo type="max"/>
        <color rgb="FFFCFCFF"/>
        <color rgb="FF63BE7B"/>
      </colorScale>
    </cfRule>
    <cfRule type="duplicateValues" dxfId="629" priority="979"/>
    <cfRule type="colorScale" priority="994">
      <colorScale>
        <cfvo type="min"/>
        <cfvo type="max"/>
        <color rgb="FFFCFCFF"/>
        <color rgb="FF63BE7B"/>
      </colorScale>
    </cfRule>
    <cfRule type="duplicateValues" dxfId="628" priority="995"/>
    <cfRule type="colorScale" priority="1026">
      <colorScale>
        <cfvo type="min"/>
        <cfvo type="max"/>
        <color rgb="FFFCFCFF"/>
        <color rgb="FF63BE7B"/>
      </colorScale>
    </cfRule>
    <cfRule type="duplicateValues" dxfId="627" priority="1027"/>
    <cfRule type="colorScale" priority="1066">
      <colorScale>
        <cfvo type="min"/>
        <cfvo type="max"/>
        <color rgb="FFFCFCFF"/>
        <color rgb="FF63BE7B"/>
      </colorScale>
    </cfRule>
    <cfRule type="duplicateValues" dxfId="626" priority="1067"/>
    <cfRule type="colorScale" priority="1082">
      <colorScale>
        <cfvo type="min"/>
        <cfvo type="max"/>
        <color rgb="FFFCFCFF"/>
        <color rgb="FF63BE7B"/>
      </colorScale>
    </cfRule>
    <cfRule type="duplicateValues" dxfId="625" priority="1083"/>
    <cfRule type="colorScale" priority="1094">
      <colorScale>
        <cfvo type="min"/>
        <cfvo type="max"/>
        <color rgb="FFFCFCFF"/>
        <color rgb="FF63BE7B"/>
      </colorScale>
    </cfRule>
    <cfRule type="duplicateValues" dxfId="624" priority="1095"/>
    <cfRule type="colorScale" priority="1112">
      <colorScale>
        <cfvo type="min"/>
        <cfvo type="max"/>
        <color rgb="FFFCFCFF"/>
        <color rgb="FF63BE7B"/>
      </colorScale>
    </cfRule>
    <cfRule type="duplicateValues" dxfId="623" priority="1113"/>
    <cfRule type="colorScale" priority="1152">
      <colorScale>
        <cfvo type="min"/>
        <cfvo type="max"/>
        <color rgb="FFFCFCFF"/>
        <color rgb="FF63BE7B"/>
      </colorScale>
    </cfRule>
    <cfRule type="duplicateValues" dxfId="622" priority="1153"/>
  </conditionalFormatting>
  <conditionalFormatting sqref="D32">
    <cfRule type="colorScale" priority="900">
      <colorScale>
        <cfvo type="min"/>
        <cfvo type="max"/>
        <color rgb="FFFCFCFF"/>
        <color rgb="FF63BE7B"/>
      </colorScale>
    </cfRule>
    <cfRule type="duplicateValues" dxfId="621" priority="901"/>
    <cfRule type="colorScale" priority="936">
      <colorScale>
        <cfvo type="min"/>
        <cfvo type="max"/>
        <color rgb="FFFCFCFF"/>
        <color rgb="FF63BE7B"/>
      </colorScale>
    </cfRule>
    <cfRule type="duplicateValues" dxfId="620" priority="937"/>
    <cfRule type="colorScale" priority="952">
      <colorScale>
        <cfvo type="min"/>
        <cfvo type="max"/>
        <color rgb="FFFCFCFF"/>
        <color rgb="FF63BE7B"/>
      </colorScale>
    </cfRule>
    <cfRule type="duplicateValues" dxfId="619" priority="953"/>
    <cfRule type="colorScale" priority="964">
      <colorScale>
        <cfvo type="min"/>
        <cfvo type="max"/>
        <color rgb="FFFCFCFF"/>
        <color rgb="FF63BE7B"/>
      </colorScale>
    </cfRule>
    <cfRule type="duplicateValues" dxfId="618" priority="965"/>
    <cfRule type="colorScale" priority="980">
      <colorScale>
        <cfvo type="min"/>
        <cfvo type="max"/>
        <color rgb="FFFCFCFF"/>
        <color rgb="FF63BE7B"/>
      </colorScale>
    </cfRule>
    <cfRule type="duplicateValues" dxfId="617" priority="981"/>
    <cfRule type="colorScale" priority="1010">
      <colorScale>
        <cfvo type="min"/>
        <cfvo type="max"/>
        <color rgb="FFFCFCFF"/>
        <color rgb="FF63BE7B"/>
      </colorScale>
    </cfRule>
    <cfRule type="duplicateValues" dxfId="616" priority="1011"/>
    <cfRule type="colorScale" priority="1012">
      <colorScale>
        <cfvo type="min"/>
        <cfvo type="max"/>
        <color rgb="FFFCFCFF"/>
        <color rgb="FF63BE7B"/>
      </colorScale>
    </cfRule>
    <cfRule type="duplicateValues" dxfId="615" priority="1013"/>
    <cfRule type="colorScale" priority="1042">
      <colorScale>
        <cfvo type="min"/>
        <cfvo type="max"/>
        <color rgb="FFFCFCFF"/>
        <color rgb="FF63BE7B"/>
      </colorScale>
    </cfRule>
    <cfRule type="duplicateValues" dxfId="614" priority="1043"/>
    <cfRule type="colorScale" priority="1060">
      <colorScale>
        <cfvo type="min"/>
        <cfvo type="max"/>
        <color rgb="FFFCFCFF"/>
        <color rgb="FF63BE7B"/>
      </colorScale>
    </cfRule>
    <cfRule type="duplicateValues" dxfId="613" priority="1061"/>
    <cfRule type="colorScale" priority="1090">
      <colorScale>
        <cfvo type="min"/>
        <cfvo type="max"/>
        <color rgb="FFFCFCFF"/>
        <color rgb="FF63BE7B"/>
      </colorScale>
    </cfRule>
    <cfRule type="duplicateValues" dxfId="612" priority="1091"/>
    <cfRule type="colorScale" priority="1098">
      <colorScale>
        <cfvo type="min"/>
        <cfvo type="max"/>
        <color rgb="FFFCFCFF"/>
        <color rgb="FF63BE7B"/>
      </colorScale>
    </cfRule>
    <cfRule type="duplicateValues" dxfId="611" priority="1099"/>
    <cfRule type="colorScale" priority="1118">
      <colorScale>
        <cfvo type="min"/>
        <cfvo type="max"/>
        <color rgb="FFFCFCFF"/>
        <color rgb="FF63BE7B"/>
      </colorScale>
    </cfRule>
    <cfRule type="duplicateValues" dxfId="610" priority="1119"/>
    <cfRule type="colorScale" priority="1132">
      <colorScale>
        <cfvo type="min"/>
        <cfvo type="max"/>
        <color rgb="FFFCFCFF"/>
        <color rgb="FF63BE7B"/>
      </colorScale>
    </cfRule>
    <cfRule type="duplicateValues" dxfId="609" priority="1133"/>
  </conditionalFormatting>
  <conditionalFormatting sqref="D33">
    <cfRule type="colorScale" priority="886">
      <colorScale>
        <cfvo type="min"/>
        <cfvo type="max"/>
        <color rgb="FFFCFCFF"/>
        <color rgb="FF63BE7B"/>
      </colorScale>
    </cfRule>
    <cfRule type="duplicateValues" dxfId="608" priority="887"/>
    <cfRule type="colorScale" priority="916">
      <colorScale>
        <cfvo type="min"/>
        <cfvo type="max"/>
        <color rgb="FFFCFCFF"/>
        <color rgb="FF63BE7B"/>
      </colorScale>
    </cfRule>
    <cfRule type="duplicateValues" dxfId="607" priority="917"/>
    <cfRule type="colorScale" priority="932">
      <colorScale>
        <cfvo type="min"/>
        <cfvo type="max"/>
        <color rgb="FFFCFCFF"/>
        <color rgb="FF63BE7B"/>
      </colorScale>
    </cfRule>
    <cfRule type="duplicateValues" dxfId="606" priority="933"/>
    <cfRule type="colorScale" priority="960">
      <colorScale>
        <cfvo type="min"/>
        <cfvo type="max"/>
        <color rgb="FFFCFCFF"/>
        <color rgb="FF63BE7B"/>
      </colorScale>
    </cfRule>
    <cfRule type="duplicateValues" dxfId="605" priority="961"/>
    <cfRule type="colorScale" priority="968">
      <colorScale>
        <cfvo type="min"/>
        <cfvo type="max"/>
        <color rgb="FFFCFCFF"/>
        <color rgb="FF63BE7B"/>
      </colorScale>
    </cfRule>
    <cfRule type="duplicateValues" dxfId="604" priority="969"/>
    <cfRule type="colorScale" priority="984">
      <colorScale>
        <cfvo type="min"/>
        <cfvo type="max"/>
        <color rgb="FFFCFCFF"/>
        <color rgb="FF63BE7B"/>
      </colorScale>
    </cfRule>
    <cfRule type="duplicateValues" dxfId="603" priority="985"/>
    <cfRule type="colorScale" priority="996">
      <colorScale>
        <cfvo type="min"/>
        <cfvo type="max"/>
        <color rgb="FFFCFCFF"/>
        <color rgb="FF63BE7B"/>
      </colorScale>
    </cfRule>
    <cfRule type="duplicateValues" dxfId="602" priority="997"/>
    <cfRule type="colorScale" priority="1016">
      <colorScale>
        <cfvo type="min"/>
        <cfvo type="max"/>
        <color rgb="FFFCFCFF"/>
        <color rgb="FF63BE7B"/>
      </colorScale>
    </cfRule>
    <cfRule type="duplicateValues" dxfId="601" priority="1017"/>
    <cfRule type="colorScale" priority="1028">
      <colorScale>
        <cfvo type="min"/>
        <cfvo type="max"/>
        <color rgb="FFFCFCFF"/>
        <color rgb="FF63BE7B"/>
      </colorScale>
    </cfRule>
    <cfRule type="duplicateValues" dxfId="600" priority="1029"/>
    <cfRule type="colorScale" priority="1044">
      <colorScale>
        <cfvo type="min"/>
        <cfvo type="max"/>
        <color rgb="FFFCFCFF"/>
        <color rgb="FF63BE7B"/>
      </colorScale>
    </cfRule>
    <cfRule type="duplicateValues" dxfId="599" priority="1045"/>
    <cfRule type="colorScale" priority="1076">
      <colorScale>
        <cfvo type="min"/>
        <cfvo type="max"/>
        <color rgb="FFFCFCFF"/>
        <color rgb="FF63BE7B"/>
      </colorScale>
    </cfRule>
    <cfRule type="duplicateValues" dxfId="598" priority="1077"/>
    <cfRule type="colorScale" priority="1106">
      <colorScale>
        <cfvo type="min"/>
        <cfvo type="max"/>
        <color rgb="FFFCFCFF"/>
        <color rgb="FF63BE7B"/>
      </colorScale>
    </cfRule>
    <cfRule type="duplicateValues" dxfId="597" priority="1107"/>
    <cfRule type="colorScale" priority="1126">
      <colorScale>
        <cfvo type="min"/>
        <cfvo type="max"/>
        <color rgb="FFFCFCFF"/>
        <color rgb="FF63BE7B"/>
      </colorScale>
    </cfRule>
    <cfRule type="duplicateValues" dxfId="596" priority="1127"/>
    <cfRule type="colorScale" priority="1138">
      <colorScale>
        <cfvo type="min"/>
        <cfvo type="max"/>
        <color rgb="FFFCFCFF"/>
        <color rgb="FF63BE7B"/>
      </colorScale>
    </cfRule>
    <cfRule type="duplicateValues" dxfId="595" priority="1139"/>
  </conditionalFormatting>
  <conditionalFormatting sqref="D34">
    <cfRule type="colorScale" priority="890">
      <colorScale>
        <cfvo type="min"/>
        <cfvo type="max"/>
        <color rgb="FFFCFCFF"/>
        <color rgb="FF63BE7B"/>
      </colorScale>
    </cfRule>
    <cfRule type="duplicateValues" dxfId="594" priority="891"/>
    <cfRule type="colorScale" priority="902">
      <colorScale>
        <cfvo type="min"/>
        <cfvo type="max"/>
        <color rgb="FFFCFCFF"/>
        <color rgb="FF63BE7B"/>
      </colorScale>
    </cfRule>
    <cfRule type="duplicateValues" dxfId="593" priority="903"/>
    <cfRule type="colorScale" priority="918">
      <colorScale>
        <cfvo type="min"/>
        <cfvo type="max"/>
        <color rgb="FFFCFCFF"/>
        <color rgb="FF63BE7B"/>
      </colorScale>
    </cfRule>
    <cfRule type="duplicateValues" dxfId="592" priority="919"/>
    <cfRule type="colorScale" priority="946">
      <colorScale>
        <cfvo type="min"/>
        <cfvo type="max"/>
        <color rgb="FFFCFCFF"/>
        <color rgb="FF63BE7B"/>
      </colorScale>
    </cfRule>
    <cfRule type="duplicateValues" dxfId="591" priority="947"/>
    <cfRule type="colorScale" priority="976">
      <colorScale>
        <cfvo type="min"/>
        <cfvo type="max"/>
        <color rgb="FFFCFCFF"/>
        <color rgb="FF63BE7B"/>
      </colorScale>
    </cfRule>
    <cfRule type="duplicateValues" dxfId="590" priority="977"/>
    <cfRule type="colorScale" priority="992">
      <colorScale>
        <cfvo type="min"/>
        <cfvo type="max"/>
        <color rgb="FFFCFCFF"/>
        <color rgb="FF63BE7B"/>
      </colorScale>
    </cfRule>
    <cfRule type="duplicateValues" dxfId="589" priority="993"/>
    <cfRule type="colorScale" priority="1000">
      <colorScale>
        <cfvo type="min"/>
        <cfvo type="max"/>
        <color rgb="FFFCFCFF"/>
        <color rgb="FF63BE7B"/>
      </colorScale>
    </cfRule>
    <cfRule type="duplicateValues" dxfId="588" priority="1001"/>
    <cfRule type="colorScale" priority="1024">
      <colorScale>
        <cfvo type="min"/>
        <cfvo type="max"/>
        <color rgb="FFFCFCFF"/>
        <color rgb="FF63BE7B"/>
      </colorScale>
    </cfRule>
    <cfRule type="duplicateValues" dxfId="587" priority="1025"/>
    <cfRule type="colorScale" priority="1032">
      <colorScale>
        <cfvo type="min"/>
        <cfvo type="max"/>
        <color rgb="FFFCFCFF"/>
        <color rgb="FF63BE7B"/>
      </colorScale>
    </cfRule>
    <cfRule type="duplicateValues" dxfId="586" priority="1033"/>
    <cfRule type="colorScale" priority="1050">
      <colorScale>
        <cfvo type="min"/>
        <cfvo type="max"/>
        <color rgb="FFFCFCFF"/>
        <color rgb="FF63BE7B"/>
      </colorScale>
    </cfRule>
    <cfRule type="duplicateValues" dxfId="585" priority="1051"/>
    <cfRule type="colorScale" priority="1062">
      <colorScale>
        <cfvo type="min"/>
        <cfvo type="max"/>
        <color rgb="FFFCFCFF"/>
        <color rgb="FF63BE7B"/>
      </colorScale>
    </cfRule>
    <cfRule type="duplicateValues" dxfId="584" priority="1063"/>
    <cfRule type="colorScale" priority="1146">
      <colorScale>
        <cfvo type="min"/>
        <cfvo type="max"/>
        <color rgb="FFFCFCFF"/>
        <color rgb="FF63BE7B"/>
      </colorScale>
    </cfRule>
    <cfRule type="duplicateValues" dxfId="583" priority="1147"/>
  </conditionalFormatting>
  <conditionalFormatting sqref="D35">
    <cfRule type="colorScale" priority="180">
      <colorScale>
        <cfvo type="min"/>
        <cfvo type="max"/>
        <color rgb="FFFCFCFF"/>
        <color rgb="FF63BE7B"/>
      </colorScale>
    </cfRule>
    <cfRule type="duplicateValues" dxfId="582" priority="181"/>
    <cfRule type="colorScale" priority="184">
      <colorScale>
        <cfvo type="min"/>
        <cfvo type="max"/>
        <color rgb="FFFCFCFF"/>
        <color rgb="FF63BE7B"/>
      </colorScale>
    </cfRule>
    <cfRule type="duplicateValues" dxfId="581" priority="185"/>
    <cfRule type="colorScale" priority="186">
      <colorScale>
        <cfvo type="min"/>
        <cfvo type="max"/>
        <color rgb="FFFCFCFF"/>
        <color rgb="FF63BE7B"/>
      </colorScale>
    </cfRule>
    <cfRule type="duplicateValues" dxfId="580" priority="187"/>
    <cfRule type="colorScale" priority="222">
      <colorScale>
        <cfvo type="min"/>
        <cfvo type="max"/>
        <color rgb="FFFCFCFF"/>
        <color rgb="FF63BE7B"/>
      </colorScale>
    </cfRule>
    <cfRule type="duplicateValues" dxfId="579" priority="223"/>
    <cfRule type="colorScale" priority="242">
      <colorScale>
        <cfvo type="min"/>
        <cfvo type="max"/>
        <color rgb="FFFCFCFF"/>
        <color rgb="FF63BE7B"/>
      </colorScale>
    </cfRule>
    <cfRule type="duplicateValues" dxfId="578" priority="243"/>
    <cfRule type="colorScale" priority="244">
      <colorScale>
        <cfvo type="min"/>
        <cfvo type="max"/>
        <color rgb="FFFCFCFF"/>
        <color rgb="FF63BE7B"/>
      </colorScale>
    </cfRule>
    <cfRule type="duplicateValues" dxfId="577" priority="245"/>
    <cfRule type="colorScale" priority="250">
      <colorScale>
        <cfvo type="min"/>
        <cfvo type="max"/>
        <color rgb="FFFCFCFF"/>
        <color rgb="FF63BE7B"/>
      </colorScale>
    </cfRule>
    <cfRule type="duplicateValues" dxfId="576" priority="251"/>
    <cfRule type="colorScale" priority="256">
      <colorScale>
        <cfvo type="min"/>
        <cfvo type="max"/>
        <color rgb="FFFCFCFF"/>
        <color rgb="FF63BE7B"/>
      </colorScale>
    </cfRule>
    <cfRule type="duplicateValues" dxfId="575" priority="257"/>
    <cfRule type="colorScale" priority="278">
      <colorScale>
        <cfvo type="min"/>
        <cfvo type="max"/>
        <color rgb="FFFCFCFF"/>
        <color rgb="FF63BE7B"/>
      </colorScale>
    </cfRule>
    <cfRule type="duplicateValues" dxfId="574" priority="279"/>
    <cfRule type="colorScale" priority="286">
      <colorScale>
        <cfvo type="min"/>
        <cfvo type="max"/>
        <color rgb="FFFCFCFF"/>
        <color rgb="FF63BE7B"/>
      </colorScale>
    </cfRule>
    <cfRule type="duplicateValues" dxfId="573" priority="287"/>
    <cfRule type="colorScale" priority="290">
      <colorScale>
        <cfvo type="min"/>
        <cfvo type="max"/>
        <color rgb="FFFCFCFF"/>
        <color rgb="FF63BE7B"/>
      </colorScale>
    </cfRule>
    <cfRule type="duplicateValues" dxfId="572" priority="291"/>
    <cfRule type="colorScale" priority="292">
      <colorScale>
        <cfvo type="min"/>
        <cfvo type="max"/>
        <color rgb="FFFCFCFF"/>
        <color rgb="FF63BE7B"/>
      </colorScale>
    </cfRule>
    <cfRule type="duplicateValues" dxfId="571" priority="293"/>
    <cfRule type="colorScale" priority="328">
      <colorScale>
        <cfvo type="min"/>
        <cfvo type="max"/>
        <color rgb="FFFCFCFF"/>
        <color rgb="FF63BE7B"/>
      </colorScale>
    </cfRule>
    <cfRule type="duplicateValues" dxfId="570" priority="329"/>
    <cfRule type="colorScale" priority="382">
      <colorScale>
        <cfvo type="min"/>
        <cfvo type="max"/>
        <color rgb="FFFCFCFF"/>
        <color rgb="FF63BE7B"/>
      </colorScale>
    </cfRule>
    <cfRule type="duplicateValues" dxfId="569" priority="383"/>
    <cfRule type="colorScale" priority="386">
      <colorScale>
        <cfvo type="min"/>
        <cfvo type="max"/>
        <color rgb="FFFCFCFF"/>
        <color rgb="FF63BE7B"/>
      </colorScale>
    </cfRule>
    <cfRule type="duplicateValues" dxfId="568" priority="387"/>
    <cfRule type="colorScale" priority="388">
      <colorScale>
        <cfvo type="min"/>
        <cfvo type="max"/>
        <color rgb="FFFCFCFF"/>
        <color rgb="FF63BE7B"/>
      </colorScale>
    </cfRule>
    <cfRule type="duplicateValues" dxfId="567" priority="389"/>
    <cfRule type="colorScale" priority="424">
      <colorScale>
        <cfvo type="min"/>
        <cfvo type="max"/>
        <color rgb="FFFCFCFF"/>
        <color rgb="FF63BE7B"/>
      </colorScale>
    </cfRule>
    <cfRule type="duplicateValues" dxfId="566" priority="425"/>
    <cfRule type="colorScale" priority="684">
      <colorScale>
        <cfvo type="min"/>
        <cfvo type="max"/>
        <color rgb="FFFCFCFF"/>
        <color rgb="FF63BE7B"/>
      </colorScale>
    </cfRule>
    <cfRule type="duplicateValues" dxfId="565" priority="685"/>
    <cfRule type="colorScale" priority="692">
      <colorScale>
        <cfvo type="min"/>
        <cfvo type="max"/>
        <color rgb="FFFCFCFF"/>
        <color rgb="FF63BE7B"/>
      </colorScale>
    </cfRule>
    <cfRule type="duplicateValues" dxfId="564" priority="693"/>
    <cfRule type="colorScale" priority="700">
      <colorScale>
        <cfvo type="min"/>
        <cfvo type="max"/>
        <color rgb="FFFCFCFF"/>
        <color rgb="FF63BE7B"/>
      </colorScale>
    </cfRule>
    <cfRule type="duplicateValues" dxfId="563" priority="701"/>
    <cfRule type="colorScale" priority="716">
      <colorScale>
        <cfvo type="min"/>
        <cfvo type="max"/>
        <color rgb="FFFCFCFF"/>
        <color rgb="FF63BE7B"/>
      </colorScale>
    </cfRule>
    <cfRule type="duplicateValues" dxfId="562" priority="717"/>
    <cfRule type="colorScale" priority="726">
      <colorScale>
        <cfvo type="min"/>
        <cfvo type="max"/>
        <color rgb="FFFCFCFF"/>
        <color rgb="FF63BE7B"/>
      </colorScale>
    </cfRule>
    <cfRule type="duplicateValues" dxfId="561" priority="727"/>
    <cfRule type="colorScale" priority="732">
      <colorScale>
        <cfvo type="min"/>
        <cfvo type="max"/>
        <color rgb="FFFCFCFF"/>
        <color rgb="FF63BE7B"/>
      </colorScale>
    </cfRule>
    <cfRule type="duplicateValues" dxfId="560" priority="733"/>
    <cfRule type="colorScale" priority="734">
      <colorScale>
        <cfvo type="min"/>
        <cfvo type="max"/>
        <color rgb="FFFCFCFF"/>
        <color rgb="FF63BE7B"/>
      </colorScale>
    </cfRule>
    <cfRule type="duplicateValues" dxfId="559" priority="735"/>
    <cfRule type="colorScale" priority="746">
      <colorScale>
        <cfvo type="min"/>
        <cfvo type="max"/>
        <color rgb="FFFCFCFF"/>
        <color rgb="FF63BE7B"/>
      </colorScale>
    </cfRule>
    <cfRule type="duplicateValues" dxfId="558" priority="747"/>
    <cfRule type="colorScale" priority="748">
      <colorScale>
        <cfvo type="min"/>
        <cfvo type="max"/>
        <color rgb="FFFCFCFF"/>
        <color rgb="FF63BE7B"/>
      </colorScale>
    </cfRule>
    <cfRule type="duplicateValues" dxfId="557" priority="749"/>
    <cfRule type="colorScale" priority="756">
      <colorScale>
        <cfvo type="min"/>
        <cfvo type="max"/>
        <color rgb="FFFCFCFF"/>
        <color rgb="FF63BE7B"/>
      </colorScale>
    </cfRule>
    <cfRule type="duplicateValues" dxfId="556" priority="757"/>
    <cfRule type="colorScale" priority="764">
      <colorScale>
        <cfvo type="min"/>
        <cfvo type="max"/>
        <color rgb="FFFCFCFF"/>
        <color rgb="FF63BE7B"/>
      </colorScale>
    </cfRule>
    <cfRule type="duplicateValues" dxfId="555" priority="765"/>
    <cfRule type="colorScale" priority="788">
      <colorScale>
        <cfvo type="min"/>
        <cfvo type="max"/>
        <color rgb="FFFCFCFF"/>
        <color rgb="FF63BE7B"/>
      </colorScale>
    </cfRule>
    <cfRule type="duplicateValues" dxfId="554" priority="789"/>
    <cfRule type="colorScale" priority="798">
      <colorScale>
        <cfvo type="min"/>
        <cfvo type="max"/>
        <color rgb="FFFCFCFF"/>
        <color rgb="FF63BE7B"/>
      </colorScale>
    </cfRule>
    <cfRule type="duplicateValues" dxfId="553" priority="799"/>
    <cfRule type="colorScale" priority="804">
      <colorScale>
        <cfvo type="min"/>
        <cfvo type="max"/>
        <color rgb="FFFCFCFF"/>
        <color rgb="FF63BE7B"/>
      </colorScale>
    </cfRule>
    <cfRule type="duplicateValues" dxfId="552" priority="805"/>
    <cfRule type="colorScale" priority="806">
      <colorScale>
        <cfvo type="min"/>
        <cfvo type="max"/>
        <color rgb="FFFCFCFF"/>
        <color rgb="FF63BE7B"/>
      </colorScale>
    </cfRule>
    <cfRule type="duplicateValues" dxfId="551" priority="807"/>
    <cfRule type="colorScale" priority="842">
      <colorScale>
        <cfvo type="min"/>
        <cfvo type="max"/>
        <color rgb="FFFCFCFF"/>
        <color rgb="FF63BE7B"/>
      </colorScale>
    </cfRule>
    <cfRule type="duplicateValues" dxfId="550" priority="843"/>
    <cfRule type="colorScale" priority="898">
      <colorScale>
        <cfvo type="min"/>
        <cfvo type="max"/>
        <color rgb="FFFCFCFF"/>
        <color rgb="FF63BE7B"/>
      </colorScale>
    </cfRule>
    <cfRule type="duplicateValues" dxfId="549" priority="899"/>
    <cfRule type="colorScale" priority="906">
      <colorScale>
        <cfvo type="min"/>
        <cfvo type="max"/>
        <color rgb="FFFCFCFF"/>
        <color rgb="FF63BE7B"/>
      </colorScale>
    </cfRule>
    <cfRule type="duplicateValues" dxfId="548" priority="907"/>
    <cfRule type="colorScale" priority="922">
      <colorScale>
        <cfvo type="min"/>
        <cfvo type="max"/>
        <color rgb="FFFCFCFF"/>
        <color rgb="FF63BE7B"/>
      </colorScale>
    </cfRule>
    <cfRule type="duplicateValues" dxfId="547" priority="923"/>
    <cfRule type="colorScale" priority="934">
      <colorScale>
        <cfvo type="min"/>
        <cfvo type="max"/>
        <color rgb="FFFCFCFF"/>
        <color rgb="FF63BE7B"/>
      </colorScale>
    </cfRule>
    <cfRule type="duplicateValues" dxfId="546" priority="935"/>
    <cfRule type="colorScale" priority="1008">
      <colorScale>
        <cfvo type="min"/>
        <cfvo type="max"/>
        <color rgb="FFFCFCFF"/>
        <color rgb="FF63BE7B"/>
      </colorScale>
    </cfRule>
    <cfRule type="duplicateValues" dxfId="545" priority="1009"/>
    <cfRule type="colorScale" priority="1040">
      <colorScale>
        <cfvo type="min"/>
        <cfvo type="max"/>
        <color rgb="FFFCFCFF"/>
        <color rgb="FF63BE7B"/>
      </colorScale>
    </cfRule>
    <cfRule type="duplicateValues" dxfId="544" priority="1041"/>
    <cfRule type="colorScale" priority="1058">
      <colorScale>
        <cfvo type="min"/>
        <cfvo type="max"/>
        <color rgb="FFFCFCFF"/>
        <color rgb="FF63BE7B"/>
      </colorScale>
    </cfRule>
    <cfRule type="duplicateValues" dxfId="543" priority="1059"/>
    <cfRule type="colorScale" priority="1068">
      <colorScale>
        <cfvo type="min"/>
        <cfvo type="max"/>
        <color rgb="FFFCFCFF"/>
        <color rgb="FF63BE7B"/>
      </colorScale>
    </cfRule>
    <cfRule type="duplicateValues" dxfId="542" priority="1069"/>
  </conditionalFormatting>
  <conditionalFormatting sqref="D36">
    <cfRule type="colorScale" priority="190">
      <colorScale>
        <cfvo type="min"/>
        <cfvo type="max"/>
        <color rgb="FFFCFCFF"/>
        <color rgb="FF63BE7B"/>
      </colorScale>
    </cfRule>
    <cfRule type="duplicateValues" dxfId="541" priority="191"/>
    <cfRule type="colorScale" priority="248">
      <colorScale>
        <cfvo type="min"/>
        <cfvo type="max"/>
        <color rgb="FFFCFCFF"/>
        <color rgb="FF63BE7B"/>
      </colorScale>
    </cfRule>
    <cfRule type="duplicateValues" dxfId="540" priority="249"/>
    <cfRule type="colorScale" priority="254">
      <colorScale>
        <cfvo type="min"/>
        <cfvo type="max"/>
        <color rgb="FFFCFCFF"/>
        <color rgb="FF63BE7B"/>
      </colorScale>
    </cfRule>
    <cfRule type="duplicateValues" dxfId="539" priority="255"/>
    <cfRule type="colorScale" priority="258">
      <colorScale>
        <cfvo type="min"/>
        <cfvo type="max"/>
        <color rgb="FFFCFCFF"/>
        <color rgb="FF63BE7B"/>
      </colorScale>
    </cfRule>
    <cfRule type="duplicateValues" dxfId="538" priority="259"/>
    <cfRule type="colorScale" priority="296">
      <colorScale>
        <cfvo type="min"/>
        <cfvo type="max"/>
        <color rgb="FFFCFCFF"/>
        <color rgb="FF63BE7B"/>
      </colorScale>
    </cfRule>
    <cfRule type="duplicateValues" dxfId="537" priority="297"/>
    <cfRule type="colorScale" priority="360">
      <colorScale>
        <cfvo type="min"/>
        <cfvo type="max"/>
        <color rgb="FFFCFCFF"/>
        <color rgb="FF63BE7B"/>
      </colorScale>
    </cfRule>
    <cfRule type="duplicateValues" dxfId="536" priority="361"/>
    <cfRule type="colorScale" priority="392">
      <colorScale>
        <cfvo type="min"/>
        <cfvo type="max"/>
        <color rgb="FFFCFCFF"/>
        <color rgb="FF63BE7B"/>
      </colorScale>
    </cfRule>
    <cfRule type="duplicateValues" dxfId="535" priority="393"/>
    <cfRule type="colorScale" priority="622">
      <colorScale>
        <cfvo type="min"/>
        <cfvo type="max"/>
        <color rgb="FFFCFCFF"/>
        <color rgb="FF63BE7B"/>
      </colorScale>
    </cfRule>
    <cfRule type="duplicateValues" dxfId="534" priority="623"/>
    <cfRule type="colorScale" priority="628">
      <colorScale>
        <cfvo type="min"/>
        <cfvo type="max"/>
        <color rgb="FFFCFCFF"/>
        <color rgb="FF63BE7B"/>
      </colorScale>
    </cfRule>
    <cfRule type="duplicateValues" dxfId="533" priority="629"/>
    <cfRule type="colorScale" priority="630">
      <colorScale>
        <cfvo type="min"/>
        <cfvo type="max"/>
        <color rgb="FFFCFCFF"/>
        <color rgb="FF63BE7B"/>
      </colorScale>
    </cfRule>
    <cfRule type="duplicateValues" dxfId="532" priority="631"/>
    <cfRule type="colorScale" priority="666">
      <colorScale>
        <cfvo type="min"/>
        <cfvo type="max"/>
        <color rgb="FFFCFCFF"/>
        <color rgb="FF63BE7B"/>
      </colorScale>
    </cfRule>
    <cfRule type="duplicateValues" dxfId="531" priority="667"/>
    <cfRule type="colorScale" priority="690">
      <colorScale>
        <cfvo type="min"/>
        <cfvo type="max"/>
        <color rgb="FFFCFCFF"/>
        <color rgb="FF63BE7B"/>
      </colorScale>
    </cfRule>
    <cfRule type="duplicateValues" dxfId="530" priority="691"/>
    <cfRule type="colorScale" priority="694">
      <colorScale>
        <cfvo type="min"/>
        <cfvo type="max"/>
        <color rgb="FFFCFCFF"/>
        <color rgb="FF63BE7B"/>
      </colorScale>
    </cfRule>
    <cfRule type="duplicateValues" dxfId="529" priority="695"/>
    <cfRule type="colorScale" priority="702">
      <colorScale>
        <cfvo type="min"/>
        <cfvo type="max"/>
        <color rgb="FFFCFCFF"/>
        <color rgb="FF63BE7B"/>
      </colorScale>
    </cfRule>
    <cfRule type="duplicateValues" dxfId="528" priority="703"/>
    <cfRule type="colorScale" priority="708">
      <colorScale>
        <cfvo type="min"/>
        <cfvo type="max"/>
        <color rgb="FFFCFCFF"/>
        <color rgb="FF63BE7B"/>
      </colorScale>
    </cfRule>
    <cfRule type="duplicateValues" dxfId="527" priority="709"/>
    <cfRule type="colorScale" priority="740">
      <colorScale>
        <cfvo type="min"/>
        <cfvo type="max"/>
        <color rgb="FFFCFCFF"/>
        <color rgb="FF63BE7B"/>
      </colorScale>
    </cfRule>
    <cfRule type="duplicateValues" dxfId="526" priority="741"/>
    <cfRule type="colorScale" priority="754">
      <colorScale>
        <cfvo type="min"/>
        <cfvo type="max"/>
        <color rgb="FFFCFCFF"/>
        <color rgb="FF63BE7B"/>
      </colorScale>
    </cfRule>
    <cfRule type="duplicateValues" dxfId="525" priority="755"/>
    <cfRule type="colorScale" priority="762">
      <colorScale>
        <cfvo type="min"/>
        <cfvo type="max"/>
        <color rgb="FFFCFCFF"/>
        <color rgb="FF63BE7B"/>
      </colorScale>
    </cfRule>
    <cfRule type="duplicateValues" dxfId="524" priority="763"/>
    <cfRule type="colorScale" priority="766">
      <colorScale>
        <cfvo type="min"/>
        <cfvo type="max"/>
        <color rgb="FFFCFCFF"/>
        <color rgb="FF63BE7B"/>
      </colorScale>
    </cfRule>
    <cfRule type="duplicateValues" dxfId="523" priority="767"/>
    <cfRule type="colorScale" priority="810">
      <colorScale>
        <cfvo type="min"/>
        <cfvo type="max"/>
        <color rgb="FFFCFCFF"/>
        <color rgb="FF63BE7B"/>
      </colorScale>
    </cfRule>
    <cfRule type="duplicateValues" dxfId="522" priority="811"/>
    <cfRule type="colorScale" priority="914">
      <colorScale>
        <cfvo type="min"/>
        <cfvo type="max"/>
        <color rgb="FFFCFCFF"/>
        <color rgb="FF63BE7B"/>
      </colorScale>
    </cfRule>
    <cfRule type="duplicateValues" dxfId="521" priority="915"/>
    <cfRule type="colorScale" priority="930">
      <colorScale>
        <cfvo type="min"/>
        <cfvo type="max"/>
        <color rgb="FFFCFCFF"/>
        <color rgb="FF63BE7B"/>
      </colorScale>
    </cfRule>
    <cfRule type="duplicateValues" dxfId="520" priority="931"/>
    <cfRule type="colorScale" priority="938">
      <colorScale>
        <cfvo type="min"/>
        <cfvo type="max"/>
        <color rgb="FFFCFCFF"/>
        <color rgb="FF63BE7B"/>
      </colorScale>
    </cfRule>
    <cfRule type="duplicateValues" dxfId="519" priority="939"/>
    <cfRule type="colorScale" priority="1074">
      <colorScale>
        <cfvo type="min"/>
        <cfvo type="max"/>
        <color rgb="FFFCFCFF"/>
        <color rgb="FF63BE7B"/>
      </colorScale>
    </cfRule>
    <cfRule type="duplicateValues" dxfId="518" priority="1075"/>
  </conditionalFormatting>
  <conditionalFormatting sqref="D37">
    <cfRule type="colorScale" priority="224">
      <colorScale>
        <cfvo type="min"/>
        <cfvo type="max"/>
        <color rgb="FFFCFCFF"/>
        <color rgb="FF63BE7B"/>
      </colorScale>
    </cfRule>
    <cfRule type="duplicateValues" dxfId="517" priority="225"/>
    <cfRule type="colorScale" priority="262">
      <colorScale>
        <cfvo type="min"/>
        <cfvo type="max"/>
        <color rgb="FFFCFCFF"/>
        <color rgb="FF63BE7B"/>
      </colorScale>
    </cfRule>
    <cfRule type="duplicateValues" dxfId="516" priority="263"/>
    <cfRule type="colorScale" priority="330">
      <colorScale>
        <cfvo type="min"/>
        <cfvo type="max"/>
        <color rgb="FFFCFCFF"/>
        <color rgb="FF63BE7B"/>
      </colorScale>
    </cfRule>
    <cfRule type="duplicateValues" dxfId="515" priority="331"/>
    <cfRule type="colorScale" priority="364">
      <colorScale>
        <cfvo type="min"/>
        <cfvo type="max"/>
        <color rgb="FFFCFCFF"/>
        <color rgb="FF63BE7B"/>
      </colorScale>
    </cfRule>
    <cfRule type="duplicateValues" dxfId="514" priority="365"/>
    <cfRule type="colorScale" priority="368">
      <colorScale>
        <cfvo type="min"/>
        <cfvo type="max"/>
        <color rgb="FFFCFCFF"/>
        <color rgb="FF63BE7B"/>
      </colorScale>
    </cfRule>
    <cfRule type="duplicateValues" dxfId="513" priority="369"/>
    <cfRule type="colorScale" priority="426">
      <colorScale>
        <cfvo type="min"/>
        <cfvo type="max"/>
        <color rgb="FFFCFCFF"/>
        <color rgb="FF63BE7B"/>
      </colorScale>
    </cfRule>
    <cfRule type="duplicateValues" dxfId="512" priority="427"/>
    <cfRule type="colorScale" priority="634">
      <colorScale>
        <cfvo type="min"/>
        <cfvo type="max"/>
        <color rgb="FFFCFCFF"/>
        <color rgb="FF63BE7B"/>
      </colorScale>
    </cfRule>
    <cfRule type="duplicateValues" dxfId="511" priority="635"/>
    <cfRule type="colorScale" priority="698">
      <colorScale>
        <cfvo type="min"/>
        <cfvo type="max"/>
        <color rgb="FFFCFCFF"/>
        <color rgb="FF63BE7B"/>
      </colorScale>
    </cfRule>
    <cfRule type="duplicateValues" dxfId="510" priority="699"/>
    <cfRule type="colorScale" priority="706">
      <colorScale>
        <cfvo type="min"/>
        <cfvo type="max"/>
        <color rgb="FFFCFCFF"/>
        <color rgb="FF63BE7B"/>
      </colorScale>
    </cfRule>
    <cfRule type="duplicateValues" dxfId="509" priority="707"/>
    <cfRule type="colorScale" priority="710">
      <colorScale>
        <cfvo type="min"/>
        <cfvo type="max"/>
        <color rgb="FFFCFCFF"/>
        <color rgb="FF63BE7B"/>
      </colorScale>
    </cfRule>
    <cfRule type="duplicateValues" dxfId="508" priority="711"/>
    <cfRule type="colorScale" priority="770">
      <colorScale>
        <cfvo type="min"/>
        <cfvo type="max"/>
        <color rgb="FFFCFCFF"/>
        <color rgb="FF63BE7B"/>
      </colorScale>
    </cfRule>
    <cfRule type="duplicateValues" dxfId="507" priority="771"/>
    <cfRule type="colorScale" priority="844">
      <colorScale>
        <cfvo type="min"/>
        <cfvo type="max"/>
        <color rgb="FFFCFCFF"/>
        <color rgb="FF63BE7B"/>
      </colorScale>
    </cfRule>
    <cfRule type="duplicateValues" dxfId="506" priority="845"/>
    <cfRule type="colorScale" priority="944">
      <colorScale>
        <cfvo type="min"/>
        <cfvo type="max"/>
        <color rgb="FFFCFCFF"/>
        <color rgb="FF63BE7B"/>
      </colorScale>
    </cfRule>
    <cfRule type="duplicateValues" dxfId="505" priority="945"/>
  </conditionalFormatting>
  <conditionalFormatting sqref="D38">
    <cfRule type="colorScale" priority="192">
      <colorScale>
        <cfvo type="min"/>
        <cfvo type="max"/>
        <color rgb="FFFCFCFF"/>
        <color rgb="FF63BE7B"/>
      </colorScale>
    </cfRule>
    <cfRule type="duplicateValues" dxfId="504" priority="193"/>
    <cfRule type="colorScale" priority="228">
      <colorScale>
        <cfvo type="min"/>
        <cfvo type="max"/>
        <color rgb="FFFCFCFF"/>
        <color rgb="FF63BE7B"/>
      </colorScale>
    </cfRule>
    <cfRule type="duplicateValues" dxfId="503" priority="229"/>
    <cfRule type="colorScale" priority="232">
      <colorScale>
        <cfvo type="min"/>
        <cfvo type="max"/>
        <color rgb="FFFCFCFF"/>
        <color rgb="FF63BE7B"/>
      </colorScale>
    </cfRule>
    <cfRule type="duplicateValues" dxfId="502" priority="233"/>
    <cfRule type="colorScale" priority="298">
      <colorScale>
        <cfvo type="min"/>
        <cfvo type="max"/>
        <color rgb="FFFCFCFF"/>
        <color rgb="FF63BE7B"/>
      </colorScale>
    </cfRule>
    <cfRule type="duplicateValues" dxfId="501" priority="299"/>
    <cfRule type="colorScale" priority="334">
      <colorScale>
        <cfvo type="min"/>
        <cfvo type="max"/>
        <color rgb="FFFCFCFF"/>
        <color rgb="FF63BE7B"/>
      </colorScale>
    </cfRule>
    <cfRule type="duplicateValues" dxfId="500" priority="335"/>
    <cfRule type="colorScale" priority="338">
      <colorScale>
        <cfvo type="min"/>
        <cfvo type="max"/>
        <color rgb="FFFCFCFF"/>
        <color rgb="FF63BE7B"/>
      </colorScale>
    </cfRule>
    <cfRule type="duplicateValues" dxfId="499" priority="339"/>
    <cfRule type="colorScale" priority="346">
      <colorScale>
        <cfvo type="min"/>
        <cfvo type="max"/>
        <color rgb="FFFCFCFF"/>
        <color rgb="FF63BE7B"/>
      </colorScale>
    </cfRule>
    <cfRule type="duplicateValues" dxfId="498" priority="347"/>
    <cfRule type="colorScale" priority="372">
      <colorScale>
        <cfvo type="min"/>
        <cfvo type="max"/>
        <color rgb="FFFCFCFF"/>
        <color rgb="FF63BE7B"/>
      </colorScale>
    </cfRule>
    <cfRule type="duplicateValues" dxfId="497" priority="373"/>
    <cfRule type="colorScale" priority="394">
      <colorScale>
        <cfvo type="min"/>
        <cfvo type="max"/>
        <color rgb="FFFCFCFF"/>
        <color rgb="FF63BE7B"/>
      </colorScale>
    </cfRule>
    <cfRule type="duplicateValues" dxfId="496" priority="395"/>
    <cfRule type="colorScale" priority="430">
      <colorScale>
        <cfvo type="min"/>
        <cfvo type="max"/>
        <color rgb="FFFCFCFF"/>
        <color rgb="FF63BE7B"/>
      </colorScale>
    </cfRule>
    <cfRule type="duplicateValues" dxfId="495" priority="431"/>
    <cfRule type="colorScale" priority="434">
      <colorScale>
        <cfvo type="min"/>
        <cfvo type="max"/>
        <color rgb="FFFCFCFF"/>
        <color rgb="FF63BE7B"/>
      </colorScale>
    </cfRule>
    <cfRule type="duplicateValues" dxfId="494" priority="435"/>
    <cfRule type="colorScale" priority="668">
      <colorScale>
        <cfvo type="min"/>
        <cfvo type="max"/>
        <color rgb="FFFCFCFF"/>
        <color rgb="FF63BE7B"/>
      </colorScale>
    </cfRule>
    <cfRule type="duplicateValues" dxfId="493" priority="669"/>
    <cfRule type="colorScale" priority="714">
      <colorScale>
        <cfvo type="min"/>
        <cfvo type="max"/>
        <color rgb="FFFCFCFF"/>
        <color rgb="FF63BE7B"/>
      </colorScale>
    </cfRule>
    <cfRule type="duplicateValues" dxfId="492" priority="715"/>
    <cfRule type="colorScale" priority="812">
      <colorScale>
        <cfvo type="min"/>
        <cfvo type="max"/>
        <color rgb="FFFCFCFF"/>
        <color rgb="FF63BE7B"/>
      </colorScale>
    </cfRule>
    <cfRule type="duplicateValues" dxfId="491" priority="813"/>
    <cfRule type="colorScale" priority="848">
      <colorScale>
        <cfvo type="min"/>
        <cfvo type="max"/>
        <color rgb="FFFCFCFF"/>
        <color rgb="FF63BE7B"/>
      </colorScale>
    </cfRule>
    <cfRule type="duplicateValues" dxfId="490" priority="849"/>
    <cfRule type="colorScale" priority="852">
      <colorScale>
        <cfvo type="min"/>
        <cfvo type="max"/>
        <color rgb="FFFCFCFF"/>
        <color rgb="FF63BE7B"/>
      </colorScale>
    </cfRule>
    <cfRule type="duplicateValues" dxfId="489" priority="853"/>
    <cfRule type="colorScale" priority="1086">
      <colorScale>
        <cfvo type="min"/>
        <cfvo type="max"/>
        <color rgb="FFFCFCFF"/>
        <color rgb="FF63BE7B"/>
      </colorScale>
    </cfRule>
    <cfRule type="duplicateValues" dxfId="488" priority="1087"/>
  </conditionalFormatting>
  <conditionalFormatting sqref="D39">
    <cfRule type="colorScale" priority="2">
      <colorScale>
        <cfvo type="min"/>
        <cfvo type="max"/>
        <color rgb="FFFCFCFF"/>
        <color rgb="FF63BE7B"/>
      </colorScale>
    </cfRule>
    <cfRule type="duplicateValues" dxfId="487" priority="3"/>
    <cfRule type="colorScale" priority="22">
      <colorScale>
        <cfvo type="min"/>
        <cfvo type="max"/>
        <color rgb="FFFCFCFF"/>
        <color rgb="FF63BE7B"/>
      </colorScale>
    </cfRule>
    <cfRule type="duplicateValues" dxfId="486" priority="23"/>
    <cfRule type="colorScale" priority="28">
      <colorScale>
        <cfvo type="min"/>
        <cfvo type="max"/>
        <color rgb="FFFCFCFF"/>
        <color rgb="FF63BE7B"/>
      </colorScale>
    </cfRule>
    <cfRule type="duplicateValues" dxfId="485" priority="29"/>
    <cfRule type="colorScale" priority="32">
      <colorScale>
        <cfvo type="min"/>
        <cfvo type="max"/>
        <color rgb="FFFCFCFF"/>
        <color rgb="FF63BE7B"/>
      </colorScale>
    </cfRule>
    <cfRule type="duplicateValues" dxfId="484" priority="33"/>
    <cfRule type="colorScale" priority="58">
      <colorScale>
        <cfvo type="min"/>
        <cfvo type="max"/>
        <color rgb="FFFCFCFF"/>
        <color rgb="FF63BE7B"/>
      </colorScale>
    </cfRule>
    <cfRule type="duplicateValues" dxfId="483" priority="59"/>
    <cfRule type="colorScale" priority="62">
      <colorScale>
        <cfvo type="min"/>
        <cfvo type="max"/>
        <color rgb="FFFCFCFF"/>
        <color rgb="FF63BE7B"/>
      </colorScale>
    </cfRule>
    <cfRule type="duplicateValues" dxfId="482" priority="63"/>
    <cfRule type="colorScale" priority="70">
      <colorScale>
        <cfvo type="min"/>
        <cfvo type="max"/>
        <color rgb="FFFCFCFF"/>
        <color rgb="FF63BE7B"/>
      </colorScale>
    </cfRule>
    <cfRule type="duplicateValues" dxfId="481" priority="71"/>
    <cfRule type="colorScale" priority="90">
      <colorScale>
        <cfvo type="min"/>
        <cfvo type="max"/>
        <color rgb="FFFCFCFF"/>
        <color rgb="FF63BE7B"/>
      </colorScale>
    </cfRule>
    <cfRule type="duplicateValues" dxfId="480" priority="91"/>
    <cfRule type="colorScale" priority="96">
      <colorScale>
        <cfvo type="min"/>
        <cfvo type="max"/>
        <color rgb="FFFCFCFF"/>
        <color rgb="FF63BE7B"/>
      </colorScale>
    </cfRule>
    <cfRule type="duplicateValues" dxfId="479" priority="97"/>
    <cfRule type="colorScale" priority="100">
      <colorScale>
        <cfvo type="min"/>
        <cfvo type="max"/>
        <color rgb="FFFCFCFF"/>
        <color rgb="FF63BE7B"/>
      </colorScale>
    </cfRule>
    <cfRule type="duplicateValues" dxfId="478" priority="101"/>
    <cfRule type="colorScale" priority="120">
      <colorScale>
        <cfvo type="min"/>
        <cfvo type="max"/>
        <color rgb="FFFCFCFF"/>
        <color rgb="FF63BE7B"/>
      </colorScale>
    </cfRule>
    <cfRule type="duplicateValues" dxfId="477" priority="121"/>
    <cfRule type="colorScale" priority="122">
      <colorScale>
        <cfvo type="min"/>
        <cfvo type="max"/>
        <color rgb="FFFCFCFF"/>
        <color rgb="FF63BE7B"/>
      </colorScale>
    </cfRule>
    <cfRule type="duplicateValues" dxfId="476" priority="123"/>
    <cfRule type="colorScale" priority="130">
      <colorScale>
        <cfvo type="min"/>
        <cfvo type="max"/>
        <color rgb="FFFCFCFF"/>
        <color rgb="FF63BE7B"/>
      </colorScale>
    </cfRule>
    <cfRule type="duplicateValues" dxfId="475" priority="131"/>
    <cfRule type="colorScale" priority="150">
      <colorScale>
        <cfvo type="min"/>
        <cfvo type="max"/>
        <color rgb="FFFCFCFF"/>
        <color rgb="FF63BE7B"/>
      </colorScale>
    </cfRule>
    <cfRule type="duplicateValues" dxfId="474" priority="151"/>
    <cfRule type="colorScale" priority="156">
      <colorScale>
        <cfvo type="min"/>
        <cfvo type="max"/>
        <color rgb="FFFCFCFF"/>
        <color rgb="FF63BE7B"/>
      </colorScale>
    </cfRule>
    <cfRule type="duplicateValues" dxfId="473" priority="157"/>
    <cfRule type="colorScale" priority="160">
      <colorScale>
        <cfvo type="min"/>
        <cfvo type="max"/>
        <color rgb="FFFCFCFF"/>
        <color rgb="FF63BE7B"/>
      </colorScale>
    </cfRule>
    <cfRule type="duplicateValues" dxfId="472" priority="161"/>
    <cfRule type="colorScale" priority="196">
      <colorScale>
        <cfvo type="min"/>
        <cfvo type="max"/>
        <color rgb="FFFCFCFF"/>
        <color rgb="FF63BE7B"/>
      </colorScale>
    </cfRule>
    <cfRule type="duplicateValues" dxfId="471" priority="197"/>
    <cfRule type="colorScale" priority="200">
      <colorScale>
        <cfvo type="min"/>
        <cfvo type="max"/>
        <color rgb="FFFCFCFF"/>
        <color rgb="FF63BE7B"/>
      </colorScale>
    </cfRule>
    <cfRule type="duplicateValues" dxfId="470" priority="201"/>
    <cfRule type="colorScale" priority="208">
      <colorScale>
        <cfvo type="min"/>
        <cfvo type="max"/>
        <color rgb="FFFCFCFF"/>
        <color rgb="FF63BE7B"/>
      </colorScale>
    </cfRule>
    <cfRule type="duplicateValues" dxfId="469" priority="209"/>
    <cfRule type="colorScale" priority="236">
      <colorScale>
        <cfvo type="min"/>
        <cfvo type="max"/>
        <color rgb="FFFCFCFF"/>
        <color rgb="FF63BE7B"/>
      </colorScale>
    </cfRule>
    <cfRule type="duplicateValues" dxfId="468" priority="237"/>
    <cfRule type="colorScale" priority="264">
      <colorScale>
        <cfvo type="min"/>
        <cfvo type="max"/>
        <color rgb="FFFCFCFF"/>
        <color rgb="FF63BE7B"/>
      </colorScale>
    </cfRule>
    <cfRule type="duplicateValues" dxfId="467" priority="265"/>
    <cfRule type="colorScale" priority="302">
      <colorScale>
        <cfvo type="min"/>
        <cfvo type="max"/>
        <color rgb="FFFCFCFF"/>
        <color rgb="FF63BE7B"/>
      </colorScale>
    </cfRule>
    <cfRule type="duplicateValues" dxfId="466" priority="303"/>
    <cfRule type="colorScale" priority="306">
      <colorScale>
        <cfvo type="min"/>
        <cfvo type="max"/>
        <color rgb="FFFCFCFF"/>
        <color rgb="FF63BE7B"/>
      </colorScale>
    </cfRule>
    <cfRule type="duplicateValues" dxfId="465" priority="307"/>
    <cfRule type="colorScale" priority="314">
      <colorScale>
        <cfvo type="min"/>
        <cfvo type="max"/>
        <color rgb="FFFCFCFF"/>
        <color rgb="FF63BE7B"/>
      </colorScale>
    </cfRule>
    <cfRule type="duplicateValues" dxfId="464" priority="315"/>
    <cfRule type="colorScale" priority="342">
      <colorScale>
        <cfvo type="min"/>
        <cfvo type="max"/>
        <color rgb="FFFCFCFF"/>
        <color rgb="FF63BE7B"/>
      </colorScale>
    </cfRule>
    <cfRule type="duplicateValues" dxfId="463" priority="343"/>
    <cfRule type="colorScale" priority="350">
      <colorScale>
        <cfvo type="min"/>
        <cfvo type="max"/>
        <color rgb="FFFCFCFF"/>
        <color rgb="FF63BE7B"/>
      </colorScale>
    </cfRule>
    <cfRule type="duplicateValues" dxfId="462" priority="351"/>
    <cfRule type="colorScale" priority="354">
      <colorScale>
        <cfvo type="min"/>
        <cfvo type="max"/>
        <color rgb="FFFCFCFF"/>
        <color rgb="FF63BE7B"/>
      </colorScale>
    </cfRule>
    <cfRule type="duplicateValues" dxfId="461" priority="355"/>
    <cfRule type="colorScale" priority="398">
      <colorScale>
        <cfvo type="min"/>
        <cfvo type="max"/>
        <color rgb="FFFCFCFF"/>
        <color rgb="FF63BE7B"/>
      </colorScale>
    </cfRule>
    <cfRule type="duplicateValues" dxfId="460" priority="399"/>
    <cfRule type="colorScale" priority="402">
      <colorScale>
        <cfvo type="min"/>
        <cfvo type="max"/>
        <color rgb="FFFCFCFF"/>
        <color rgb="FF63BE7B"/>
      </colorScale>
    </cfRule>
    <cfRule type="duplicateValues" dxfId="459" priority="403"/>
    <cfRule type="colorScale" priority="410">
      <colorScale>
        <cfvo type="min"/>
        <cfvo type="max"/>
        <color rgb="FFFCFCFF"/>
        <color rgb="FF63BE7B"/>
      </colorScale>
    </cfRule>
    <cfRule type="duplicateValues" dxfId="458" priority="411"/>
    <cfRule type="colorScale" priority="438">
      <colorScale>
        <cfvo type="min"/>
        <cfvo type="max"/>
        <color rgb="FFFCFCFF"/>
        <color rgb="FF63BE7B"/>
      </colorScale>
    </cfRule>
    <cfRule type="duplicateValues" dxfId="457" priority="439"/>
    <cfRule type="colorScale" priority="636">
      <colorScale>
        <cfvo type="min"/>
        <cfvo type="max"/>
        <color rgb="FFFCFCFF"/>
        <color rgb="FF63BE7B"/>
      </colorScale>
    </cfRule>
    <cfRule type="duplicateValues" dxfId="456" priority="637"/>
    <cfRule type="colorScale" priority="672">
      <colorScale>
        <cfvo type="min"/>
        <cfvo type="max"/>
        <color rgb="FFFCFCFF"/>
        <color rgb="FF63BE7B"/>
      </colorScale>
    </cfRule>
    <cfRule type="duplicateValues" dxfId="455" priority="673"/>
    <cfRule type="colorScale" priority="676">
      <colorScale>
        <cfvo type="min"/>
        <cfvo type="max"/>
        <color rgb="FFFCFCFF"/>
        <color rgb="FF63BE7B"/>
      </colorScale>
    </cfRule>
    <cfRule type="duplicateValues" dxfId="454" priority="677"/>
    <cfRule type="colorScale" priority="772">
      <colorScale>
        <cfvo type="min"/>
        <cfvo type="max"/>
        <color rgb="FFFCFCFF"/>
        <color rgb="FF63BE7B"/>
      </colorScale>
    </cfRule>
    <cfRule type="duplicateValues" dxfId="453" priority="773"/>
    <cfRule type="colorScale" priority="816">
      <colorScale>
        <cfvo type="min"/>
        <cfvo type="max"/>
        <color rgb="FFFCFCFF"/>
        <color rgb="FF63BE7B"/>
      </colorScale>
    </cfRule>
    <cfRule type="duplicateValues" dxfId="452" priority="817"/>
    <cfRule type="colorScale" priority="820">
      <colorScale>
        <cfvo type="min"/>
        <cfvo type="max"/>
        <color rgb="FFFCFCFF"/>
        <color rgb="FF63BE7B"/>
      </colorScale>
    </cfRule>
    <cfRule type="duplicateValues" dxfId="451" priority="821"/>
    <cfRule type="colorScale" priority="828">
      <colorScale>
        <cfvo type="min"/>
        <cfvo type="max"/>
        <color rgb="FFFCFCFF"/>
        <color rgb="FF63BE7B"/>
      </colorScale>
    </cfRule>
    <cfRule type="duplicateValues" dxfId="450" priority="829"/>
    <cfRule type="colorScale" priority="856">
      <colorScale>
        <cfvo type="min"/>
        <cfvo type="max"/>
        <color rgb="FFFCFCFF"/>
        <color rgb="FF63BE7B"/>
      </colorScale>
    </cfRule>
    <cfRule type="duplicateValues" dxfId="449" priority="857"/>
    <cfRule type="colorScale" priority="956">
      <colorScale>
        <cfvo type="min"/>
        <cfvo type="max"/>
        <color rgb="FFFCFCFF"/>
        <color rgb="FF63BE7B"/>
      </colorScale>
    </cfRule>
    <cfRule type="duplicateValues" dxfId="448" priority="957"/>
    <cfRule type="colorScale" priority="1102">
      <colorScale>
        <cfvo type="min"/>
        <cfvo type="max"/>
        <color rgb="FFFCFCFF"/>
        <color rgb="FF63BE7B"/>
      </colorScale>
    </cfRule>
    <cfRule type="duplicateValues" dxfId="447" priority="1103"/>
    <cfRule type="colorScale" priority="1122">
      <colorScale>
        <cfvo type="min"/>
        <cfvo type="max"/>
        <color rgb="FFFCFCFF"/>
        <color rgb="FF63BE7B"/>
      </colorScale>
    </cfRule>
    <cfRule type="duplicateValues" dxfId="446" priority="1123"/>
  </conditionalFormatting>
  <conditionalFormatting sqref="D40">
    <cfRule type="colorScale" priority="6">
      <colorScale>
        <cfvo type="min"/>
        <cfvo type="max"/>
        <color rgb="FFFCFCFF"/>
        <color rgb="FF63BE7B"/>
      </colorScale>
    </cfRule>
    <cfRule type="duplicateValues" dxfId="445" priority="7"/>
    <cfRule type="colorScale" priority="10">
      <colorScale>
        <cfvo type="min"/>
        <cfvo type="max"/>
        <color rgb="FFFCFCFF"/>
        <color rgb="FF63BE7B"/>
      </colorScale>
    </cfRule>
    <cfRule type="duplicateValues" dxfId="444" priority="11"/>
    <cfRule type="colorScale" priority="36">
      <colorScale>
        <cfvo type="min"/>
        <cfvo type="max"/>
        <color rgb="FFFCFCFF"/>
        <color rgb="FF63BE7B"/>
      </colorScale>
    </cfRule>
    <cfRule type="duplicateValues" dxfId="443" priority="37"/>
    <cfRule type="colorScale" priority="38">
      <colorScale>
        <cfvo type="min"/>
        <cfvo type="max"/>
        <color rgb="FFFCFCFF"/>
        <color rgb="FF63BE7B"/>
      </colorScale>
    </cfRule>
    <cfRule type="duplicateValues" dxfId="442" priority="39"/>
    <cfRule type="colorScale" priority="46">
      <colorScale>
        <cfvo type="min"/>
        <cfvo type="max"/>
        <color rgb="FFFCFCFF"/>
        <color rgb="FF63BE7B"/>
      </colorScale>
    </cfRule>
    <cfRule type="duplicateValues" dxfId="441" priority="47"/>
    <cfRule type="colorScale" priority="66">
      <colorScale>
        <cfvo type="min"/>
        <cfvo type="max"/>
        <color rgb="FFFCFCFF"/>
        <color rgb="FF63BE7B"/>
      </colorScale>
    </cfRule>
    <cfRule type="duplicateValues" dxfId="440" priority="67"/>
    <cfRule type="colorScale" priority="74">
      <colorScale>
        <cfvo type="min"/>
        <cfvo type="max"/>
        <color rgb="FFFCFCFF"/>
        <color rgb="FF63BE7B"/>
      </colorScale>
    </cfRule>
    <cfRule type="duplicateValues" dxfId="439" priority="75"/>
    <cfRule type="colorScale" priority="78">
      <colorScale>
        <cfvo type="min"/>
        <cfvo type="max"/>
        <color rgb="FFFCFCFF"/>
        <color rgb="FF63BE7B"/>
      </colorScale>
    </cfRule>
    <cfRule type="duplicateValues" dxfId="438" priority="79"/>
    <cfRule type="colorScale" priority="104">
      <colorScale>
        <cfvo type="min"/>
        <cfvo type="max"/>
        <color rgb="FFFCFCFF"/>
        <color rgb="FF63BE7B"/>
      </colorScale>
    </cfRule>
    <cfRule type="duplicateValues" dxfId="437" priority="105"/>
    <cfRule type="colorScale" priority="106">
      <colorScale>
        <cfvo type="min"/>
        <cfvo type="max"/>
        <color rgb="FFFCFCFF"/>
        <color rgb="FF63BE7B"/>
      </colorScale>
    </cfRule>
    <cfRule type="duplicateValues" dxfId="436" priority="107"/>
    <cfRule type="colorScale" priority="124">
      <colorScale>
        <cfvo type="min"/>
        <cfvo type="max"/>
        <color rgb="FFFCFCFF"/>
        <color rgb="FF63BE7B"/>
      </colorScale>
    </cfRule>
    <cfRule type="duplicateValues" dxfId="435" priority="125"/>
    <cfRule type="colorScale" priority="126">
      <colorScale>
        <cfvo type="min"/>
        <cfvo type="max"/>
        <color rgb="FFFCFCFF"/>
        <color rgb="FF63BE7B"/>
      </colorScale>
    </cfRule>
    <cfRule type="duplicateValues" dxfId="434" priority="127"/>
    <cfRule type="colorScale" priority="134">
      <colorScale>
        <cfvo type="min"/>
        <cfvo type="max"/>
        <color rgb="FFFCFCFF"/>
        <color rgb="FF63BE7B"/>
      </colorScale>
    </cfRule>
    <cfRule type="duplicateValues" dxfId="433" priority="135"/>
    <cfRule type="colorScale" priority="138">
      <colorScale>
        <cfvo type="min"/>
        <cfvo type="max"/>
        <color rgb="FFFCFCFF"/>
        <color rgb="FF63BE7B"/>
      </colorScale>
    </cfRule>
    <cfRule type="duplicateValues" dxfId="432" priority="139"/>
    <cfRule type="colorScale" priority="164">
      <colorScale>
        <cfvo type="min"/>
        <cfvo type="max"/>
        <color rgb="FFFCFCFF"/>
        <color rgb="FF63BE7B"/>
      </colorScale>
    </cfRule>
    <cfRule type="duplicateValues" dxfId="431" priority="165"/>
    <cfRule type="colorScale" priority="166">
      <colorScale>
        <cfvo type="min"/>
        <cfvo type="max"/>
        <color rgb="FFFCFCFF"/>
        <color rgb="FF63BE7B"/>
      </colorScale>
    </cfRule>
    <cfRule type="duplicateValues" dxfId="430" priority="167"/>
    <cfRule type="colorScale" priority="174">
      <colorScale>
        <cfvo type="min"/>
        <cfvo type="max"/>
        <color rgb="FFFCFCFF"/>
        <color rgb="FF63BE7B"/>
      </colorScale>
    </cfRule>
    <cfRule type="duplicateValues" dxfId="429" priority="175"/>
    <cfRule type="colorScale" priority="204">
      <colorScale>
        <cfvo type="min"/>
        <cfvo type="max"/>
        <color rgb="FFFCFCFF"/>
        <color rgb="FF63BE7B"/>
      </colorScale>
    </cfRule>
    <cfRule type="duplicateValues" dxfId="428" priority="205"/>
    <cfRule type="colorScale" priority="212">
      <colorScale>
        <cfvo type="min"/>
        <cfvo type="max"/>
        <color rgb="FFFCFCFF"/>
        <color rgb="FF63BE7B"/>
      </colorScale>
    </cfRule>
    <cfRule type="duplicateValues" dxfId="427" priority="213"/>
    <cfRule type="colorScale" priority="216">
      <colorScale>
        <cfvo type="min"/>
        <cfvo type="max"/>
        <color rgb="FFFCFCFF"/>
        <color rgb="FF63BE7B"/>
      </colorScale>
    </cfRule>
    <cfRule type="duplicateValues" dxfId="426" priority="217"/>
    <cfRule type="colorScale" priority="268">
      <colorScale>
        <cfvo type="min"/>
        <cfvo type="max"/>
        <color rgb="FFFCFCFF"/>
        <color rgb="FF63BE7B"/>
      </colorScale>
    </cfRule>
    <cfRule type="duplicateValues" dxfId="425" priority="269"/>
    <cfRule type="colorScale" priority="272">
      <colorScale>
        <cfvo type="min"/>
        <cfvo type="max"/>
        <color rgb="FFFCFCFF"/>
        <color rgb="FF63BE7B"/>
      </colorScale>
    </cfRule>
    <cfRule type="duplicateValues" dxfId="424" priority="273"/>
    <cfRule type="colorScale" priority="280">
      <colorScale>
        <cfvo type="min"/>
        <cfvo type="max"/>
        <color rgb="FFFCFCFF"/>
        <color rgb="FF63BE7B"/>
      </colorScale>
    </cfRule>
    <cfRule type="duplicateValues" dxfId="423" priority="281"/>
    <cfRule type="colorScale" priority="310">
      <colorScale>
        <cfvo type="min"/>
        <cfvo type="max"/>
        <color rgb="FFFCFCFF"/>
        <color rgb="FF63BE7B"/>
      </colorScale>
    </cfRule>
    <cfRule type="duplicateValues" dxfId="422" priority="311"/>
    <cfRule type="colorScale" priority="318">
      <colorScale>
        <cfvo type="min"/>
        <cfvo type="max"/>
        <color rgb="FFFCFCFF"/>
        <color rgb="FF63BE7B"/>
      </colorScale>
    </cfRule>
    <cfRule type="duplicateValues" dxfId="421" priority="319"/>
    <cfRule type="colorScale" priority="322">
      <colorScale>
        <cfvo type="min"/>
        <cfvo type="max"/>
        <color rgb="FFFCFCFF"/>
        <color rgb="FF63BE7B"/>
      </colorScale>
    </cfRule>
    <cfRule type="duplicateValues" dxfId="420" priority="323"/>
    <cfRule type="colorScale" priority="358">
      <colorScale>
        <cfvo type="min"/>
        <cfvo type="max"/>
        <color rgb="FFFCFCFF"/>
        <color rgb="FF63BE7B"/>
      </colorScale>
    </cfRule>
    <cfRule type="duplicateValues" dxfId="419" priority="359"/>
    <cfRule type="colorScale" priority="362">
      <colorScale>
        <cfvo type="min"/>
        <cfvo type="max"/>
        <color rgb="FFFCFCFF"/>
        <color rgb="FF63BE7B"/>
      </colorScale>
    </cfRule>
    <cfRule type="duplicateValues" dxfId="418" priority="363"/>
    <cfRule type="colorScale" priority="376">
      <colorScale>
        <cfvo type="min"/>
        <cfvo type="max"/>
        <color rgb="FFFCFCFF"/>
        <color rgb="FF63BE7B"/>
      </colorScale>
    </cfRule>
    <cfRule type="duplicateValues" dxfId="417" priority="377"/>
    <cfRule type="colorScale" priority="406">
      <colorScale>
        <cfvo type="min"/>
        <cfvo type="max"/>
        <color rgb="FFFCFCFF"/>
        <color rgb="FF63BE7B"/>
      </colorScale>
    </cfRule>
    <cfRule type="duplicateValues" dxfId="416" priority="407"/>
    <cfRule type="colorScale" priority="414">
      <colorScale>
        <cfvo type="min"/>
        <cfvo type="max"/>
        <color rgb="FFFCFCFF"/>
        <color rgb="FF63BE7B"/>
      </colorScale>
    </cfRule>
    <cfRule type="duplicateValues" dxfId="415" priority="415"/>
    <cfRule type="colorScale" priority="418">
      <colorScale>
        <cfvo type="min"/>
        <cfvo type="max"/>
        <color rgb="FFFCFCFF"/>
        <color rgb="FF63BE7B"/>
      </colorScale>
    </cfRule>
    <cfRule type="duplicateValues" dxfId="414" priority="419"/>
    <cfRule type="colorScale" priority="442">
      <colorScale>
        <cfvo type="min"/>
        <cfvo type="max"/>
        <color rgb="FFFCFCFF"/>
        <color rgb="FF63BE7B"/>
      </colorScale>
    </cfRule>
    <cfRule type="duplicateValues" dxfId="413" priority="443"/>
    <cfRule type="colorScale" priority="462">
      <colorScale>
        <cfvo type="min"/>
        <cfvo type="max"/>
        <color rgb="FFFCFCFF"/>
        <color rgb="FF63BE7B"/>
      </colorScale>
    </cfRule>
    <cfRule type="duplicateValues" dxfId="412" priority="463"/>
    <cfRule type="colorScale" priority="468">
      <colorScale>
        <cfvo type="min"/>
        <cfvo type="max"/>
        <color rgb="FFFCFCFF"/>
        <color rgb="FF63BE7B"/>
      </colorScale>
    </cfRule>
    <cfRule type="duplicateValues" dxfId="411" priority="469"/>
    <cfRule type="colorScale" priority="472">
      <colorScale>
        <cfvo type="min"/>
        <cfvo type="max"/>
        <color rgb="FFFCFCFF"/>
        <color rgb="FF63BE7B"/>
      </colorScale>
    </cfRule>
    <cfRule type="duplicateValues" dxfId="410" priority="473"/>
    <cfRule type="colorScale" priority="498">
      <colorScale>
        <cfvo type="min"/>
        <cfvo type="max"/>
        <color rgb="FFFCFCFF"/>
        <color rgb="FF63BE7B"/>
      </colorScale>
    </cfRule>
    <cfRule type="duplicateValues" dxfId="409" priority="499"/>
    <cfRule type="colorScale" priority="502">
      <colorScale>
        <cfvo type="min"/>
        <cfvo type="max"/>
        <color rgb="FFFCFCFF"/>
        <color rgb="FF63BE7B"/>
      </colorScale>
    </cfRule>
    <cfRule type="duplicateValues" dxfId="408" priority="503"/>
    <cfRule type="colorScale" priority="510">
      <colorScale>
        <cfvo type="min"/>
        <cfvo type="max"/>
        <color rgb="FFFCFCFF"/>
        <color rgb="FF63BE7B"/>
      </colorScale>
    </cfRule>
    <cfRule type="duplicateValues" dxfId="407" priority="511"/>
    <cfRule type="colorScale" priority="530">
      <colorScale>
        <cfvo type="min"/>
        <cfvo type="max"/>
        <color rgb="FFFCFCFF"/>
        <color rgb="FF63BE7B"/>
      </colorScale>
    </cfRule>
    <cfRule type="duplicateValues" dxfId="406" priority="531"/>
    <cfRule type="colorScale" priority="536">
      <colorScale>
        <cfvo type="min"/>
        <cfvo type="max"/>
        <color rgb="FFFCFCFF"/>
        <color rgb="FF63BE7B"/>
      </colorScale>
    </cfRule>
    <cfRule type="duplicateValues" dxfId="405" priority="537"/>
    <cfRule type="colorScale" priority="540">
      <colorScale>
        <cfvo type="min"/>
        <cfvo type="max"/>
        <color rgb="FFFCFCFF"/>
        <color rgb="FF63BE7B"/>
      </colorScale>
    </cfRule>
    <cfRule type="duplicateValues" dxfId="404" priority="541"/>
    <cfRule type="colorScale" priority="560">
      <colorScale>
        <cfvo type="min"/>
        <cfvo type="max"/>
        <color rgb="FFFCFCFF"/>
        <color rgb="FF63BE7B"/>
      </colorScale>
    </cfRule>
    <cfRule type="duplicateValues" dxfId="403" priority="561"/>
    <cfRule type="colorScale" priority="562">
      <colorScale>
        <cfvo type="min"/>
        <cfvo type="max"/>
        <color rgb="FFFCFCFF"/>
        <color rgb="FF63BE7B"/>
      </colorScale>
    </cfRule>
    <cfRule type="duplicateValues" dxfId="402" priority="563"/>
    <cfRule type="colorScale" priority="570">
      <colorScale>
        <cfvo type="min"/>
        <cfvo type="max"/>
        <color rgb="FFFCFCFF"/>
        <color rgb="FF63BE7B"/>
      </colorScale>
    </cfRule>
    <cfRule type="duplicateValues" dxfId="401" priority="571"/>
    <cfRule type="colorScale" priority="590">
      <colorScale>
        <cfvo type="min"/>
        <cfvo type="max"/>
        <color rgb="FFFCFCFF"/>
        <color rgb="FF63BE7B"/>
      </colorScale>
    </cfRule>
    <cfRule type="duplicateValues" dxfId="400" priority="591"/>
    <cfRule type="colorScale" priority="596">
      <colorScale>
        <cfvo type="min"/>
        <cfvo type="max"/>
        <color rgb="FFFCFCFF"/>
        <color rgb="FF63BE7B"/>
      </colorScale>
    </cfRule>
    <cfRule type="duplicateValues" dxfId="399" priority="597"/>
    <cfRule type="colorScale" priority="600">
      <colorScale>
        <cfvo type="min"/>
        <cfvo type="max"/>
        <color rgb="FFFCFCFF"/>
        <color rgb="FF63BE7B"/>
      </colorScale>
    </cfRule>
    <cfRule type="duplicateValues" dxfId="398" priority="601"/>
    <cfRule type="colorScale" priority="640">
      <colorScale>
        <cfvo type="min"/>
        <cfvo type="max"/>
        <color rgb="FFFCFCFF"/>
        <color rgb="FF63BE7B"/>
      </colorScale>
    </cfRule>
    <cfRule type="duplicateValues" dxfId="397" priority="641"/>
    <cfRule type="colorScale" priority="644">
      <colorScale>
        <cfvo type="min"/>
        <cfvo type="max"/>
        <color rgb="FFFCFCFF"/>
        <color rgb="FF63BE7B"/>
      </colorScale>
    </cfRule>
    <cfRule type="duplicateValues" dxfId="396" priority="645"/>
    <cfRule type="colorScale" priority="652">
      <colorScale>
        <cfvo type="min"/>
        <cfvo type="max"/>
        <color rgb="FFFCFCFF"/>
        <color rgb="FF63BE7B"/>
      </colorScale>
    </cfRule>
    <cfRule type="duplicateValues" dxfId="395" priority="653"/>
    <cfRule type="colorScale" priority="680">
      <colorScale>
        <cfvo type="min"/>
        <cfvo type="max"/>
        <color rgb="FFFCFCFF"/>
        <color rgb="FF63BE7B"/>
      </colorScale>
    </cfRule>
    <cfRule type="duplicateValues" dxfId="394" priority="681"/>
    <cfRule type="colorScale" priority="718">
      <colorScale>
        <cfvo type="min"/>
        <cfvo type="max"/>
        <color rgb="FFFCFCFF"/>
        <color rgb="FF63BE7B"/>
      </colorScale>
    </cfRule>
    <cfRule type="duplicateValues" dxfId="393" priority="719"/>
    <cfRule type="colorScale" priority="776">
      <colorScale>
        <cfvo type="min"/>
        <cfvo type="max"/>
        <color rgb="FFFCFCFF"/>
        <color rgb="FF63BE7B"/>
      </colorScale>
    </cfRule>
    <cfRule type="duplicateValues" dxfId="392" priority="777"/>
    <cfRule type="colorScale" priority="780">
      <colorScale>
        <cfvo type="min"/>
        <cfvo type="max"/>
        <color rgb="FFFCFCFF"/>
        <color rgb="FF63BE7B"/>
      </colorScale>
    </cfRule>
    <cfRule type="duplicateValues" dxfId="391" priority="781"/>
    <cfRule type="colorScale" priority="790">
      <colorScale>
        <cfvo type="min"/>
        <cfvo type="max"/>
        <color rgb="FFFCFCFF"/>
        <color rgb="FF63BE7B"/>
      </colorScale>
    </cfRule>
    <cfRule type="duplicateValues" dxfId="390" priority="791"/>
    <cfRule type="colorScale" priority="824">
      <colorScale>
        <cfvo type="min"/>
        <cfvo type="max"/>
        <color rgb="FFFCFCFF"/>
        <color rgb="FF63BE7B"/>
      </colorScale>
    </cfRule>
    <cfRule type="duplicateValues" dxfId="389" priority="825"/>
    <cfRule type="colorScale" priority="832">
      <colorScale>
        <cfvo type="min"/>
        <cfvo type="max"/>
        <color rgb="FFFCFCFF"/>
        <color rgb="FF63BE7B"/>
      </colorScale>
    </cfRule>
    <cfRule type="duplicateValues" dxfId="388" priority="833"/>
    <cfRule type="colorScale" priority="836">
      <colorScale>
        <cfvo type="min"/>
        <cfvo type="max"/>
        <color rgb="FFFCFCFF"/>
        <color rgb="FF63BE7B"/>
      </colorScale>
    </cfRule>
    <cfRule type="duplicateValues" dxfId="387" priority="837"/>
    <cfRule type="colorScale" priority="972">
      <colorScale>
        <cfvo type="min"/>
        <cfvo type="max"/>
        <color rgb="FFFCFCFF"/>
        <color rgb="FF63BE7B"/>
      </colorScale>
    </cfRule>
    <cfRule type="duplicateValues" dxfId="386" priority="973"/>
    <cfRule type="colorScale" priority="988">
      <colorScale>
        <cfvo type="min"/>
        <cfvo type="max"/>
        <color rgb="FFFCFCFF"/>
        <color rgb="FF63BE7B"/>
      </colorScale>
    </cfRule>
    <cfRule type="duplicateValues" dxfId="385" priority="989"/>
    <cfRule type="colorScale" priority="1020">
      <colorScale>
        <cfvo type="min"/>
        <cfvo type="max"/>
        <color rgb="FFFCFCFF"/>
        <color rgb="FF63BE7B"/>
      </colorScale>
    </cfRule>
    <cfRule type="duplicateValues" dxfId="384" priority="1021"/>
    <cfRule type="colorScale" priority="1142">
      <colorScale>
        <cfvo type="min"/>
        <cfvo type="max"/>
        <color rgb="FFFCFCFF"/>
        <color rgb="FF63BE7B"/>
      </colorScale>
    </cfRule>
    <cfRule type="duplicateValues" dxfId="383" priority="1143"/>
  </conditionalFormatting>
  <conditionalFormatting sqref="D41">
    <cfRule type="colorScale" priority="14">
      <colorScale>
        <cfvo type="min"/>
        <cfvo type="max"/>
        <color rgb="FFFCFCFF"/>
        <color rgb="FF63BE7B"/>
      </colorScale>
    </cfRule>
    <cfRule type="duplicateValues" dxfId="382" priority="15"/>
    <cfRule type="colorScale" priority="16">
      <colorScale>
        <cfvo type="min"/>
        <cfvo type="max"/>
        <color rgb="FFFCFCFF"/>
        <color rgb="FF63BE7B"/>
      </colorScale>
    </cfRule>
    <cfRule type="duplicateValues" dxfId="381" priority="17"/>
    <cfRule type="colorScale" priority="40">
      <colorScale>
        <cfvo type="min"/>
        <cfvo type="max"/>
        <color rgb="FFFCFCFF"/>
        <color rgb="FF63BE7B"/>
      </colorScale>
    </cfRule>
    <cfRule type="duplicateValues" dxfId="380" priority="41"/>
    <cfRule type="colorScale" priority="42">
      <colorScale>
        <cfvo type="min"/>
        <cfvo type="max"/>
        <color rgb="FFFCFCFF"/>
        <color rgb="FF63BE7B"/>
      </colorScale>
    </cfRule>
    <cfRule type="duplicateValues" dxfId="379" priority="43"/>
    <cfRule type="colorScale" priority="50">
      <colorScale>
        <cfvo type="min"/>
        <cfvo type="max"/>
        <color rgb="FFFCFCFF"/>
        <color rgb="FF63BE7B"/>
      </colorScale>
    </cfRule>
    <cfRule type="duplicateValues" dxfId="378" priority="51"/>
    <cfRule type="colorScale" priority="52">
      <colorScale>
        <cfvo type="min"/>
        <cfvo type="max"/>
        <color rgb="FFFCFCFF"/>
        <color rgb="FF63BE7B"/>
      </colorScale>
    </cfRule>
    <cfRule type="duplicateValues" dxfId="377" priority="53"/>
    <cfRule type="colorScale" priority="82">
      <colorScale>
        <cfvo type="min"/>
        <cfvo type="max"/>
        <color rgb="FFFCFCFF"/>
        <color rgb="FF63BE7B"/>
      </colorScale>
    </cfRule>
    <cfRule type="duplicateValues" dxfId="376" priority="83"/>
    <cfRule type="colorScale" priority="84">
      <colorScale>
        <cfvo type="min"/>
        <cfvo type="max"/>
        <color rgb="FFFCFCFF"/>
        <color rgb="FF63BE7B"/>
      </colorScale>
    </cfRule>
    <cfRule type="duplicateValues" dxfId="375" priority="85"/>
    <cfRule type="colorScale" priority="108">
      <colorScale>
        <cfvo type="min"/>
        <cfvo type="max"/>
        <color rgb="FFFCFCFF"/>
        <color rgb="FF63BE7B"/>
      </colorScale>
    </cfRule>
    <cfRule type="duplicateValues" dxfId="374" priority="109"/>
    <cfRule type="colorScale" priority="110">
      <colorScale>
        <cfvo type="min"/>
        <cfvo type="max"/>
        <color rgb="FFFCFCFF"/>
        <color rgb="FF63BE7B"/>
      </colorScale>
    </cfRule>
    <cfRule type="duplicateValues" dxfId="373" priority="111"/>
    <cfRule type="colorScale" priority="114">
      <colorScale>
        <cfvo type="min"/>
        <cfvo type="max"/>
        <color rgb="FFFCFCFF"/>
        <color rgb="FF63BE7B"/>
      </colorScale>
    </cfRule>
    <cfRule type="duplicateValues" dxfId="372" priority="115"/>
    <cfRule type="colorScale" priority="128">
      <colorScale>
        <cfvo type="min"/>
        <cfvo type="max"/>
        <color rgb="FFFCFCFF"/>
        <color rgb="FF63BE7B"/>
      </colorScale>
    </cfRule>
    <cfRule type="duplicateValues" dxfId="371" priority="129"/>
    <cfRule type="colorScale" priority="142">
      <colorScale>
        <cfvo type="min"/>
        <cfvo type="max"/>
        <color rgb="FFFCFCFF"/>
        <color rgb="FF63BE7B"/>
      </colorScale>
    </cfRule>
    <cfRule type="duplicateValues" dxfId="370" priority="143"/>
    <cfRule type="colorScale" priority="144">
      <colorScale>
        <cfvo type="min"/>
        <cfvo type="max"/>
        <color rgb="FFFCFCFF"/>
        <color rgb="FF63BE7B"/>
      </colorScale>
    </cfRule>
    <cfRule type="duplicateValues" dxfId="369" priority="145"/>
    <cfRule type="colorScale" priority="168">
      <colorScale>
        <cfvo type="min"/>
        <cfvo type="max"/>
        <color rgb="FFFCFCFF"/>
        <color rgb="FF63BE7B"/>
      </colorScale>
    </cfRule>
    <cfRule type="duplicateValues" dxfId="368" priority="169"/>
    <cfRule type="colorScale" priority="170">
      <colorScale>
        <cfvo type="min"/>
        <cfvo type="max"/>
        <color rgb="FFFCFCFF"/>
        <color rgb="FF63BE7B"/>
      </colorScale>
    </cfRule>
    <cfRule type="duplicateValues" dxfId="367" priority="171"/>
    <cfRule type="colorScale" priority="178">
      <colorScale>
        <cfvo type="min"/>
        <cfvo type="max"/>
        <color rgb="FFFCFCFF"/>
        <color rgb="FF63BE7B"/>
      </colorScale>
    </cfRule>
    <cfRule type="duplicateValues" dxfId="366" priority="179"/>
    <cfRule type="colorScale" priority="182">
      <colorScale>
        <cfvo type="min"/>
        <cfvo type="max"/>
        <color rgb="FFFCFCFF"/>
        <color rgb="FF63BE7B"/>
      </colorScale>
    </cfRule>
    <cfRule type="duplicateValues" dxfId="365" priority="183"/>
    <cfRule type="colorScale" priority="220">
      <colorScale>
        <cfvo type="min"/>
        <cfvo type="max"/>
        <color rgb="FFFCFCFF"/>
        <color rgb="FF63BE7B"/>
      </colorScale>
    </cfRule>
    <cfRule type="duplicateValues" dxfId="364" priority="221"/>
    <cfRule type="colorScale" priority="226">
      <colorScale>
        <cfvo type="min"/>
        <cfvo type="max"/>
        <color rgb="FFFCFCFF"/>
        <color rgb="FF63BE7B"/>
      </colorScale>
    </cfRule>
    <cfRule type="duplicateValues" dxfId="363" priority="227"/>
    <cfRule type="colorScale" priority="240">
      <colorScale>
        <cfvo type="min"/>
        <cfvo type="max"/>
        <color rgb="FFFCFCFF"/>
        <color rgb="FF63BE7B"/>
      </colorScale>
    </cfRule>
    <cfRule type="duplicateValues" dxfId="362" priority="241"/>
    <cfRule type="colorScale" priority="276">
      <colorScale>
        <cfvo type="min"/>
        <cfvo type="max"/>
        <color rgb="FFFCFCFF"/>
        <color rgb="FF63BE7B"/>
      </colorScale>
    </cfRule>
    <cfRule type="duplicateValues" dxfId="361" priority="277"/>
    <cfRule type="colorScale" priority="284">
      <colorScale>
        <cfvo type="min"/>
        <cfvo type="max"/>
        <color rgb="FFFCFCFF"/>
        <color rgb="FF63BE7B"/>
      </colorScale>
    </cfRule>
    <cfRule type="duplicateValues" dxfId="360" priority="285"/>
    <cfRule type="colorScale" priority="288">
      <colorScale>
        <cfvo type="min"/>
        <cfvo type="max"/>
        <color rgb="FFFCFCFF"/>
        <color rgb="FF63BE7B"/>
      </colorScale>
    </cfRule>
    <cfRule type="duplicateValues" dxfId="359" priority="289"/>
    <cfRule type="colorScale" priority="326">
      <colorScale>
        <cfvo type="min"/>
        <cfvo type="max"/>
        <color rgb="FFFCFCFF"/>
        <color rgb="FF63BE7B"/>
      </colorScale>
    </cfRule>
    <cfRule type="duplicateValues" dxfId="358" priority="327"/>
    <cfRule type="colorScale" priority="332">
      <colorScale>
        <cfvo type="min"/>
        <cfvo type="max"/>
        <color rgb="FFFCFCFF"/>
        <color rgb="FF63BE7B"/>
      </colorScale>
    </cfRule>
    <cfRule type="duplicateValues" dxfId="357" priority="333"/>
    <cfRule type="colorScale" priority="366">
      <colorScale>
        <cfvo type="min"/>
        <cfvo type="max"/>
        <color rgb="FFFCFCFF"/>
        <color rgb="FF63BE7B"/>
      </colorScale>
    </cfRule>
    <cfRule type="duplicateValues" dxfId="356" priority="367"/>
    <cfRule type="colorScale" priority="370">
      <colorScale>
        <cfvo type="min"/>
        <cfvo type="max"/>
        <color rgb="FFFCFCFF"/>
        <color rgb="FF63BE7B"/>
      </colorScale>
    </cfRule>
    <cfRule type="duplicateValues" dxfId="355" priority="371"/>
    <cfRule type="colorScale" priority="380">
      <colorScale>
        <cfvo type="min"/>
        <cfvo type="max"/>
        <color rgb="FFFCFCFF"/>
        <color rgb="FF63BE7B"/>
      </colorScale>
    </cfRule>
    <cfRule type="duplicateValues" dxfId="354" priority="381"/>
    <cfRule type="colorScale" priority="384">
      <colorScale>
        <cfvo type="min"/>
        <cfvo type="max"/>
        <color rgb="FFFCFCFF"/>
        <color rgb="FF63BE7B"/>
      </colorScale>
    </cfRule>
    <cfRule type="duplicateValues" dxfId="353" priority="385"/>
    <cfRule type="colorScale" priority="422">
      <colorScale>
        <cfvo type="min"/>
        <cfvo type="max"/>
        <color rgb="FFFCFCFF"/>
        <color rgb="FF63BE7B"/>
      </colorScale>
    </cfRule>
    <cfRule type="duplicateValues" dxfId="352" priority="423"/>
    <cfRule type="colorScale" priority="428">
      <colorScale>
        <cfvo type="min"/>
        <cfvo type="max"/>
        <color rgb="FFFCFCFF"/>
        <color rgb="FF63BE7B"/>
      </colorScale>
    </cfRule>
    <cfRule type="duplicateValues" dxfId="351" priority="429"/>
    <cfRule type="colorScale" priority="446">
      <colorScale>
        <cfvo type="min"/>
        <cfvo type="max"/>
        <color rgb="FFFCFCFF"/>
        <color rgb="FF63BE7B"/>
      </colorScale>
    </cfRule>
    <cfRule type="duplicateValues" dxfId="350" priority="447"/>
    <cfRule type="colorScale" priority="450">
      <colorScale>
        <cfvo type="min"/>
        <cfvo type="max"/>
        <color rgb="FFFCFCFF"/>
        <color rgb="FF63BE7B"/>
      </colorScale>
    </cfRule>
    <cfRule type="duplicateValues" dxfId="349" priority="451"/>
    <cfRule type="colorScale" priority="476">
      <colorScale>
        <cfvo type="min"/>
        <cfvo type="max"/>
        <color rgb="FFFCFCFF"/>
        <color rgb="FF63BE7B"/>
      </colorScale>
    </cfRule>
    <cfRule type="duplicateValues" dxfId="348" priority="477"/>
    <cfRule type="colorScale" priority="478">
      <colorScale>
        <cfvo type="min"/>
        <cfvo type="max"/>
        <color rgb="FFFCFCFF"/>
        <color rgb="FF63BE7B"/>
      </colorScale>
    </cfRule>
    <cfRule type="duplicateValues" dxfId="347" priority="479"/>
    <cfRule type="colorScale" priority="486">
      <colorScale>
        <cfvo type="min"/>
        <cfvo type="max"/>
        <color rgb="FFFCFCFF"/>
        <color rgb="FF63BE7B"/>
      </colorScale>
    </cfRule>
    <cfRule type="duplicateValues" dxfId="346" priority="487"/>
    <cfRule type="colorScale" priority="506">
      <colorScale>
        <cfvo type="min"/>
        <cfvo type="max"/>
        <color rgb="FFFCFCFF"/>
        <color rgb="FF63BE7B"/>
      </colorScale>
    </cfRule>
    <cfRule type="duplicateValues" dxfId="345" priority="507"/>
    <cfRule type="colorScale" priority="514">
      <colorScale>
        <cfvo type="min"/>
        <cfvo type="max"/>
        <color rgb="FFFCFCFF"/>
        <color rgb="FF63BE7B"/>
      </colorScale>
    </cfRule>
    <cfRule type="duplicateValues" dxfId="344" priority="515"/>
    <cfRule type="colorScale" priority="518">
      <colorScale>
        <cfvo type="min"/>
        <cfvo type="max"/>
        <color rgb="FFFCFCFF"/>
        <color rgb="FF63BE7B"/>
      </colorScale>
    </cfRule>
    <cfRule type="duplicateValues" dxfId="343" priority="519"/>
    <cfRule type="colorScale" priority="544">
      <colorScale>
        <cfvo type="min"/>
        <cfvo type="max"/>
        <color rgb="FFFCFCFF"/>
        <color rgb="FF63BE7B"/>
      </colorScale>
    </cfRule>
    <cfRule type="duplicateValues" dxfId="342" priority="545"/>
    <cfRule type="colorScale" priority="546">
      <colorScale>
        <cfvo type="min"/>
        <cfvo type="max"/>
        <color rgb="FFFCFCFF"/>
        <color rgb="FF63BE7B"/>
      </colorScale>
    </cfRule>
    <cfRule type="duplicateValues" dxfId="341" priority="547"/>
    <cfRule type="colorScale" priority="564">
      <colorScale>
        <cfvo type="min"/>
        <cfvo type="max"/>
        <color rgb="FFFCFCFF"/>
        <color rgb="FF63BE7B"/>
      </colorScale>
    </cfRule>
    <cfRule type="duplicateValues" dxfId="340" priority="565"/>
    <cfRule type="colorScale" priority="566">
      <colorScale>
        <cfvo type="min"/>
        <cfvo type="max"/>
        <color rgb="FFFCFCFF"/>
        <color rgb="FF63BE7B"/>
      </colorScale>
    </cfRule>
    <cfRule type="duplicateValues" dxfId="339" priority="567"/>
    <cfRule type="colorScale" priority="574">
      <colorScale>
        <cfvo type="min"/>
        <cfvo type="max"/>
        <color rgb="FFFCFCFF"/>
        <color rgb="FF63BE7B"/>
      </colorScale>
    </cfRule>
    <cfRule type="duplicateValues" dxfId="338" priority="575"/>
    <cfRule type="colorScale" priority="578">
      <colorScale>
        <cfvo type="min"/>
        <cfvo type="max"/>
        <color rgb="FFFCFCFF"/>
        <color rgb="FF63BE7B"/>
      </colorScale>
    </cfRule>
    <cfRule type="duplicateValues" dxfId="337" priority="579"/>
    <cfRule type="colorScale" priority="604">
      <colorScale>
        <cfvo type="min"/>
        <cfvo type="max"/>
        <color rgb="FFFCFCFF"/>
        <color rgb="FF63BE7B"/>
      </colorScale>
    </cfRule>
    <cfRule type="duplicateValues" dxfId="336" priority="605"/>
    <cfRule type="colorScale" priority="606">
      <colorScale>
        <cfvo type="min"/>
        <cfvo type="max"/>
        <color rgb="FFFCFCFF"/>
        <color rgb="FF63BE7B"/>
      </colorScale>
    </cfRule>
    <cfRule type="duplicateValues" dxfId="335" priority="607"/>
    <cfRule type="colorScale" priority="614">
      <colorScale>
        <cfvo type="min"/>
        <cfvo type="max"/>
        <color rgb="FFFCFCFF"/>
        <color rgb="FF63BE7B"/>
      </colorScale>
    </cfRule>
    <cfRule type="duplicateValues" dxfId="334" priority="615"/>
    <cfRule type="colorScale" priority="648">
      <colorScale>
        <cfvo type="min"/>
        <cfvo type="max"/>
        <color rgb="FFFCFCFF"/>
        <color rgb="FF63BE7B"/>
      </colorScale>
    </cfRule>
    <cfRule type="duplicateValues" dxfId="333" priority="649"/>
    <cfRule type="colorScale" priority="656">
      <colorScale>
        <cfvo type="min"/>
        <cfvo type="max"/>
        <color rgb="FFFCFCFF"/>
        <color rgb="FF63BE7B"/>
      </colorScale>
    </cfRule>
    <cfRule type="duplicateValues" dxfId="332" priority="657"/>
    <cfRule type="colorScale" priority="660">
      <colorScale>
        <cfvo type="min"/>
        <cfvo type="max"/>
        <color rgb="FFFCFCFF"/>
        <color rgb="FF63BE7B"/>
      </colorScale>
    </cfRule>
    <cfRule type="duplicateValues" dxfId="331" priority="661"/>
    <cfRule type="colorScale" priority="722">
      <colorScale>
        <cfvo type="min"/>
        <cfvo type="max"/>
        <color rgb="FFFCFCFF"/>
        <color rgb="FF63BE7B"/>
      </colorScale>
    </cfRule>
    <cfRule type="duplicateValues" dxfId="330" priority="723"/>
    <cfRule type="colorScale" priority="728">
      <colorScale>
        <cfvo type="min"/>
        <cfvo type="max"/>
        <color rgb="FFFCFCFF"/>
        <color rgb="FF63BE7B"/>
      </colorScale>
    </cfRule>
    <cfRule type="duplicateValues" dxfId="329" priority="729"/>
    <cfRule type="colorScale" priority="742">
      <colorScale>
        <cfvo type="min"/>
        <cfvo type="max"/>
        <color rgb="FFFCFCFF"/>
        <color rgb="FF63BE7B"/>
      </colorScale>
    </cfRule>
    <cfRule type="duplicateValues" dxfId="328" priority="743"/>
    <cfRule type="colorScale" priority="784">
      <colorScale>
        <cfvo type="min"/>
        <cfvo type="max"/>
        <color rgb="FFFCFCFF"/>
        <color rgb="FF63BE7B"/>
      </colorScale>
    </cfRule>
    <cfRule type="duplicateValues" dxfId="327" priority="785"/>
    <cfRule type="colorScale" priority="794">
      <colorScale>
        <cfvo type="min"/>
        <cfvo type="max"/>
        <color rgb="FFFCFCFF"/>
        <color rgb="FF63BE7B"/>
      </colorScale>
    </cfRule>
    <cfRule type="duplicateValues" dxfId="326" priority="795"/>
    <cfRule type="colorScale" priority="800">
      <colorScale>
        <cfvo type="min"/>
        <cfvo type="max"/>
        <color rgb="FFFCFCFF"/>
        <color rgb="FF63BE7B"/>
      </colorScale>
    </cfRule>
    <cfRule type="duplicateValues" dxfId="325" priority="801"/>
    <cfRule type="colorScale" priority="840">
      <colorScale>
        <cfvo type="min"/>
        <cfvo type="max"/>
        <color rgb="FFFCFCFF"/>
        <color rgb="FF63BE7B"/>
      </colorScale>
    </cfRule>
    <cfRule type="duplicateValues" dxfId="324" priority="841"/>
    <cfRule type="colorScale" priority="846">
      <colorScale>
        <cfvo type="min"/>
        <cfvo type="max"/>
        <color rgb="FFFCFCFF"/>
        <color rgb="FF63BE7B"/>
      </colorScale>
    </cfRule>
    <cfRule type="duplicateValues" dxfId="323" priority="847"/>
    <cfRule type="colorScale" priority="894">
      <colorScale>
        <cfvo type="min"/>
        <cfvo type="max"/>
        <color rgb="FFFCFCFF"/>
        <color rgb="FF63BE7B"/>
      </colorScale>
    </cfRule>
    <cfRule type="duplicateValues" dxfId="322" priority="895"/>
    <cfRule type="colorScale" priority="1004">
      <colorScale>
        <cfvo type="min"/>
        <cfvo type="max"/>
        <color rgb="FFFCFCFF"/>
        <color rgb="FF63BE7B"/>
      </colorScale>
    </cfRule>
    <cfRule type="duplicateValues" dxfId="321" priority="1005"/>
    <cfRule type="colorScale" priority="1036">
      <colorScale>
        <cfvo type="min"/>
        <cfvo type="max"/>
        <color rgb="FFFCFCFF"/>
        <color rgb="FF63BE7B"/>
      </colorScale>
    </cfRule>
    <cfRule type="duplicateValues" dxfId="320" priority="1037"/>
    <cfRule type="colorScale" priority="1054">
      <colorScale>
        <cfvo type="min"/>
        <cfvo type="max"/>
        <color rgb="FFFCFCFF"/>
        <color rgb="FF63BE7B"/>
      </colorScale>
    </cfRule>
    <cfRule type="duplicateValues" dxfId="319" priority="1055"/>
  </conditionalFormatting>
  <conditionalFormatting sqref="D42">
    <cfRule type="colorScale" priority="18">
      <colorScale>
        <cfvo type="min"/>
        <cfvo type="max"/>
        <color rgb="FFFCFCFF"/>
        <color rgb="FF63BE7B"/>
      </colorScale>
    </cfRule>
    <cfRule type="duplicateValues" dxfId="318" priority="19"/>
    <cfRule type="colorScale" priority="20">
      <colorScale>
        <cfvo type="min"/>
        <cfvo type="max"/>
        <color rgb="FFFCFCFF"/>
        <color rgb="FF63BE7B"/>
      </colorScale>
    </cfRule>
    <cfRule type="duplicateValues" dxfId="317" priority="21"/>
    <cfRule type="colorScale" priority="26">
      <colorScale>
        <cfvo type="min"/>
        <cfvo type="max"/>
        <color rgb="FFFCFCFF"/>
        <color rgb="FF63BE7B"/>
      </colorScale>
    </cfRule>
    <cfRule type="duplicateValues" dxfId="316" priority="27"/>
    <cfRule type="colorScale" priority="44">
      <colorScale>
        <cfvo type="min"/>
        <cfvo type="max"/>
        <color rgb="FFFCFCFF"/>
        <color rgb="FF63BE7B"/>
      </colorScale>
    </cfRule>
    <cfRule type="duplicateValues" dxfId="315" priority="45"/>
    <cfRule type="colorScale" priority="54">
      <colorScale>
        <cfvo type="min"/>
        <cfvo type="max"/>
        <color rgb="FFFCFCFF"/>
        <color rgb="FF63BE7B"/>
      </colorScale>
    </cfRule>
    <cfRule type="duplicateValues" dxfId="314" priority="55"/>
    <cfRule type="colorScale" priority="56">
      <colorScale>
        <cfvo type="min"/>
        <cfvo type="max"/>
        <color rgb="FFFCFCFF"/>
        <color rgb="FF63BE7B"/>
      </colorScale>
    </cfRule>
    <cfRule type="duplicateValues" dxfId="313" priority="57"/>
    <cfRule type="colorScale" priority="86">
      <colorScale>
        <cfvo type="min"/>
        <cfvo type="max"/>
        <color rgb="FFFCFCFF"/>
        <color rgb="FF63BE7B"/>
      </colorScale>
    </cfRule>
    <cfRule type="duplicateValues" dxfId="312" priority="87"/>
    <cfRule type="colorScale" priority="88">
      <colorScale>
        <cfvo type="min"/>
        <cfvo type="max"/>
        <color rgb="FFFCFCFF"/>
        <color rgb="FF63BE7B"/>
      </colorScale>
    </cfRule>
    <cfRule type="duplicateValues" dxfId="311" priority="89"/>
    <cfRule type="colorScale" priority="94">
      <colorScale>
        <cfvo type="min"/>
        <cfvo type="max"/>
        <color rgb="FFFCFCFF"/>
        <color rgb="FF63BE7B"/>
      </colorScale>
    </cfRule>
    <cfRule type="duplicateValues" dxfId="310" priority="95"/>
    <cfRule type="colorScale" priority="112">
      <colorScale>
        <cfvo type="min"/>
        <cfvo type="max"/>
        <color rgb="FFFCFCFF"/>
        <color rgb="FF63BE7B"/>
      </colorScale>
    </cfRule>
    <cfRule type="duplicateValues" dxfId="309" priority="113"/>
    <cfRule type="colorScale" priority="116">
      <colorScale>
        <cfvo type="min"/>
        <cfvo type="max"/>
        <color rgb="FFFCFCFF"/>
        <color rgb="FF63BE7B"/>
      </colorScale>
    </cfRule>
    <cfRule type="duplicateValues" dxfId="308" priority="117"/>
    <cfRule type="colorScale" priority="118">
      <colorScale>
        <cfvo type="min"/>
        <cfvo type="max"/>
        <color rgb="FFFCFCFF"/>
        <color rgb="FF63BE7B"/>
      </colorScale>
    </cfRule>
    <cfRule type="duplicateValues" dxfId="307" priority="119"/>
    <cfRule type="colorScale" priority="146">
      <colorScale>
        <cfvo type="min"/>
        <cfvo type="max"/>
        <color rgb="FFFCFCFF"/>
        <color rgb="FF63BE7B"/>
      </colorScale>
    </cfRule>
    <cfRule type="duplicateValues" dxfId="306" priority="147"/>
    <cfRule type="colorScale" priority="148">
      <colorScale>
        <cfvo type="min"/>
        <cfvo type="max"/>
        <color rgb="FFFCFCFF"/>
        <color rgb="FF63BE7B"/>
      </colorScale>
    </cfRule>
    <cfRule type="duplicateValues" dxfId="305" priority="149"/>
    <cfRule type="colorScale" priority="154">
      <colorScale>
        <cfvo type="min"/>
        <cfvo type="max"/>
        <color rgb="FFFCFCFF"/>
        <color rgb="FF63BE7B"/>
      </colorScale>
    </cfRule>
    <cfRule type="duplicateValues" dxfId="304" priority="155"/>
    <cfRule type="colorScale" priority="172">
      <colorScale>
        <cfvo type="min"/>
        <cfvo type="max"/>
        <color rgb="FFFCFCFF"/>
        <color rgb="FF63BE7B"/>
      </colorScale>
    </cfRule>
    <cfRule type="duplicateValues" dxfId="303" priority="173"/>
    <cfRule type="colorScale" priority="188">
      <colorScale>
        <cfvo type="min"/>
        <cfvo type="max"/>
        <color rgb="FFFCFCFF"/>
        <color rgb="FF63BE7B"/>
      </colorScale>
    </cfRule>
    <cfRule type="duplicateValues" dxfId="302" priority="189"/>
    <cfRule type="colorScale" priority="194">
      <colorScale>
        <cfvo type="min"/>
        <cfvo type="max"/>
        <color rgb="FFFCFCFF"/>
        <color rgb="FF63BE7B"/>
      </colorScale>
    </cfRule>
    <cfRule type="duplicateValues" dxfId="301" priority="195"/>
    <cfRule type="colorScale" priority="230">
      <colorScale>
        <cfvo type="min"/>
        <cfvo type="max"/>
        <color rgb="FFFCFCFF"/>
        <color rgb="FF63BE7B"/>
      </colorScale>
    </cfRule>
    <cfRule type="duplicateValues" dxfId="300" priority="231"/>
    <cfRule type="colorScale" priority="234">
      <colorScale>
        <cfvo type="min"/>
        <cfvo type="max"/>
        <color rgb="FFFCFCFF"/>
        <color rgb="FF63BE7B"/>
      </colorScale>
    </cfRule>
    <cfRule type="duplicateValues" dxfId="299" priority="235"/>
    <cfRule type="colorScale" priority="246">
      <colorScale>
        <cfvo type="min"/>
        <cfvo type="max"/>
        <color rgb="FFFCFCFF"/>
        <color rgb="FF63BE7B"/>
      </colorScale>
    </cfRule>
    <cfRule type="duplicateValues" dxfId="298" priority="247"/>
    <cfRule type="colorScale" priority="252">
      <colorScale>
        <cfvo type="min"/>
        <cfvo type="max"/>
        <color rgb="FFFCFCFF"/>
        <color rgb="FF63BE7B"/>
      </colorScale>
    </cfRule>
    <cfRule type="duplicateValues" dxfId="297" priority="253"/>
    <cfRule type="colorScale" priority="294">
      <colorScale>
        <cfvo type="min"/>
        <cfvo type="max"/>
        <color rgb="FFFCFCFF"/>
        <color rgb="FF63BE7B"/>
      </colorScale>
    </cfRule>
    <cfRule type="duplicateValues" dxfId="296" priority="295"/>
    <cfRule type="colorScale" priority="300">
      <colorScale>
        <cfvo type="min"/>
        <cfvo type="max"/>
        <color rgb="FFFCFCFF"/>
        <color rgb="FF63BE7B"/>
      </colorScale>
    </cfRule>
    <cfRule type="duplicateValues" dxfId="295" priority="301"/>
    <cfRule type="colorScale" priority="336">
      <colorScale>
        <cfvo type="min"/>
        <cfvo type="max"/>
        <color rgb="FFFCFCFF"/>
        <color rgb="FF63BE7B"/>
      </colorScale>
    </cfRule>
    <cfRule type="duplicateValues" dxfId="294" priority="337"/>
    <cfRule type="colorScale" priority="340">
      <colorScale>
        <cfvo type="min"/>
        <cfvo type="max"/>
        <color rgb="FFFCFCFF"/>
        <color rgb="FF63BE7B"/>
      </colorScale>
    </cfRule>
    <cfRule type="duplicateValues" dxfId="293" priority="341"/>
    <cfRule type="colorScale" priority="348">
      <colorScale>
        <cfvo type="min"/>
        <cfvo type="max"/>
        <color rgb="FFFCFCFF"/>
        <color rgb="FF63BE7B"/>
      </colorScale>
    </cfRule>
    <cfRule type="duplicateValues" dxfId="292" priority="349"/>
    <cfRule type="colorScale" priority="374">
      <colorScale>
        <cfvo type="min"/>
        <cfvo type="max"/>
        <color rgb="FFFCFCFF"/>
        <color rgb="FF63BE7B"/>
      </colorScale>
    </cfRule>
    <cfRule type="duplicateValues" dxfId="291" priority="375"/>
    <cfRule type="colorScale" priority="390">
      <colorScale>
        <cfvo type="min"/>
        <cfvo type="max"/>
        <color rgb="FFFCFCFF"/>
        <color rgb="FF63BE7B"/>
      </colorScale>
    </cfRule>
    <cfRule type="duplicateValues" dxfId="290" priority="391"/>
    <cfRule type="colorScale" priority="396">
      <colorScale>
        <cfvo type="min"/>
        <cfvo type="max"/>
        <color rgb="FFFCFCFF"/>
        <color rgb="FF63BE7B"/>
      </colorScale>
    </cfRule>
    <cfRule type="duplicateValues" dxfId="289" priority="397"/>
    <cfRule type="colorScale" priority="432">
      <colorScale>
        <cfvo type="min"/>
        <cfvo type="max"/>
        <color rgb="FFFCFCFF"/>
        <color rgb="FF63BE7B"/>
      </colorScale>
    </cfRule>
    <cfRule type="duplicateValues" dxfId="288" priority="433"/>
    <cfRule type="colorScale" priority="436">
      <colorScale>
        <cfvo type="min"/>
        <cfvo type="max"/>
        <color rgb="FFFCFCFF"/>
        <color rgb="FF63BE7B"/>
      </colorScale>
    </cfRule>
    <cfRule type="duplicateValues" dxfId="287" priority="437"/>
    <cfRule type="colorScale" priority="454">
      <colorScale>
        <cfvo type="min"/>
        <cfvo type="max"/>
        <color rgb="FFFCFCFF"/>
        <color rgb="FF63BE7B"/>
      </colorScale>
    </cfRule>
    <cfRule type="duplicateValues" dxfId="286" priority="455"/>
    <cfRule type="colorScale" priority="456">
      <colorScale>
        <cfvo type="min"/>
        <cfvo type="max"/>
        <color rgb="FFFCFCFF"/>
        <color rgb="FF63BE7B"/>
      </colorScale>
    </cfRule>
    <cfRule type="duplicateValues" dxfId="285" priority="457"/>
    <cfRule type="colorScale" priority="480">
      <colorScale>
        <cfvo type="min"/>
        <cfvo type="max"/>
        <color rgb="FFFCFCFF"/>
        <color rgb="FF63BE7B"/>
      </colorScale>
    </cfRule>
    <cfRule type="duplicateValues" dxfId="284" priority="481"/>
    <cfRule type="colorScale" priority="482">
      <colorScale>
        <cfvo type="min"/>
        <cfvo type="max"/>
        <color rgb="FFFCFCFF"/>
        <color rgb="FF63BE7B"/>
      </colorScale>
    </cfRule>
    <cfRule type="duplicateValues" dxfId="283" priority="483"/>
    <cfRule type="colorScale" priority="490">
      <colorScale>
        <cfvo type="min"/>
        <cfvo type="max"/>
        <color rgb="FFFCFCFF"/>
        <color rgb="FF63BE7B"/>
      </colorScale>
    </cfRule>
    <cfRule type="duplicateValues" dxfId="282" priority="491"/>
    <cfRule type="colorScale" priority="492">
      <colorScale>
        <cfvo type="min"/>
        <cfvo type="max"/>
        <color rgb="FFFCFCFF"/>
        <color rgb="FF63BE7B"/>
      </colorScale>
    </cfRule>
    <cfRule type="duplicateValues" dxfId="281" priority="493"/>
    <cfRule type="colorScale" priority="522">
      <colorScale>
        <cfvo type="min"/>
        <cfvo type="max"/>
        <color rgb="FFFCFCFF"/>
        <color rgb="FF63BE7B"/>
      </colorScale>
    </cfRule>
    <cfRule type="duplicateValues" dxfId="280" priority="523"/>
    <cfRule type="colorScale" priority="524">
      <colorScale>
        <cfvo type="min"/>
        <cfvo type="max"/>
        <color rgb="FFFCFCFF"/>
        <color rgb="FF63BE7B"/>
      </colorScale>
    </cfRule>
    <cfRule type="duplicateValues" dxfId="279" priority="525"/>
    <cfRule type="colorScale" priority="548">
      <colorScale>
        <cfvo type="min"/>
        <cfvo type="max"/>
        <color rgb="FFFCFCFF"/>
        <color rgb="FF63BE7B"/>
      </colorScale>
    </cfRule>
    <cfRule type="duplicateValues" dxfId="278" priority="549"/>
    <cfRule type="colorScale" priority="550">
      <colorScale>
        <cfvo type="min"/>
        <cfvo type="max"/>
        <color rgb="FFFCFCFF"/>
        <color rgb="FF63BE7B"/>
      </colorScale>
    </cfRule>
    <cfRule type="duplicateValues" dxfId="277" priority="551"/>
    <cfRule type="colorScale" priority="554">
      <colorScale>
        <cfvo type="min"/>
        <cfvo type="max"/>
        <color rgb="FFFCFCFF"/>
        <color rgb="FF63BE7B"/>
      </colorScale>
    </cfRule>
    <cfRule type="duplicateValues" dxfId="276" priority="555"/>
    <cfRule type="colorScale" priority="568">
      <colorScale>
        <cfvo type="min"/>
        <cfvo type="max"/>
        <color rgb="FFFCFCFF"/>
        <color rgb="FF63BE7B"/>
      </colorScale>
    </cfRule>
    <cfRule type="duplicateValues" dxfId="275" priority="569"/>
    <cfRule type="colorScale" priority="582">
      <colorScale>
        <cfvo type="min"/>
        <cfvo type="max"/>
        <color rgb="FFFCFCFF"/>
        <color rgb="FF63BE7B"/>
      </colorScale>
    </cfRule>
    <cfRule type="duplicateValues" dxfId="274" priority="583"/>
    <cfRule type="colorScale" priority="584">
      <colorScale>
        <cfvo type="min"/>
        <cfvo type="max"/>
        <color rgb="FFFCFCFF"/>
        <color rgb="FF63BE7B"/>
      </colorScale>
    </cfRule>
    <cfRule type="duplicateValues" dxfId="273" priority="585"/>
    <cfRule type="colorScale" priority="608">
      <colorScale>
        <cfvo type="min"/>
        <cfvo type="max"/>
        <color rgb="FFFCFCFF"/>
        <color rgb="FF63BE7B"/>
      </colorScale>
    </cfRule>
    <cfRule type="duplicateValues" dxfId="272" priority="609"/>
    <cfRule type="colorScale" priority="610">
      <colorScale>
        <cfvo type="min"/>
        <cfvo type="max"/>
        <color rgb="FFFCFCFF"/>
        <color rgb="FF63BE7B"/>
      </colorScale>
    </cfRule>
    <cfRule type="duplicateValues" dxfId="271" priority="611"/>
    <cfRule type="colorScale" priority="618">
      <colorScale>
        <cfvo type="min"/>
        <cfvo type="max"/>
        <color rgb="FFFCFCFF"/>
        <color rgb="FF63BE7B"/>
      </colorScale>
    </cfRule>
    <cfRule type="duplicateValues" dxfId="270" priority="619"/>
    <cfRule type="colorScale" priority="624">
      <colorScale>
        <cfvo type="min"/>
        <cfvo type="max"/>
        <color rgb="FFFCFCFF"/>
        <color rgb="FF63BE7B"/>
      </colorScale>
    </cfRule>
    <cfRule type="duplicateValues" dxfId="269" priority="625"/>
    <cfRule type="colorScale" priority="664">
      <colorScale>
        <cfvo type="min"/>
        <cfvo type="max"/>
        <color rgb="FFFCFCFF"/>
        <color rgb="FF63BE7B"/>
      </colorScale>
    </cfRule>
    <cfRule type="duplicateValues" dxfId="268" priority="665"/>
    <cfRule type="colorScale" priority="670">
      <colorScale>
        <cfvo type="min"/>
        <cfvo type="max"/>
        <color rgb="FFFCFCFF"/>
        <color rgb="FF63BE7B"/>
      </colorScale>
    </cfRule>
    <cfRule type="duplicateValues" dxfId="267" priority="671"/>
    <cfRule type="colorScale" priority="686">
      <colorScale>
        <cfvo type="min"/>
        <cfvo type="max"/>
        <color rgb="FFFCFCFF"/>
        <color rgb="FF63BE7B"/>
      </colorScale>
    </cfRule>
    <cfRule type="duplicateValues" dxfId="266" priority="687"/>
    <cfRule type="colorScale" priority="736">
      <colorScale>
        <cfvo type="min"/>
        <cfvo type="max"/>
        <color rgb="FFFCFCFF"/>
        <color rgb="FF63BE7B"/>
      </colorScale>
    </cfRule>
    <cfRule type="duplicateValues" dxfId="265" priority="737"/>
    <cfRule type="colorScale" priority="750">
      <colorScale>
        <cfvo type="min"/>
        <cfvo type="max"/>
        <color rgb="FFFCFCFF"/>
        <color rgb="FF63BE7B"/>
      </colorScale>
    </cfRule>
    <cfRule type="duplicateValues" dxfId="264" priority="751"/>
    <cfRule type="colorScale" priority="758">
      <colorScale>
        <cfvo type="min"/>
        <cfvo type="max"/>
        <color rgb="FFFCFCFF"/>
        <color rgb="FF63BE7B"/>
      </colorScale>
    </cfRule>
    <cfRule type="duplicateValues" dxfId="263" priority="759"/>
    <cfRule type="colorScale" priority="808">
      <colorScale>
        <cfvo type="min"/>
        <cfvo type="max"/>
        <color rgb="FFFCFCFF"/>
        <color rgb="FF63BE7B"/>
      </colorScale>
    </cfRule>
    <cfRule type="duplicateValues" dxfId="262" priority="809"/>
    <cfRule type="colorScale" priority="814">
      <colorScale>
        <cfvo type="min"/>
        <cfvo type="max"/>
        <color rgb="FFFCFCFF"/>
        <color rgb="FF63BE7B"/>
      </colorScale>
    </cfRule>
    <cfRule type="duplicateValues" dxfId="261" priority="815"/>
    <cfRule type="colorScale" priority="850">
      <colorScale>
        <cfvo type="min"/>
        <cfvo type="max"/>
        <color rgb="FFFCFCFF"/>
        <color rgb="FF63BE7B"/>
      </colorScale>
    </cfRule>
    <cfRule type="duplicateValues" dxfId="260" priority="851"/>
    <cfRule type="colorScale" priority="854">
      <colorScale>
        <cfvo type="min"/>
        <cfvo type="max"/>
        <color rgb="FFFCFCFF"/>
        <color rgb="FF63BE7B"/>
      </colorScale>
    </cfRule>
    <cfRule type="duplicateValues" dxfId="259" priority="855"/>
    <cfRule type="colorScale" priority="910">
      <colorScale>
        <cfvo type="min"/>
        <cfvo type="max"/>
        <color rgb="FFFCFCFF"/>
        <color rgb="FF63BE7B"/>
      </colorScale>
    </cfRule>
    <cfRule type="duplicateValues" dxfId="258" priority="911"/>
    <cfRule type="colorScale" priority="926">
      <colorScale>
        <cfvo type="min"/>
        <cfvo type="max"/>
        <color rgb="FFFCFCFF"/>
        <color rgb="FF63BE7B"/>
      </colorScale>
    </cfRule>
    <cfRule type="duplicateValues" dxfId="257" priority="927"/>
    <cfRule type="colorScale" priority="1072">
      <colorScale>
        <cfvo type="min"/>
        <cfvo type="max"/>
        <color rgb="FFFCFCFF"/>
        <color rgb="FF63BE7B"/>
      </colorScale>
    </cfRule>
    <cfRule type="duplicateValues" dxfId="256" priority="1073"/>
    <cfRule type="colorScale" priority="1088">
      <colorScale>
        <cfvo type="min"/>
        <cfvo type="max"/>
        <color rgb="FFFCFCFF"/>
        <color rgb="FF63BE7B"/>
      </colorScale>
    </cfRule>
    <cfRule type="duplicateValues" dxfId="255" priority="1089"/>
  </conditionalFormatting>
  <conditionalFormatting sqref="D43">
    <cfRule type="colorScale" priority="4">
      <colorScale>
        <cfvo type="min"/>
        <cfvo type="max"/>
        <color rgb="FFFCFCFF"/>
        <color rgb="FF63BE7B"/>
      </colorScale>
    </cfRule>
    <cfRule type="duplicateValues" dxfId="254" priority="5"/>
    <cfRule type="colorScale" priority="24">
      <colorScale>
        <cfvo type="min"/>
        <cfvo type="max"/>
        <color rgb="FFFCFCFF"/>
        <color rgb="FF63BE7B"/>
      </colorScale>
    </cfRule>
    <cfRule type="duplicateValues" dxfId="253" priority="25"/>
    <cfRule type="colorScale" priority="30">
      <colorScale>
        <cfvo type="min"/>
        <cfvo type="max"/>
        <color rgb="FFFCFCFF"/>
        <color rgb="FF63BE7B"/>
      </colorScale>
    </cfRule>
    <cfRule type="duplicateValues" dxfId="252" priority="31"/>
    <cfRule type="colorScale" priority="34">
      <colorScale>
        <cfvo type="min"/>
        <cfvo type="max"/>
        <color rgb="FFFCFCFF"/>
        <color rgb="FF63BE7B"/>
      </colorScale>
    </cfRule>
    <cfRule type="duplicateValues" dxfId="251" priority="35"/>
    <cfRule type="colorScale" priority="60">
      <colorScale>
        <cfvo type="min"/>
        <cfvo type="max"/>
        <color rgb="FFFCFCFF"/>
        <color rgb="FF63BE7B"/>
      </colorScale>
    </cfRule>
    <cfRule type="duplicateValues" dxfId="250" priority="61"/>
    <cfRule type="colorScale" priority="64">
      <colorScale>
        <cfvo type="min"/>
        <cfvo type="max"/>
        <color rgb="FFFCFCFF"/>
        <color rgb="FF63BE7B"/>
      </colorScale>
    </cfRule>
    <cfRule type="duplicateValues" dxfId="249" priority="65"/>
    <cfRule type="colorScale" priority="72">
      <colorScale>
        <cfvo type="min"/>
        <cfvo type="max"/>
        <color rgb="FFFCFCFF"/>
        <color rgb="FF63BE7B"/>
      </colorScale>
    </cfRule>
    <cfRule type="duplicateValues" dxfId="248" priority="73"/>
    <cfRule type="colorScale" priority="92">
      <colorScale>
        <cfvo type="min"/>
        <cfvo type="max"/>
        <color rgb="FFFCFCFF"/>
        <color rgb="FF63BE7B"/>
      </colorScale>
    </cfRule>
    <cfRule type="duplicateValues" dxfId="247" priority="93"/>
    <cfRule type="colorScale" priority="98">
      <colorScale>
        <cfvo type="min"/>
        <cfvo type="max"/>
        <color rgb="FFFCFCFF"/>
        <color rgb="FF63BE7B"/>
      </colorScale>
    </cfRule>
    <cfRule type="duplicateValues" dxfId="246" priority="99"/>
    <cfRule type="colorScale" priority="102">
      <colorScale>
        <cfvo type="min"/>
        <cfvo type="max"/>
        <color rgb="FFFCFCFF"/>
        <color rgb="FF63BE7B"/>
      </colorScale>
    </cfRule>
    <cfRule type="duplicateValues" dxfId="245" priority="103"/>
    <cfRule type="colorScale" priority="132">
      <colorScale>
        <cfvo type="min"/>
        <cfvo type="max"/>
        <color rgb="FFFCFCFF"/>
        <color rgb="FF63BE7B"/>
      </colorScale>
    </cfRule>
    <cfRule type="duplicateValues" dxfId="244" priority="133"/>
    <cfRule type="colorScale" priority="152">
      <colorScale>
        <cfvo type="min"/>
        <cfvo type="max"/>
        <color rgb="FFFCFCFF"/>
        <color rgb="FF63BE7B"/>
      </colorScale>
    </cfRule>
    <cfRule type="duplicateValues" dxfId="243" priority="153"/>
    <cfRule type="colorScale" priority="158">
      <colorScale>
        <cfvo type="min"/>
        <cfvo type="max"/>
        <color rgb="FFFCFCFF"/>
        <color rgb="FF63BE7B"/>
      </colorScale>
    </cfRule>
    <cfRule type="duplicateValues" dxfId="242" priority="159"/>
    <cfRule type="colorScale" priority="162">
      <colorScale>
        <cfvo type="min"/>
        <cfvo type="max"/>
        <color rgb="FFFCFCFF"/>
        <color rgb="FF63BE7B"/>
      </colorScale>
    </cfRule>
    <cfRule type="duplicateValues" dxfId="241" priority="163"/>
    <cfRule type="colorScale" priority="198">
      <colorScale>
        <cfvo type="min"/>
        <cfvo type="max"/>
        <color rgb="FFFCFCFF"/>
        <color rgb="FF63BE7B"/>
      </colorScale>
    </cfRule>
    <cfRule type="duplicateValues" dxfId="240" priority="199"/>
    <cfRule type="colorScale" priority="202">
      <colorScale>
        <cfvo type="min"/>
        <cfvo type="max"/>
        <color rgb="FFFCFCFF"/>
        <color rgb="FF63BE7B"/>
      </colorScale>
    </cfRule>
    <cfRule type="duplicateValues" dxfId="239" priority="203"/>
    <cfRule type="colorScale" priority="210">
      <colorScale>
        <cfvo type="min"/>
        <cfvo type="max"/>
        <color rgb="FFFCFCFF"/>
        <color rgb="FF63BE7B"/>
      </colorScale>
    </cfRule>
    <cfRule type="duplicateValues" dxfId="238" priority="211"/>
    <cfRule type="colorScale" priority="238">
      <colorScale>
        <cfvo type="min"/>
        <cfvo type="max"/>
        <color rgb="FFFCFCFF"/>
        <color rgb="FF63BE7B"/>
      </colorScale>
    </cfRule>
    <cfRule type="duplicateValues" dxfId="237" priority="239"/>
    <cfRule type="colorScale" priority="260">
      <colorScale>
        <cfvo type="min"/>
        <cfvo type="max"/>
        <color rgb="FFFCFCFF"/>
        <color rgb="FF63BE7B"/>
      </colorScale>
    </cfRule>
    <cfRule type="duplicateValues" dxfId="236" priority="261"/>
    <cfRule type="colorScale" priority="266">
      <colorScale>
        <cfvo type="min"/>
        <cfvo type="max"/>
        <color rgb="FFFCFCFF"/>
        <color rgb="FF63BE7B"/>
      </colorScale>
    </cfRule>
    <cfRule type="duplicateValues" dxfId="235" priority="267"/>
    <cfRule type="colorScale" priority="304">
      <colorScale>
        <cfvo type="min"/>
        <cfvo type="max"/>
        <color rgb="FFFCFCFF"/>
        <color rgb="FF63BE7B"/>
      </colorScale>
    </cfRule>
    <cfRule type="duplicateValues" dxfId="234" priority="305"/>
    <cfRule type="colorScale" priority="308">
      <colorScale>
        <cfvo type="min"/>
        <cfvo type="max"/>
        <color rgb="FFFCFCFF"/>
        <color rgb="FF63BE7B"/>
      </colorScale>
    </cfRule>
    <cfRule type="duplicateValues" dxfId="233" priority="309"/>
    <cfRule type="colorScale" priority="316">
      <colorScale>
        <cfvo type="min"/>
        <cfvo type="max"/>
        <color rgb="FFFCFCFF"/>
        <color rgb="FF63BE7B"/>
      </colorScale>
    </cfRule>
    <cfRule type="duplicateValues" dxfId="232" priority="317"/>
    <cfRule type="colorScale" priority="344">
      <colorScale>
        <cfvo type="min"/>
        <cfvo type="max"/>
        <color rgb="FFFCFCFF"/>
        <color rgb="FF63BE7B"/>
      </colorScale>
    </cfRule>
    <cfRule type="duplicateValues" dxfId="231" priority="345"/>
    <cfRule type="colorScale" priority="352">
      <colorScale>
        <cfvo type="min"/>
        <cfvo type="max"/>
        <color rgb="FFFCFCFF"/>
        <color rgb="FF63BE7B"/>
      </colorScale>
    </cfRule>
    <cfRule type="duplicateValues" dxfId="230" priority="353"/>
    <cfRule type="colorScale" priority="356">
      <colorScale>
        <cfvo type="min"/>
        <cfvo type="max"/>
        <color rgb="FFFCFCFF"/>
        <color rgb="FF63BE7B"/>
      </colorScale>
    </cfRule>
    <cfRule type="duplicateValues" dxfId="229" priority="357"/>
    <cfRule type="colorScale" priority="400">
      <colorScale>
        <cfvo type="min"/>
        <cfvo type="max"/>
        <color rgb="FFFCFCFF"/>
        <color rgb="FF63BE7B"/>
      </colorScale>
    </cfRule>
    <cfRule type="duplicateValues" dxfId="228" priority="401"/>
    <cfRule type="colorScale" priority="404">
      <colorScale>
        <cfvo type="min"/>
        <cfvo type="max"/>
        <color rgb="FFFCFCFF"/>
        <color rgb="FF63BE7B"/>
      </colorScale>
    </cfRule>
    <cfRule type="duplicateValues" dxfId="227" priority="405"/>
    <cfRule type="colorScale" priority="412">
      <colorScale>
        <cfvo type="min"/>
        <cfvo type="max"/>
        <color rgb="FFFCFCFF"/>
        <color rgb="FF63BE7B"/>
      </colorScale>
    </cfRule>
    <cfRule type="duplicateValues" dxfId="226" priority="413"/>
    <cfRule type="colorScale" priority="440">
      <colorScale>
        <cfvo type="min"/>
        <cfvo type="max"/>
        <color rgb="FFFCFCFF"/>
        <color rgb="FF63BE7B"/>
      </colorScale>
    </cfRule>
    <cfRule type="duplicateValues" dxfId="225" priority="441"/>
    <cfRule type="colorScale" priority="458">
      <colorScale>
        <cfvo type="min"/>
        <cfvo type="max"/>
        <color rgb="FFFCFCFF"/>
        <color rgb="FF63BE7B"/>
      </colorScale>
    </cfRule>
    <cfRule type="duplicateValues" dxfId="224" priority="459"/>
    <cfRule type="colorScale" priority="460">
      <colorScale>
        <cfvo type="min"/>
        <cfvo type="max"/>
        <color rgb="FFFCFCFF"/>
        <color rgb="FF63BE7B"/>
      </colorScale>
    </cfRule>
    <cfRule type="duplicateValues" dxfId="223" priority="461"/>
    <cfRule type="colorScale" priority="466">
      <colorScale>
        <cfvo type="min"/>
        <cfvo type="max"/>
        <color rgb="FFFCFCFF"/>
        <color rgb="FF63BE7B"/>
      </colorScale>
    </cfRule>
    <cfRule type="duplicateValues" dxfId="222" priority="467"/>
    <cfRule type="colorScale" priority="484">
      <colorScale>
        <cfvo type="min"/>
        <cfvo type="max"/>
        <color rgb="FFFCFCFF"/>
        <color rgb="FF63BE7B"/>
      </colorScale>
    </cfRule>
    <cfRule type="duplicateValues" dxfId="221" priority="485"/>
    <cfRule type="colorScale" priority="494">
      <colorScale>
        <cfvo type="min"/>
        <cfvo type="max"/>
        <color rgb="FFFCFCFF"/>
        <color rgb="FF63BE7B"/>
      </colorScale>
    </cfRule>
    <cfRule type="duplicateValues" dxfId="220" priority="495"/>
    <cfRule type="colorScale" priority="496">
      <colorScale>
        <cfvo type="min"/>
        <cfvo type="max"/>
        <color rgb="FFFCFCFF"/>
        <color rgb="FF63BE7B"/>
      </colorScale>
    </cfRule>
    <cfRule type="duplicateValues" dxfId="219" priority="497"/>
    <cfRule type="colorScale" priority="526">
      <colorScale>
        <cfvo type="min"/>
        <cfvo type="max"/>
        <color rgb="FFFCFCFF"/>
        <color rgb="FF63BE7B"/>
      </colorScale>
    </cfRule>
    <cfRule type="duplicateValues" dxfId="218" priority="527"/>
    <cfRule type="colorScale" priority="528">
      <colorScale>
        <cfvo type="min"/>
        <cfvo type="max"/>
        <color rgb="FFFCFCFF"/>
        <color rgb="FF63BE7B"/>
      </colorScale>
    </cfRule>
    <cfRule type="duplicateValues" dxfId="217" priority="529"/>
    <cfRule type="colorScale" priority="534">
      <colorScale>
        <cfvo type="min"/>
        <cfvo type="max"/>
        <color rgb="FFFCFCFF"/>
        <color rgb="FF63BE7B"/>
      </colorScale>
    </cfRule>
    <cfRule type="duplicateValues" dxfId="216" priority="535"/>
    <cfRule type="colorScale" priority="552">
      <colorScale>
        <cfvo type="min"/>
        <cfvo type="max"/>
        <color rgb="FFFCFCFF"/>
        <color rgb="FF63BE7B"/>
      </colorScale>
    </cfRule>
    <cfRule type="duplicateValues" dxfId="215" priority="553"/>
    <cfRule type="colorScale" priority="556">
      <colorScale>
        <cfvo type="min"/>
        <cfvo type="max"/>
        <color rgb="FFFCFCFF"/>
        <color rgb="FF63BE7B"/>
      </colorScale>
    </cfRule>
    <cfRule type="duplicateValues" dxfId="214" priority="557"/>
    <cfRule type="colorScale" priority="558">
      <colorScale>
        <cfvo type="min"/>
        <cfvo type="max"/>
        <color rgb="FFFCFCFF"/>
        <color rgb="FF63BE7B"/>
      </colorScale>
    </cfRule>
    <cfRule type="duplicateValues" dxfId="213" priority="559"/>
    <cfRule type="colorScale" priority="586">
      <colorScale>
        <cfvo type="min"/>
        <cfvo type="max"/>
        <color rgb="FFFCFCFF"/>
        <color rgb="FF63BE7B"/>
      </colorScale>
    </cfRule>
    <cfRule type="duplicateValues" dxfId="212" priority="587"/>
    <cfRule type="colorScale" priority="588">
      <colorScale>
        <cfvo type="min"/>
        <cfvo type="max"/>
        <color rgb="FFFCFCFF"/>
        <color rgb="FF63BE7B"/>
      </colorScale>
    </cfRule>
    <cfRule type="duplicateValues" dxfId="211" priority="589"/>
    <cfRule type="colorScale" priority="594">
      <colorScale>
        <cfvo type="min"/>
        <cfvo type="max"/>
        <color rgb="FFFCFCFF"/>
        <color rgb="FF63BE7B"/>
      </colorScale>
    </cfRule>
    <cfRule type="duplicateValues" dxfId="210" priority="595"/>
    <cfRule type="colorScale" priority="612">
      <colorScale>
        <cfvo type="min"/>
        <cfvo type="max"/>
        <color rgb="FFFCFCFF"/>
        <color rgb="FF63BE7B"/>
      </colorScale>
    </cfRule>
    <cfRule type="duplicateValues" dxfId="209" priority="613"/>
    <cfRule type="colorScale" priority="632">
      <colorScale>
        <cfvo type="min"/>
        <cfvo type="max"/>
        <color rgb="FFFCFCFF"/>
        <color rgb="FF63BE7B"/>
      </colorScale>
    </cfRule>
    <cfRule type="duplicateValues" dxfId="208" priority="633"/>
    <cfRule type="colorScale" priority="638">
      <colorScale>
        <cfvo type="min"/>
        <cfvo type="max"/>
        <color rgb="FFFCFCFF"/>
        <color rgb="FF63BE7B"/>
      </colorScale>
    </cfRule>
    <cfRule type="duplicateValues" dxfId="207" priority="639"/>
    <cfRule type="colorScale" priority="674">
      <colorScale>
        <cfvo type="min"/>
        <cfvo type="max"/>
        <color rgb="FFFCFCFF"/>
        <color rgb="FF63BE7B"/>
      </colorScale>
    </cfRule>
    <cfRule type="duplicateValues" dxfId="206" priority="675"/>
    <cfRule type="colorScale" priority="678">
      <colorScale>
        <cfvo type="min"/>
        <cfvo type="max"/>
        <color rgb="FFFCFCFF"/>
        <color rgb="FF63BE7B"/>
      </colorScale>
    </cfRule>
    <cfRule type="duplicateValues" dxfId="205" priority="679"/>
    <cfRule type="colorScale" priority="696">
      <colorScale>
        <cfvo type="min"/>
        <cfvo type="max"/>
        <color rgb="FFFCFCFF"/>
        <color rgb="FF63BE7B"/>
      </colorScale>
    </cfRule>
    <cfRule type="duplicateValues" dxfId="204" priority="697"/>
    <cfRule type="colorScale" priority="704">
      <colorScale>
        <cfvo type="min"/>
        <cfvo type="max"/>
        <color rgb="FFFCFCFF"/>
        <color rgb="FF63BE7B"/>
      </colorScale>
    </cfRule>
    <cfRule type="duplicateValues" dxfId="203" priority="705"/>
    <cfRule type="colorScale" priority="768">
      <colorScale>
        <cfvo type="min"/>
        <cfvo type="max"/>
        <color rgb="FFFCFCFF"/>
        <color rgb="FF63BE7B"/>
      </colorScale>
    </cfRule>
    <cfRule type="duplicateValues" dxfId="202" priority="769"/>
    <cfRule type="colorScale" priority="774">
      <colorScale>
        <cfvo type="min"/>
        <cfvo type="max"/>
        <color rgb="FFFCFCFF"/>
        <color rgb="FF63BE7B"/>
      </colorScale>
    </cfRule>
    <cfRule type="duplicateValues" dxfId="201" priority="775"/>
    <cfRule type="colorScale" priority="818">
      <colorScale>
        <cfvo type="min"/>
        <cfvo type="max"/>
        <color rgb="FFFCFCFF"/>
        <color rgb="FF63BE7B"/>
      </colorScale>
    </cfRule>
    <cfRule type="duplicateValues" dxfId="200" priority="819"/>
    <cfRule type="colorScale" priority="822">
      <colorScale>
        <cfvo type="min"/>
        <cfvo type="max"/>
        <color rgb="FFFCFCFF"/>
        <color rgb="FF63BE7B"/>
      </colorScale>
    </cfRule>
    <cfRule type="duplicateValues" dxfId="199" priority="823"/>
    <cfRule type="colorScale" priority="830">
      <colorScale>
        <cfvo type="min"/>
        <cfvo type="max"/>
        <color rgb="FFFCFCFF"/>
        <color rgb="FF63BE7B"/>
      </colorScale>
    </cfRule>
    <cfRule type="duplicateValues" dxfId="198" priority="831"/>
    <cfRule type="colorScale" priority="858">
      <colorScale>
        <cfvo type="min"/>
        <cfvo type="max"/>
        <color rgb="FFFCFCFF"/>
        <color rgb="FF63BE7B"/>
      </colorScale>
    </cfRule>
    <cfRule type="duplicateValues" dxfId="197" priority="859"/>
    <cfRule type="colorScale" priority="942">
      <colorScale>
        <cfvo type="min"/>
        <cfvo type="max"/>
        <color rgb="FFFCFCFF"/>
        <color rgb="FF63BE7B"/>
      </colorScale>
    </cfRule>
    <cfRule type="duplicateValues" dxfId="196" priority="943"/>
    <cfRule type="colorScale" priority="958">
      <colorScale>
        <cfvo type="min"/>
        <cfvo type="max"/>
        <color rgb="FFFCFCFF"/>
        <color rgb="FF63BE7B"/>
      </colorScale>
    </cfRule>
    <cfRule type="duplicateValues" dxfId="195" priority="959"/>
    <cfRule type="colorScale" priority="1104">
      <colorScale>
        <cfvo type="min"/>
        <cfvo type="max"/>
        <color rgb="FFFCFCFF"/>
        <color rgb="FF63BE7B"/>
      </colorScale>
    </cfRule>
    <cfRule type="duplicateValues" dxfId="194" priority="1105"/>
    <cfRule type="colorScale" priority="1124">
      <colorScale>
        <cfvo type="min"/>
        <cfvo type="max"/>
        <color rgb="FFFCFCFF"/>
        <color rgb="FF63BE7B"/>
      </colorScale>
    </cfRule>
    <cfRule type="duplicateValues" dxfId="193" priority="1125"/>
  </conditionalFormatting>
  <conditionalFormatting sqref="D44">
    <cfRule type="colorScale" priority="8">
      <colorScale>
        <cfvo type="min"/>
        <cfvo type="max"/>
        <color rgb="FFFCFCFF"/>
        <color rgb="FF63BE7B"/>
      </colorScale>
    </cfRule>
    <cfRule type="duplicateValues" dxfId="192" priority="9"/>
    <cfRule type="colorScale" priority="12">
      <colorScale>
        <cfvo type="min"/>
        <cfvo type="max"/>
        <color rgb="FFFCFCFF"/>
        <color rgb="FF63BE7B"/>
      </colorScale>
    </cfRule>
    <cfRule type="duplicateValues" dxfId="191" priority="13"/>
    <cfRule type="colorScale" priority="48">
      <colorScale>
        <cfvo type="min"/>
        <cfvo type="max"/>
        <color rgb="FFFCFCFF"/>
        <color rgb="FF63BE7B"/>
      </colorScale>
    </cfRule>
    <cfRule type="duplicateValues" dxfId="190" priority="49"/>
    <cfRule type="colorScale" priority="68">
      <colorScale>
        <cfvo type="min"/>
        <cfvo type="max"/>
        <color rgb="FFFCFCFF"/>
        <color rgb="FF63BE7B"/>
      </colorScale>
    </cfRule>
    <cfRule type="duplicateValues" dxfId="189" priority="69"/>
    <cfRule type="colorScale" priority="76">
      <colorScale>
        <cfvo type="min"/>
        <cfvo type="max"/>
        <color rgb="FFFCFCFF"/>
        <color rgb="FF63BE7B"/>
      </colorScale>
    </cfRule>
    <cfRule type="duplicateValues" dxfId="188" priority="77"/>
    <cfRule type="colorScale" priority="80">
      <colorScale>
        <cfvo type="min"/>
        <cfvo type="max"/>
        <color rgb="FFFCFCFF"/>
        <color rgb="FF63BE7B"/>
      </colorScale>
    </cfRule>
    <cfRule type="duplicateValues" dxfId="187" priority="81"/>
    <cfRule type="colorScale" priority="136">
      <colorScale>
        <cfvo type="min"/>
        <cfvo type="max"/>
        <color rgb="FFFCFCFF"/>
        <color rgb="FF63BE7B"/>
      </colorScale>
    </cfRule>
    <cfRule type="duplicateValues" dxfId="186" priority="137"/>
    <cfRule type="colorScale" priority="140">
      <colorScale>
        <cfvo type="min"/>
        <cfvo type="max"/>
        <color rgb="FFFCFCFF"/>
        <color rgb="FF63BE7B"/>
      </colorScale>
    </cfRule>
    <cfRule type="duplicateValues" dxfId="185" priority="141"/>
    <cfRule type="colorScale" priority="176">
      <colorScale>
        <cfvo type="min"/>
        <cfvo type="max"/>
        <color rgb="FFFCFCFF"/>
        <color rgb="FF63BE7B"/>
      </colorScale>
    </cfRule>
    <cfRule type="duplicateValues" dxfId="184" priority="177"/>
    <cfRule type="colorScale" priority="206">
      <colorScale>
        <cfvo type="min"/>
        <cfvo type="max"/>
        <color rgb="FFFCFCFF"/>
        <color rgb="FF63BE7B"/>
      </colorScale>
    </cfRule>
    <cfRule type="duplicateValues" dxfId="183" priority="207"/>
    <cfRule type="colorScale" priority="214">
      <colorScale>
        <cfvo type="min"/>
        <cfvo type="max"/>
        <color rgb="FFFCFCFF"/>
        <color rgb="FF63BE7B"/>
      </colorScale>
    </cfRule>
    <cfRule type="duplicateValues" dxfId="182" priority="215"/>
    <cfRule type="colorScale" priority="218">
      <colorScale>
        <cfvo type="min"/>
        <cfvo type="max"/>
        <color rgb="FFFCFCFF"/>
        <color rgb="FF63BE7B"/>
      </colorScale>
    </cfRule>
    <cfRule type="duplicateValues" dxfId="181" priority="219"/>
    <cfRule type="colorScale" priority="270">
      <colorScale>
        <cfvo type="min"/>
        <cfvo type="max"/>
        <color rgb="FFFCFCFF"/>
        <color rgb="FF63BE7B"/>
      </colorScale>
    </cfRule>
    <cfRule type="duplicateValues" dxfId="180" priority="271"/>
    <cfRule type="colorScale" priority="274">
      <colorScale>
        <cfvo type="min"/>
        <cfvo type="max"/>
        <color rgb="FFFCFCFF"/>
        <color rgb="FF63BE7B"/>
      </colorScale>
    </cfRule>
    <cfRule type="duplicateValues" dxfId="179" priority="275"/>
    <cfRule type="colorScale" priority="282">
      <colorScale>
        <cfvo type="min"/>
        <cfvo type="max"/>
        <color rgb="FFFCFCFF"/>
        <color rgb="FF63BE7B"/>
      </colorScale>
    </cfRule>
    <cfRule type="duplicateValues" dxfId="178" priority="283"/>
    <cfRule type="colorScale" priority="312">
      <colorScale>
        <cfvo type="min"/>
        <cfvo type="max"/>
        <color rgb="FFFCFCFF"/>
        <color rgb="FF63BE7B"/>
      </colorScale>
    </cfRule>
    <cfRule type="duplicateValues" dxfId="177" priority="313"/>
    <cfRule type="colorScale" priority="320">
      <colorScale>
        <cfvo type="min"/>
        <cfvo type="max"/>
        <color rgb="FFFCFCFF"/>
        <color rgb="FF63BE7B"/>
      </colorScale>
    </cfRule>
    <cfRule type="duplicateValues" dxfId="176" priority="321"/>
    <cfRule type="colorScale" priority="324">
      <colorScale>
        <cfvo type="min"/>
        <cfvo type="max"/>
        <color rgb="FFFCFCFF"/>
        <color rgb="FF63BE7B"/>
      </colorScale>
    </cfRule>
    <cfRule type="duplicateValues" dxfId="175" priority="325"/>
    <cfRule type="colorScale" priority="378">
      <colorScale>
        <cfvo type="min"/>
        <cfvo type="max"/>
        <color rgb="FFFCFCFF"/>
        <color rgb="FF63BE7B"/>
      </colorScale>
    </cfRule>
    <cfRule type="duplicateValues" dxfId="174" priority="379"/>
    <cfRule type="colorScale" priority="408">
      <colorScale>
        <cfvo type="min"/>
        <cfvo type="max"/>
        <color rgb="FFFCFCFF"/>
        <color rgb="FF63BE7B"/>
      </colorScale>
    </cfRule>
    <cfRule type="duplicateValues" dxfId="173" priority="409"/>
    <cfRule type="colorScale" priority="416">
      <colorScale>
        <cfvo type="min"/>
        <cfvo type="max"/>
        <color rgb="FFFCFCFF"/>
        <color rgb="FF63BE7B"/>
      </colorScale>
    </cfRule>
    <cfRule type="duplicateValues" dxfId="172" priority="417"/>
    <cfRule type="colorScale" priority="420">
      <colorScale>
        <cfvo type="min"/>
        <cfvo type="max"/>
        <color rgb="FFFCFCFF"/>
        <color rgb="FF63BE7B"/>
      </colorScale>
    </cfRule>
    <cfRule type="duplicateValues" dxfId="171" priority="421"/>
    <cfRule type="colorScale" priority="444">
      <colorScale>
        <cfvo type="min"/>
        <cfvo type="max"/>
        <color rgb="FFFCFCFF"/>
        <color rgb="FF63BE7B"/>
      </colorScale>
    </cfRule>
    <cfRule type="duplicateValues" dxfId="170" priority="445"/>
    <cfRule type="colorScale" priority="464">
      <colorScale>
        <cfvo type="min"/>
        <cfvo type="max"/>
        <color rgb="FFFCFCFF"/>
        <color rgb="FF63BE7B"/>
      </colorScale>
    </cfRule>
    <cfRule type="duplicateValues" dxfId="169" priority="465"/>
    <cfRule type="colorScale" priority="470">
      <colorScale>
        <cfvo type="min"/>
        <cfvo type="max"/>
        <color rgb="FFFCFCFF"/>
        <color rgb="FF63BE7B"/>
      </colorScale>
    </cfRule>
    <cfRule type="duplicateValues" dxfId="168" priority="471"/>
    <cfRule type="colorScale" priority="474">
      <colorScale>
        <cfvo type="min"/>
        <cfvo type="max"/>
        <color rgb="FFFCFCFF"/>
        <color rgb="FF63BE7B"/>
      </colorScale>
    </cfRule>
    <cfRule type="duplicateValues" dxfId="167" priority="475"/>
    <cfRule type="colorScale" priority="500">
      <colorScale>
        <cfvo type="min"/>
        <cfvo type="max"/>
        <color rgb="FFFCFCFF"/>
        <color rgb="FF63BE7B"/>
      </colorScale>
    </cfRule>
    <cfRule type="duplicateValues" dxfId="166" priority="501"/>
    <cfRule type="colorScale" priority="504">
      <colorScale>
        <cfvo type="min"/>
        <cfvo type="max"/>
        <color rgb="FFFCFCFF"/>
        <color rgb="FF63BE7B"/>
      </colorScale>
    </cfRule>
    <cfRule type="duplicateValues" dxfId="165" priority="505"/>
    <cfRule type="colorScale" priority="512">
      <colorScale>
        <cfvo type="min"/>
        <cfvo type="max"/>
        <color rgb="FFFCFCFF"/>
        <color rgb="FF63BE7B"/>
      </colorScale>
    </cfRule>
    <cfRule type="duplicateValues" dxfId="164" priority="513"/>
    <cfRule type="colorScale" priority="532">
      <colorScale>
        <cfvo type="min"/>
        <cfvo type="max"/>
        <color rgb="FFFCFCFF"/>
        <color rgb="FF63BE7B"/>
      </colorScale>
    </cfRule>
    <cfRule type="duplicateValues" dxfId="163" priority="533"/>
    <cfRule type="colorScale" priority="538">
      <colorScale>
        <cfvo type="min"/>
        <cfvo type="max"/>
        <color rgb="FFFCFCFF"/>
        <color rgb="FF63BE7B"/>
      </colorScale>
    </cfRule>
    <cfRule type="duplicateValues" dxfId="162" priority="539"/>
    <cfRule type="colorScale" priority="542">
      <colorScale>
        <cfvo type="min"/>
        <cfvo type="max"/>
        <color rgb="FFFCFCFF"/>
        <color rgb="FF63BE7B"/>
      </colorScale>
    </cfRule>
    <cfRule type="duplicateValues" dxfId="161" priority="543"/>
    <cfRule type="colorScale" priority="572">
      <colorScale>
        <cfvo type="min"/>
        <cfvo type="max"/>
        <color rgb="FFFCFCFF"/>
        <color rgb="FF63BE7B"/>
      </colorScale>
    </cfRule>
    <cfRule type="duplicateValues" dxfId="160" priority="573"/>
    <cfRule type="colorScale" priority="592">
      <colorScale>
        <cfvo type="min"/>
        <cfvo type="max"/>
        <color rgb="FFFCFCFF"/>
        <color rgb="FF63BE7B"/>
      </colorScale>
    </cfRule>
    <cfRule type="duplicateValues" dxfId="159" priority="593"/>
    <cfRule type="colorScale" priority="598">
      <colorScale>
        <cfvo type="min"/>
        <cfvo type="max"/>
        <color rgb="FFFCFCFF"/>
        <color rgb="FF63BE7B"/>
      </colorScale>
    </cfRule>
    <cfRule type="duplicateValues" dxfId="158" priority="599"/>
    <cfRule type="colorScale" priority="602">
      <colorScale>
        <cfvo type="min"/>
        <cfvo type="max"/>
        <color rgb="FFFCFCFF"/>
        <color rgb="FF63BE7B"/>
      </colorScale>
    </cfRule>
    <cfRule type="duplicateValues" dxfId="157" priority="603"/>
    <cfRule type="colorScale" priority="642">
      <colorScale>
        <cfvo type="min"/>
        <cfvo type="max"/>
        <color rgb="FFFCFCFF"/>
        <color rgb="FF63BE7B"/>
      </colorScale>
    </cfRule>
    <cfRule type="duplicateValues" dxfId="156" priority="643"/>
    <cfRule type="colorScale" priority="646">
      <colorScale>
        <cfvo type="min"/>
        <cfvo type="max"/>
        <color rgb="FFFCFCFF"/>
        <color rgb="FF63BE7B"/>
      </colorScale>
    </cfRule>
    <cfRule type="duplicateValues" dxfId="155" priority="647"/>
    <cfRule type="colorScale" priority="654">
      <colorScale>
        <cfvo type="min"/>
        <cfvo type="max"/>
        <color rgb="FFFCFCFF"/>
        <color rgb="FF63BE7B"/>
      </colorScale>
    </cfRule>
    <cfRule type="duplicateValues" dxfId="154" priority="655"/>
    <cfRule type="colorScale" priority="682">
      <colorScale>
        <cfvo type="min"/>
        <cfvo type="max"/>
        <color rgb="FFFCFCFF"/>
        <color rgb="FF63BE7B"/>
      </colorScale>
    </cfRule>
    <cfRule type="duplicateValues" dxfId="153" priority="683"/>
    <cfRule type="colorScale" priority="712">
      <colorScale>
        <cfvo type="min"/>
        <cfvo type="max"/>
        <color rgb="FFFCFCFF"/>
        <color rgb="FF63BE7B"/>
      </colorScale>
    </cfRule>
    <cfRule type="duplicateValues" dxfId="152" priority="713"/>
    <cfRule type="colorScale" priority="720">
      <colorScale>
        <cfvo type="min"/>
        <cfvo type="max"/>
        <color rgb="FFFCFCFF"/>
        <color rgb="FF63BE7B"/>
      </colorScale>
    </cfRule>
    <cfRule type="duplicateValues" dxfId="151" priority="721"/>
    <cfRule type="colorScale" priority="778">
      <colorScale>
        <cfvo type="min"/>
        <cfvo type="max"/>
        <color rgb="FFFCFCFF"/>
        <color rgb="FF63BE7B"/>
      </colorScale>
    </cfRule>
    <cfRule type="duplicateValues" dxfId="150" priority="779"/>
    <cfRule type="colorScale" priority="782">
      <colorScale>
        <cfvo type="min"/>
        <cfvo type="max"/>
        <color rgb="FFFCFCFF"/>
        <color rgb="FF63BE7B"/>
      </colorScale>
    </cfRule>
    <cfRule type="duplicateValues" dxfId="149" priority="783"/>
    <cfRule type="colorScale" priority="792">
      <colorScale>
        <cfvo type="min"/>
        <cfvo type="max"/>
        <color rgb="FFFCFCFF"/>
        <color rgb="FF63BE7B"/>
      </colorScale>
    </cfRule>
    <cfRule type="duplicateValues" dxfId="148" priority="793"/>
    <cfRule type="colorScale" priority="826">
      <colorScale>
        <cfvo type="min"/>
        <cfvo type="max"/>
        <color rgb="FFFCFCFF"/>
        <color rgb="FF63BE7B"/>
      </colorScale>
    </cfRule>
    <cfRule type="duplicateValues" dxfId="147" priority="827"/>
    <cfRule type="colorScale" priority="834">
      <colorScale>
        <cfvo type="min"/>
        <cfvo type="max"/>
        <color rgb="FFFCFCFF"/>
        <color rgb="FF63BE7B"/>
      </colorScale>
    </cfRule>
    <cfRule type="duplicateValues" dxfId="146" priority="835"/>
    <cfRule type="colorScale" priority="838">
      <colorScale>
        <cfvo type="min"/>
        <cfvo type="max"/>
        <color rgb="FFFCFCFF"/>
        <color rgb="FF63BE7B"/>
      </colorScale>
    </cfRule>
    <cfRule type="duplicateValues" dxfId="145" priority="839"/>
    <cfRule type="colorScale" priority="974">
      <colorScale>
        <cfvo type="min"/>
        <cfvo type="max"/>
        <color rgb="FFFCFCFF"/>
        <color rgb="FF63BE7B"/>
      </colorScale>
    </cfRule>
    <cfRule type="duplicateValues" dxfId="144" priority="975"/>
    <cfRule type="colorScale" priority="990">
      <colorScale>
        <cfvo type="min"/>
        <cfvo type="max"/>
        <color rgb="FFFCFCFF"/>
        <color rgb="FF63BE7B"/>
      </colorScale>
    </cfRule>
    <cfRule type="duplicateValues" dxfId="143" priority="991"/>
    <cfRule type="colorScale" priority="1022">
      <colorScale>
        <cfvo type="min"/>
        <cfvo type="max"/>
        <color rgb="FFFCFCFF"/>
        <color rgb="FF63BE7B"/>
      </colorScale>
    </cfRule>
    <cfRule type="duplicateValues" dxfId="142" priority="1023"/>
    <cfRule type="colorScale" priority="1144">
      <colorScale>
        <cfvo type="min"/>
        <cfvo type="max"/>
        <color rgb="FFFCFCFF"/>
        <color rgb="FF63BE7B"/>
      </colorScale>
    </cfRule>
    <cfRule type="duplicateValues" dxfId="141" priority="1145"/>
  </conditionalFormatting>
  <conditionalFormatting sqref="D45">
    <cfRule type="colorScale" priority="448">
      <colorScale>
        <cfvo type="min"/>
        <cfvo type="max"/>
        <color rgb="FFFCFCFF"/>
        <color rgb="FF63BE7B"/>
      </colorScale>
    </cfRule>
    <cfRule type="duplicateValues" dxfId="140" priority="449"/>
    <cfRule type="colorScale" priority="452">
      <colorScale>
        <cfvo type="min"/>
        <cfvo type="max"/>
        <color rgb="FFFCFCFF"/>
        <color rgb="FF63BE7B"/>
      </colorScale>
    </cfRule>
    <cfRule type="duplicateValues" dxfId="139" priority="453"/>
    <cfRule type="colorScale" priority="488">
      <colorScale>
        <cfvo type="min"/>
        <cfvo type="max"/>
        <color rgb="FFFCFCFF"/>
        <color rgb="FF63BE7B"/>
      </colorScale>
    </cfRule>
    <cfRule type="duplicateValues" dxfId="138" priority="489"/>
    <cfRule type="colorScale" priority="508">
      <colorScale>
        <cfvo type="min"/>
        <cfvo type="max"/>
        <color rgb="FFFCFCFF"/>
        <color rgb="FF63BE7B"/>
      </colorScale>
    </cfRule>
    <cfRule type="duplicateValues" dxfId="137" priority="509"/>
    <cfRule type="colorScale" priority="516">
      <colorScale>
        <cfvo type="min"/>
        <cfvo type="max"/>
        <color rgb="FFFCFCFF"/>
        <color rgb="FF63BE7B"/>
      </colorScale>
    </cfRule>
    <cfRule type="duplicateValues" dxfId="136" priority="517"/>
    <cfRule type="colorScale" priority="520">
      <colorScale>
        <cfvo type="min"/>
        <cfvo type="max"/>
        <color rgb="FFFCFCFF"/>
        <color rgb="FF63BE7B"/>
      </colorScale>
    </cfRule>
    <cfRule type="duplicateValues" dxfId="135" priority="521"/>
    <cfRule type="colorScale" priority="576">
      <colorScale>
        <cfvo type="min"/>
        <cfvo type="max"/>
        <color rgb="FFFCFCFF"/>
        <color rgb="FF63BE7B"/>
      </colorScale>
    </cfRule>
    <cfRule type="duplicateValues" dxfId="134" priority="577"/>
    <cfRule type="colorScale" priority="580">
      <colorScale>
        <cfvo type="min"/>
        <cfvo type="max"/>
        <color rgb="FFFCFCFF"/>
        <color rgb="FF63BE7B"/>
      </colorScale>
    </cfRule>
    <cfRule type="duplicateValues" dxfId="133" priority="581"/>
    <cfRule type="colorScale" priority="616">
      <colorScale>
        <cfvo type="min"/>
        <cfvo type="max"/>
        <color rgb="FFFCFCFF"/>
        <color rgb="FF63BE7B"/>
      </colorScale>
    </cfRule>
    <cfRule type="duplicateValues" dxfId="132" priority="617"/>
    <cfRule type="colorScale" priority="650">
      <colorScale>
        <cfvo type="min"/>
        <cfvo type="max"/>
        <color rgb="FFFCFCFF"/>
        <color rgb="FF63BE7B"/>
      </colorScale>
    </cfRule>
    <cfRule type="duplicateValues" dxfId="131" priority="651"/>
    <cfRule type="colorScale" priority="658">
      <colorScale>
        <cfvo type="min"/>
        <cfvo type="max"/>
        <color rgb="FFFCFCFF"/>
        <color rgb="FF63BE7B"/>
      </colorScale>
    </cfRule>
    <cfRule type="duplicateValues" dxfId="130" priority="659"/>
    <cfRule type="colorScale" priority="662">
      <colorScale>
        <cfvo type="min"/>
        <cfvo type="max"/>
        <color rgb="FFFCFCFF"/>
        <color rgb="FF63BE7B"/>
      </colorScale>
    </cfRule>
    <cfRule type="duplicateValues" dxfId="129" priority="663"/>
    <cfRule type="colorScale" priority="724">
      <colorScale>
        <cfvo type="min"/>
        <cfvo type="max"/>
        <color rgb="FFFCFCFF"/>
        <color rgb="FF63BE7B"/>
      </colorScale>
    </cfRule>
    <cfRule type="duplicateValues" dxfId="128" priority="725"/>
    <cfRule type="colorScale" priority="730">
      <colorScale>
        <cfvo type="min"/>
        <cfvo type="max"/>
        <color rgb="FFFCFCFF"/>
        <color rgb="FF63BE7B"/>
      </colorScale>
    </cfRule>
    <cfRule type="duplicateValues" dxfId="127" priority="731"/>
    <cfRule type="colorScale" priority="744">
      <colorScale>
        <cfvo type="min"/>
        <cfvo type="max"/>
        <color rgb="FFFCFCFF"/>
        <color rgb="FF63BE7B"/>
      </colorScale>
    </cfRule>
    <cfRule type="duplicateValues" dxfId="126" priority="745"/>
    <cfRule type="colorScale" priority="786">
      <colorScale>
        <cfvo type="min"/>
        <cfvo type="max"/>
        <color rgb="FFFCFCFF"/>
        <color rgb="FF63BE7B"/>
      </colorScale>
    </cfRule>
    <cfRule type="duplicateValues" dxfId="125" priority="787"/>
    <cfRule type="colorScale" priority="796">
      <colorScale>
        <cfvo type="min"/>
        <cfvo type="max"/>
        <color rgb="FFFCFCFF"/>
        <color rgb="FF63BE7B"/>
      </colorScale>
    </cfRule>
    <cfRule type="duplicateValues" dxfId="124" priority="797"/>
    <cfRule type="colorScale" priority="802">
      <colorScale>
        <cfvo type="min"/>
        <cfvo type="max"/>
        <color rgb="FFFCFCFF"/>
        <color rgb="FF63BE7B"/>
      </colorScale>
    </cfRule>
    <cfRule type="duplicateValues" dxfId="123" priority="803"/>
    <cfRule type="colorScale" priority="896">
      <colorScale>
        <cfvo type="min"/>
        <cfvo type="max"/>
        <color rgb="FFFCFCFF"/>
        <color rgb="FF63BE7B"/>
      </colorScale>
    </cfRule>
    <cfRule type="duplicateValues" dxfId="122" priority="897"/>
    <cfRule type="colorScale" priority="1006">
      <colorScale>
        <cfvo type="min"/>
        <cfvo type="max"/>
        <color rgb="FFFCFCFF"/>
        <color rgb="FF63BE7B"/>
      </colorScale>
    </cfRule>
    <cfRule type="duplicateValues" dxfId="121" priority="1007"/>
    <cfRule type="colorScale" priority="1038">
      <colorScale>
        <cfvo type="min"/>
        <cfvo type="max"/>
        <color rgb="FFFCFCFF"/>
        <color rgb="FF63BE7B"/>
      </colorScale>
    </cfRule>
    <cfRule type="duplicateValues" dxfId="120" priority="1039"/>
    <cfRule type="colorScale" priority="1056">
      <colorScale>
        <cfvo type="min"/>
        <cfvo type="max"/>
        <color rgb="FFFCFCFF"/>
        <color rgb="FF63BE7B"/>
      </colorScale>
    </cfRule>
    <cfRule type="duplicateValues" dxfId="119" priority="1057"/>
  </conditionalFormatting>
  <conditionalFormatting sqref="D46">
    <cfRule type="colorScale" priority="620">
      <colorScale>
        <cfvo type="min"/>
        <cfvo type="max"/>
        <color rgb="FFFCFCFF"/>
        <color rgb="FF63BE7B"/>
      </colorScale>
    </cfRule>
    <cfRule type="duplicateValues" dxfId="118" priority="621"/>
    <cfRule type="colorScale" priority="626">
      <colorScale>
        <cfvo type="min"/>
        <cfvo type="max"/>
        <color rgb="FFFCFCFF"/>
        <color rgb="FF63BE7B"/>
      </colorScale>
    </cfRule>
    <cfRule type="duplicateValues" dxfId="117" priority="627"/>
    <cfRule type="colorScale" priority="688">
      <colorScale>
        <cfvo type="min"/>
        <cfvo type="max"/>
        <color rgb="FFFCFCFF"/>
        <color rgb="FF63BE7B"/>
      </colorScale>
    </cfRule>
    <cfRule type="duplicateValues" dxfId="116" priority="689"/>
    <cfRule type="colorScale" priority="738">
      <colorScale>
        <cfvo type="min"/>
        <cfvo type="max"/>
        <color rgb="FFFCFCFF"/>
        <color rgb="FF63BE7B"/>
      </colorScale>
    </cfRule>
    <cfRule type="duplicateValues" dxfId="115" priority="739"/>
    <cfRule type="colorScale" priority="752">
      <colorScale>
        <cfvo type="min"/>
        <cfvo type="max"/>
        <color rgb="FFFCFCFF"/>
        <color rgb="FF63BE7B"/>
      </colorScale>
    </cfRule>
    <cfRule type="duplicateValues" dxfId="114" priority="753"/>
    <cfRule type="colorScale" priority="760">
      <colorScale>
        <cfvo type="min"/>
        <cfvo type="max"/>
        <color rgb="FFFCFCFF"/>
        <color rgb="FF63BE7B"/>
      </colorScale>
    </cfRule>
    <cfRule type="duplicateValues" dxfId="113" priority="761"/>
    <cfRule type="colorScale" priority="912">
      <colorScale>
        <cfvo type="min"/>
        <cfvo type="max"/>
        <color rgb="FFFCFCFF"/>
        <color rgb="FF63BE7B"/>
      </colorScale>
    </cfRule>
    <cfRule type="duplicateValues" dxfId="112" priority="913"/>
    <cfRule type="colorScale" priority="928">
      <colorScale>
        <cfvo type="min"/>
        <cfvo type="max"/>
        <color rgb="FFFCFCFF"/>
        <color rgb="FF63BE7B"/>
      </colorScale>
    </cfRule>
    <cfRule type="duplicateValues" dxfId="111" priority="929"/>
  </conditionalFormatting>
  <conditionalFormatting sqref="AF38">
    <cfRule type="colorScale" priority="1202">
      <colorScale>
        <cfvo type="min"/>
        <cfvo type="max"/>
        <color rgb="FFFCFCFF"/>
        <color rgb="FF63BE7B"/>
      </colorScale>
    </cfRule>
    <cfRule type="duplicateValues" dxfId="110" priority="1203"/>
  </conditionalFormatting>
  <conditionalFormatting sqref="AF43">
    <cfRule type="colorScale" priority="1196">
      <colorScale>
        <cfvo type="min"/>
        <cfvo type="max"/>
        <color rgb="FFFCFCFF"/>
        <color rgb="FF63BE7B"/>
      </colorScale>
    </cfRule>
    <cfRule type="duplicateValues" dxfId="109" priority="1197"/>
  </conditionalFormatting>
  <conditionalFormatting sqref="AT10:AT45">
    <cfRule type="expression" dxfId="108" priority="1">
      <formula>AT10&lt;&gt;D10</formula>
    </cfRule>
  </conditionalFormatting>
  <pageMargins left="0.23622047244094491" right="0.15748031496062992" top="0.39370078740157483" bottom="0.6692913385826772" header="0.31496062992125984" footer="0.31496062992125984"/>
  <pageSetup paperSize="5" scale="85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49"/>
  <sheetViews>
    <sheetView view="pageBreakPreview" zoomScale="110" zoomScaleNormal="100" zoomScaleSheetLayoutView="110" workbookViewId="0">
      <selection activeCell="Y6" sqref="Y6"/>
    </sheetView>
  </sheetViews>
  <sheetFormatPr defaultColWidth="3.28515625" defaultRowHeight="15" x14ac:dyDescent="0.25"/>
  <cols>
    <col min="1" max="1" width="4.5703125" bestFit="1" customWidth="1"/>
    <col min="2" max="2" width="5.85546875" customWidth="1"/>
    <col min="3" max="3" width="11" bestFit="1" customWidth="1"/>
    <col min="4" max="4" width="30.7109375" customWidth="1"/>
    <col min="5" max="5" width="3.7109375" bestFit="1" customWidth="1"/>
    <col min="6" max="29" width="2.7109375" customWidth="1"/>
    <col min="33" max="33" width="17.85546875" bestFit="1" customWidth="1"/>
    <col min="34" max="34" width="43.28515625" bestFit="1" customWidth="1"/>
  </cols>
  <sheetData>
    <row r="1" spans="1:35" x14ac:dyDescent="0.25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</row>
    <row r="2" spans="1:35" ht="21.75" customHeight="1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</row>
    <row r="3" spans="1:35" ht="20.25" customHeight="1" x14ac:dyDescent="0.25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</row>
    <row r="4" spans="1:35" ht="21" x14ac:dyDescent="0.35">
      <c r="A4" s="55" t="s">
        <v>1209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</row>
    <row r="5" spans="1:35" ht="21" x14ac:dyDescent="0.35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</row>
    <row r="6" spans="1:35" x14ac:dyDescent="0.25">
      <c r="A6" s="1"/>
      <c r="B6" s="1"/>
      <c r="C6" s="2"/>
      <c r="P6" s="11"/>
    </row>
    <row r="7" spans="1:35" ht="3.75" customHeight="1" x14ac:dyDescent="0.25">
      <c r="A7" s="1"/>
      <c r="B7" s="1"/>
      <c r="C7" s="2"/>
    </row>
    <row r="8" spans="1:35" x14ac:dyDescent="0.25">
      <c r="A8" s="56" t="s">
        <v>0</v>
      </c>
      <c r="B8" s="57" t="s">
        <v>803</v>
      </c>
      <c r="C8" s="57" t="s">
        <v>1</v>
      </c>
      <c r="D8" s="56" t="s">
        <v>2</v>
      </c>
      <c r="E8" s="58" t="s">
        <v>3</v>
      </c>
      <c r="F8" s="59" t="s">
        <v>4</v>
      </c>
      <c r="G8" s="60"/>
      <c r="H8" s="61"/>
      <c r="I8" s="70" t="s">
        <v>819</v>
      </c>
      <c r="J8" s="71"/>
      <c r="K8" s="71"/>
      <c r="L8" s="71"/>
      <c r="M8" s="71"/>
      <c r="N8" s="71"/>
      <c r="O8" s="71"/>
      <c r="P8" s="71"/>
      <c r="Q8" s="71"/>
      <c r="R8" s="71"/>
      <c r="S8" s="72"/>
      <c r="T8" s="65" t="s">
        <v>5</v>
      </c>
      <c r="U8" s="65"/>
      <c r="V8" s="80" t="s">
        <v>820</v>
      </c>
      <c r="W8" s="81"/>
      <c r="X8" s="81"/>
      <c r="Y8" s="81"/>
      <c r="Z8" s="81"/>
      <c r="AA8" s="81"/>
      <c r="AB8" s="81"/>
      <c r="AC8" s="82"/>
    </row>
    <row r="9" spans="1:35" x14ac:dyDescent="0.25">
      <c r="A9" s="56"/>
      <c r="B9" s="57"/>
      <c r="C9" s="57"/>
      <c r="D9" s="56"/>
      <c r="E9" s="58"/>
      <c r="F9" s="62" t="s">
        <v>1214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4"/>
    </row>
    <row r="10" spans="1:35" x14ac:dyDescent="0.25">
      <c r="A10" s="56"/>
      <c r="B10" s="57"/>
      <c r="C10" s="57"/>
      <c r="D10" s="56"/>
      <c r="E10" s="58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35" ht="20.100000000000001" customHeight="1" x14ac:dyDescent="0.25">
      <c r="A11" s="4">
        <v>1</v>
      </c>
      <c r="B11" s="4">
        <v>14594</v>
      </c>
      <c r="C11" s="5" t="s">
        <v>394</v>
      </c>
      <c r="D11" s="5" t="s">
        <v>395</v>
      </c>
      <c r="E11" s="24" t="s">
        <v>8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F11" s="47">
        <v>1</v>
      </c>
      <c r="AG11" s="48" t="s">
        <v>1094</v>
      </c>
      <c r="AH11" s="49" t="s">
        <v>395</v>
      </c>
      <c r="AI11" s="50" t="s">
        <v>8</v>
      </c>
    </row>
    <row r="12" spans="1:35" ht="20.100000000000001" customHeight="1" x14ac:dyDescent="0.25">
      <c r="A12" s="4">
        <v>2</v>
      </c>
      <c r="B12" s="8">
        <v>14949</v>
      </c>
      <c r="C12" s="36" t="s">
        <v>804</v>
      </c>
      <c r="D12" s="8" t="s">
        <v>807</v>
      </c>
      <c r="E12" s="24" t="s">
        <v>8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F12" s="47">
        <v>2</v>
      </c>
      <c r="AG12" s="48" t="s">
        <v>1095</v>
      </c>
      <c r="AH12" s="49" t="s">
        <v>807</v>
      </c>
      <c r="AI12" s="50" t="s">
        <v>8</v>
      </c>
    </row>
    <row r="13" spans="1:35" ht="20.100000000000001" customHeight="1" x14ac:dyDescent="0.25">
      <c r="A13" s="4">
        <v>3</v>
      </c>
      <c r="B13" s="4">
        <v>14616</v>
      </c>
      <c r="C13" s="5" t="s">
        <v>511</v>
      </c>
      <c r="D13" s="5" t="s">
        <v>512</v>
      </c>
      <c r="E13" s="38" t="s">
        <v>8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F13" s="47">
        <v>3</v>
      </c>
      <c r="AG13" s="48" t="s">
        <v>1096</v>
      </c>
      <c r="AH13" s="49" t="s">
        <v>512</v>
      </c>
      <c r="AI13" s="50" t="s">
        <v>8</v>
      </c>
    </row>
    <row r="14" spans="1:35" ht="20.100000000000001" customHeight="1" x14ac:dyDescent="0.25">
      <c r="A14" s="4">
        <v>4</v>
      </c>
      <c r="B14" s="4">
        <v>14626</v>
      </c>
      <c r="C14" s="5" t="s">
        <v>246</v>
      </c>
      <c r="D14" s="5" t="s">
        <v>247</v>
      </c>
      <c r="E14" s="24" t="s">
        <v>7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F14" s="47">
        <v>4</v>
      </c>
      <c r="AG14" s="48" t="s">
        <v>1097</v>
      </c>
      <c r="AH14" s="49" t="s">
        <v>247</v>
      </c>
      <c r="AI14" s="50" t="s">
        <v>7</v>
      </c>
    </row>
    <row r="15" spans="1:35" ht="20.100000000000001" customHeight="1" x14ac:dyDescent="0.25">
      <c r="A15" s="4">
        <v>5</v>
      </c>
      <c r="B15" s="4">
        <v>14630</v>
      </c>
      <c r="C15" s="5" t="s">
        <v>418</v>
      </c>
      <c r="D15" s="5" t="s">
        <v>419</v>
      </c>
      <c r="E15" s="24" t="s">
        <v>7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F15" s="47">
        <v>5</v>
      </c>
      <c r="AG15" s="48" t="s">
        <v>1098</v>
      </c>
      <c r="AH15" s="49" t="s">
        <v>419</v>
      </c>
      <c r="AI15" s="50" t="s">
        <v>7</v>
      </c>
    </row>
    <row r="16" spans="1:35" ht="20.100000000000001" customHeight="1" x14ac:dyDescent="0.25">
      <c r="A16" s="4">
        <v>6</v>
      </c>
      <c r="B16" s="4">
        <v>14639</v>
      </c>
      <c r="C16" s="5" t="s">
        <v>456</v>
      </c>
      <c r="D16" s="5" t="s">
        <v>457</v>
      </c>
      <c r="E16" s="24" t="s">
        <v>8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F16" s="47">
        <v>6</v>
      </c>
      <c r="AG16" s="48" t="s">
        <v>1099</v>
      </c>
      <c r="AH16" s="49" t="s">
        <v>457</v>
      </c>
      <c r="AI16" s="50" t="s">
        <v>8</v>
      </c>
    </row>
    <row r="17" spans="1:35" ht="20.100000000000001" customHeight="1" x14ac:dyDescent="0.25">
      <c r="A17" s="4">
        <v>7</v>
      </c>
      <c r="B17" s="4">
        <v>14655</v>
      </c>
      <c r="C17" s="5" t="s">
        <v>663</v>
      </c>
      <c r="D17" s="5" t="s">
        <v>664</v>
      </c>
      <c r="E17" s="24" t="s">
        <v>7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F17" s="47">
        <v>7</v>
      </c>
      <c r="AG17" s="48" t="s">
        <v>1100</v>
      </c>
      <c r="AH17" s="49" t="s">
        <v>664</v>
      </c>
      <c r="AI17" s="50" t="s">
        <v>8</v>
      </c>
    </row>
    <row r="18" spans="1:35" ht="20.100000000000001" customHeight="1" x14ac:dyDescent="0.25">
      <c r="A18" s="4">
        <v>8</v>
      </c>
      <c r="B18" s="4">
        <v>14687</v>
      </c>
      <c r="C18" s="5" t="s">
        <v>671</v>
      </c>
      <c r="D18" s="5" t="s">
        <v>672</v>
      </c>
      <c r="E18" s="24" t="s">
        <v>8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F18" s="47">
        <v>8</v>
      </c>
      <c r="AG18" s="48" t="s">
        <v>1101</v>
      </c>
      <c r="AH18" s="49" t="s">
        <v>672</v>
      </c>
      <c r="AI18" s="50" t="s">
        <v>8</v>
      </c>
    </row>
    <row r="19" spans="1:35" ht="20.100000000000001" customHeight="1" x14ac:dyDescent="0.25">
      <c r="A19" s="4">
        <v>9</v>
      </c>
      <c r="B19" s="4">
        <v>14699</v>
      </c>
      <c r="C19" s="5" t="s">
        <v>436</v>
      </c>
      <c r="D19" s="5" t="s">
        <v>437</v>
      </c>
      <c r="E19" s="24" t="s">
        <v>7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F19" s="47">
        <v>9</v>
      </c>
      <c r="AG19" s="48" t="s">
        <v>1102</v>
      </c>
      <c r="AH19" s="49" t="s">
        <v>437</v>
      </c>
      <c r="AI19" s="50" t="s">
        <v>7</v>
      </c>
    </row>
    <row r="20" spans="1:35" ht="20.100000000000001" customHeight="1" x14ac:dyDescent="0.25">
      <c r="A20" s="4">
        <v>10</v>
      </c>
      <c r="B20" s="4">
        <v>14720</v>
      </c>
      <c r="C20" s="5" t="s">
        <v>596</v>
      </c>
      <c r="D20" s="5" t="s">
        <v>597</v>
      </c>
      <c r="E20" s="24" t="s">
        <v>8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F20" s="47">
        <v>10</v>
      </c>
      <c r="AG20" s="48" t="s">
        <v>1103</v>
      </c>
      <c r="AH20" s="49" t="s">
        <v>597</v>
      </c>
      <c r="AI20" s="50" t="s">
        <v>8</v>
      </c>
    </row>
    <row r="21" spans="1:35" ht="20.100000000000001" customHeight="1" x14ac:dyDescent="0.25">
      <c r="A21" s="4">
        <v>11</v>
      </c>
      <c r="B21" s="4">
        <v>14727</v>
      </c>
      <c r="C21" s="5" t="s">
        <v>103</v>
      </c>
      <c r="D21" s="5" t="s">
        <v>104</v>
      </c>
      <c r="E21" s="24" t="s">
        <v>8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F21" s="47">
        <v>11</v>
      </c>
      <c r="AG21" s="48" t="s">
        <v>1104</v>
      </c>
      <c r="AH21" s="49" t="s">
        <v>104</v>
      </c>
      <c r="AI21" s="50" t="s">
        <v>8</v>
      </c>
    </row>
    <row r="22" spans="1:35" ht="20.100000000000001" customHeight="1" x14ac:dyDescent="0.25">
      <c r="A22" s="4">
        <v>12</v>
      </c>
      <c r="B22" s="4">
        <v>14744</v>
      </c>
      <c r="C22" s="5" t="s">
        <v>712</v>
      </c>
      <c r="D22" s="5" t="s">
        <v>713</v>
      </c>
      <c r="E22" s="24" t="s">
        <v>8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F22" s="47">
        <v>12</v>
      </c>
      <c r="AG22" s="48" t="s">
        <v>1105</v>
      </c>
      <c r="AH22" s="49" t="s">
        <v>713</v>
      </c>
      <c r="AI22" s="50" t="s">
        <v>8</v>
      </c>
    </row>
    <row r="23" spans="1:35" ht="20.100000000000001" customHeight="1" x14ac:dyDescent="0.25">
      <c r="A23" s="4">
        <v>13</v>
      </c>
      <c r="B23" s="4">
        <v>14761</v>
      </c>
      <c r="C23" s="5" t="s">
        <v>384</v>
      </c>
      <c r="D23" s="5" t="s">
        <v>385</v>
      </c>
      <c r="E23" s="24" t="s">
        <v>8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F23" s="47">
        <v>13</v>
      </c>
      <c r="AG23" s="48" t="s">
        <v>1106</v>
      </c>
      <c r="AH23" s="49" t="s">
        <v>1107</v>
      </c>
      <c r="AI23" s="50" t="s">
        <v>8</v>
      </c>
    </row>
    <row r="24" spans="1:35" ht="20.100000000000001" customHeight="1" x14ac:dyDescent="0.25">
      <c r="A24" s="4">
        <v>14</v>
      </c>
      <c r="B24" s="4">
        <v>14768</v>
      </c>
      <c r="C24" s="5" t="s">
        <v>679</v>
      </c>
      <c r="D24" s="5" t="s">
        <v>680</v>
      </c>
      <c r="E24" s="24" t="s">
        <v>8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F24" s="47">
        <v>14</v>
      </c>
      <c r="AG24" s="48" t="s">
        <v>1108</v>
      </c>
      <c r="AH24" s="49" t="s">
        <v>680</v>
      </c>
      <c r="AI24" s="50" t="s">
        <v>8</v>
      </c>
    </row>
    <row r="25" spans="1:35" ht="20.100000000000001" customHeight="1" x14ac:dyDescent="0.25">
      <c r="A25" s="4">
        <v>15</v>
      </c>
      <c r="B25" s="4">
        <v>14778</v>
      </c>
      <c r="C25" s="5" t="s">
        <v>616</v>
      </c>
      <c r="D25" s="5" t="s">
        <v>617</v>
      </c>
      <c r="E25" s="24" t="s">
        <v>8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F25" s="47">
        <v>15</v>
      </c>
      <c r="AG25" s="48" t="s">
        <v>1109</v>
      </c>
      <c r="AH25" s="49" t="s">
        <v>1110</v>
      </c>
      <c r="AI25" s="50" t="s">
        <v>8</v>
      </c>
    </row>
    <row r="26" spans="1:35" ht="20.100000000000001" customHeight="1" x14ac:dyDescent="0.25">
      <c r="A26" s="4">
        <v>16</v>
      </c>
      <c r="B26" s="4">
        <v>14779</v>
      </c>
      <c r="C26" s="5" t="s">
        <v>479</v>
      </c>
      <c r="D26" s="5" t="s">
        <v>480</v>
      </c>
      <c r="E26" s="24" t="s">
        <v>8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F26" s="47">
        <v>16</v>
      </c>
      <c r="AG26" s="48" t="s">
        <v>1111</v>
      </c>
      <c r="AH26" s="49" t="s">
        <v>1112</v>
      </c>
      <c r="AI26" s="50" t="s">
        <v>8</v>
      </c>
    </row>
    <row r="27" spans="1:35" ht="20.100000000000001" customHeight="1" x14ac:dyDescent="0.25">
      <c r="A27" s="4">
        <v>17</v>
      </c>
      <c r="B27" s="4">
        <v>14791</v>
      </c>
      <c r="C27" s="5" t="s">
        <v>287</v>
      </c>
      <c r="D27" s="5" t="s">
        <v>288</v>
      </c>
      <c r="E27" s="24" t="s">
        <v>8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F27" s="47">
        <v>17</v>
      </c>
      <c r="AG27" s="48" t="s">
        <v>1113</v>
      </c>
      <c r="AH27" s="49" t="s">
        <v>1114</v>
      </c>
      <c r="AI27" s="50" t="s">
        <v>8</v>
      </c>
    </row>
    <row r="28" spans="1:35" ht="20.100000000000001" customHeight="1" x14ac:dyDescent="0.25">
      <c r="A28" s="4">
        <v>18</v>
      </c>
      <c r="B28" s="4">
        <v>14785</v>
      </c>
      <c r="C28" s="5" t="s">
        <v>626</v>
      </c>
      <c r="D28" s="5" t="s">
        <v>787</v>
      </c>
      <c r="E28" s="24" t="s">
        <v>8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F28" s="47">
        <v>18</v>
      </c>
      <c r="AG28" s="48" t="s">
        <v>1115</v>
      </c>
      <c r="AH28" s="49" t="s">
        <v>787</v>
      </c>
      <c r="AI28" s="50" t="s">
        <v>8</v>
      </c>
    </row>
    <row r="29" spans="1:35" ht="20.100000000000001" customHeight="1" x14ac:dyDescent="0.25">
      <c r="A29" s="4">
        <v>19</v>
      </c>
      <c r="B29" s="4">
        <v>14805</v>
      </c>
      <c r="C29" s="5" t="s">
        <v>535</v>
      </c>
      <c r="D29" s="23" t="s">
        <v>536</v>
      </c>
      <c r="E29" s="24" t="s">
        <v>8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F29" s="47">
        <v>19</v>
      </c>
      <c r="AG29" s="48" t="s">
        <v>1116</v>
      </c>
      <c r="AH29" s="49" t="s">
        <v>536</v>
      </c>
      <c r="AI29" s="50" t="s">
        <v>8</v>
      </c>
    </row>
    <row r="30" spans="1:35" ht="20.100000000000001" customHeight="1" x14ac:dyDescent="0.25">
      <c r="A30" s="4">
        <v>20</v>
      </c>
      <c r="B30" s="4">
        <v>14808</v>
      </c>
      <c r="C30" s="5" t="s">
        <v>541</v>
      </c>
      <c r="D30" s="5" t="s">
        <v>542</v>
      </c>
      <c r="E30" s="24" t="s">
        <v>8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F30" s="47">
        <v>20</v>
      </c>
      <c r="AG30" s="48" t="s">
        <v>1117</v>
      </c>
      <c r="AH30" s="49" t="s">
        <v>542</v>
      </c>
      <c r="AI30" s="50" t="s">
        <v>8</v>
      </c>
    </row>
    <row r="31" spans="1:35" ht="20.100000000000001" customHeight="1" x14ac:dyDescent="0.25">
      <c r="A31" s="4">
        <v>21</v>
      </c>
      <c r="B31" s="4">
        <v>14818</v>
      </c>
      <c r="C31" s="5" t="s">
        <v>426</v>
      </c>
      <c r="D31" s="5" t="s">
        <v>427</v>
      </c>
      <c r="E31" s="24" t="s">
        <v>8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F31" s="47">
        <v>21</v>
      </c>
      <c r="AG31" s="48" t="s">
        <v>1118</v>
      </c>
      <c r="AH31" s="49" t="s">
        <v>427</v>
      </c>
      <c r="AI31" s="50" t="s">
        <v>8</v>
      </c>
    </row>
    <row r="32" spans="1:35" ht="20.100000000000001" customHeight="1" x14ac:dyDescent="0.25">
      <c r="A32" s="4">
        <v>22</v>
      </c>
      <c r="B32" s="4">
        <v>14832</v>
      </c>
      <c r="C32" s="5" t="s">
        <v>386</v>
      </c>
      <c r="D32" s="5" t="s">
        <v>387</v>
      </c>
      <c r="E32" s="24" t="s">
        <v>7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F32" s="47">
        <v>22</v>
      </c>
      <c r="AG32" s="48" t="s">
        <v>1119</v>
      </c>
      <c r="AH32" s="49" t="s">
        <v>387</v>
      </c>
      <c r="AI32" s="50" t="s">
        <v>7</v>
      </c>
    </row>
    <row r="33" spans="1:35" ht="20.100000000000001" customHeight="1" x14ac:dyDescent="0.25">
      <c r="A33" s="4">
        <v>23</v>
      </c>
      <c r="B33" s="4">
        <v>14864</v>
      </c>
      <c r="C33" s="20" t="s">
        <v>30</v>
      </c>
      <c r="D33" s="23" t="s">
        <v>31</v>
      </c>
      <c r="E33" s="24" t="s">
        <v>7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F33" s="47">
        <v>23</v>
      </c>
      <c r="AG33" s="48" t="s">
        <v>1120</v>
      </c>
      <c r="AH33" s="49" t="s">
        <v>31</v>
      </c>
      <c r="AI33" s="50" t="s">
        <v>7</v>
      </c>
    </row>
    <row r="34" spans="1:35" ht="20.100000000000001" customHeight="1" x14ac:dyDescent="0.25">
      <c r="A34" s="4">
        <v>24</v>
      </c>
      <c r="B34" s="4">
        <v>14875</v>
      </c>
      <c r="C34" s="5" t="s">
        <v>645</v>
      </c>
      <c r="D34" s="5" t="s">
        <v>646</v>
      </c>
      <c r="E34" s="24" t="s">
        <v>7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F34" s="47">
        <v>24</v>
      </c>
      <c r="AG34" s="48" t="s">
        <v>1121</v>
      </c>
      <c r="AH34" s="49" t="s">
        <v>646</v>
      </c>
      <c r="AI34" s="50" t="s">
        <v>7</v>
      </c>
    </row>
    <row r="35" spans="1:35" ht="20.100000000000001" customHeight="1" x14ac:dyDescent="0.25">
      <c r="A35" s="4">
        <v>25</v>
      </c>
      <c r="B35" s="4">
        <v>14883</v>
      </c>
      <c r="C35" s="5" t="s">
        <v>424</v>
      </c>
      <c r="D35" s="5" t="s">
        <v>425</v>
      </c>
      <c r="E35" s="24" t="s">
        <v>8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F35" s="47">
        <v>25</v>
      </c>
      <c r="AG35" s="48" t="s">
        <v>1122</v>
      </c>
      <c r="AH35" s="49" t="s">
        <v>425</v>
      </c>
      <c r="AI35" s="50" t="s">
        <v>8</v>
      </c>
    </row>
    <row r="36" spans="1:35" ht="20.100000000000001" customHeight="1" x14ac:dyDescent="0.25">
      <c r="A36" s="4">
        <v>26</v>
      </c>
      <c r="B36" s="4">
        <v>14896</v>
      </c>
      <c r="C36" s="5" t="s">
        <v>553</v>
      </c>
      <c r="D36" s="5" t="s">
        <v>554</v>
      </c>
      <c r="E36" s="24" t="s">
        <v>7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F36" s="47">
        <v>26</v>
      </c>
      <c r="AG36" s="48" t="s">
        <v>1123</v>
      </c>
      <c r="AH36" s="49" t="s">
        <v>554</v>
      </c>
      <c r="AI36" s="50" t="s">
        <v>8</v>
      </c>
    </row>
    <row r="37" spans="1:35" ht="20.100000000000001" customHeight="1" x14ac:dyDescent="0.25">
      <c r="A37" s="4">
        <v>27</v>
      </c>
      <c r="B37" s="4">
        <v>14898</v>
      </c>
      <c r="C37" s="5" t="s">
        <v>643</v>
      </c>
      <c r="D37" s="5" t="s">
        <v>756</v>
      </c>
      <c r="E37" s="24" t="s">
        <v>7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F37" s="47">
        <v>27</v>
      </c>
      <c r="AG37" s="48" t="s">
        <v>1124</v>
      </c>
      <c r="AH37" s="49" t="s">
        <v>644</v>
      </c>
      <c r="AI37" s="50" t="s">
        <v>7</v>
      </c>
    </row>
    <row r="38" spans="1:35" ht="20.100000000000001" customHeight="1" x14ac:dyDescent="0.25">
      <c r="A38" s="4">
        <v>28</v>
      </c>
      <c r="B38" s="4">
        <v>14900</v>
      </c>
      <c r="C38" s="5" t="s">
        <v>396</v>
      </c>
      <c r="D38" s="5" t="s">
        <v>397</v>
      </c>
      <c r="E38" s="24" t="s">
        <v>7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F38" s="47">
        <v>28</v>
      </c>
      <c r="AG38" s="48" t="s">
        <v>1125</v>
      </c>
      <c r="AH38" s="49" t="s">
        <v>397</v>
      </c>
      <c r="AI38" s="50" t="s">
        <v>7</v>
      </c>
    </row>
    <row r="39" spans="1:35" ht="20.100000000000001" customHeight="1" x14ac:dyDescent="0.25">
      <c r="A39" s="4">
        <v>29</v>
      </c>
      <c r="B39" s="4">
        <v>14912</v>
      </c>
      <c r="C39" s="5" t="s">
        <v>305</v>
      </c>
      <c r="D39" s="5" t="s">
        <v>306</v>
      </c>
      <c r="E39" s="24" t="s">
        <v>7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F39" s="47">
        <v>29</v>
      </c>
      <c r="AG39" s="48" t="s">
        <v>1126</v>
      </c>
      <c r="AH39" s="49" t="s">
        <v>306</v>
      </c>
      <c r="AI39" s="50" t="s">
        <v>7</v>
      </c>
    </row>
    <row r="40" spans="1:35" ht="20.100000000000001" customHeight="1" x14ac:dyDescent="0.25">
      <c r="A40" s="4">
        <v>30</v>
      </c>
      <c r="B40" s="4">
        <v>14917</v>
      </c>
      <c r="C40" s="5" t="s">
        <v>659</v>
      </c>
      <c r="D40" s="5" t="s">
        <v>660</v>
      </c>
      <c r="E40" s="24" t="s">
        <v>7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F40" s="47">
        <v>30</v>
      </c>
      <c r="AG40" s="48" t="s">
        <v>1127</v>
      </c>
      <c r="AH40" s="49" t="s">
        <v>660</v>
      </c>
      <c r="AI40" s="50" t="s">
        <v>7</v>
      </c>
    </row>
    <row r="41" spans="1:35" ht="20.100000000000001" customHeight="1" x14ac:dyDescent="0.25">
      <c r="A41" s="4">
        <v>31</v>
      </c>
      <c r="B41" s="4">
        <v>14921</v>
      </c>
      <c r="C41" s="5" t="s">
        <v>125</v>
      </c>
      <c r="D41" s="5" t="s">
        <v>126</v>
      </c>
      <c r="E41" s="24" t="s">
        <v>7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F41" s="47">
        <v>31</v>
      </c>
      <c r="AG41" s="48" t="s">
        <v>1128</v>
      </c>
      <c r="AH41" s="49" t="s">
        <v>126</v>
      </c>
      <c r="AI41" s="50" t="s">
        <v>7</v>
      </c>
    </row>
    <row r="42" spans="1:35" ht="20.100000000000001" customHeight="1" x14ac:dyDescent="0.25">
      <c r="A42" s="4">
        <v>32</v>
      </c>
      <c r="B42" s="4">
        <v>14925</v>
      </c>
      <c r="C42" s="5" t="s">
        <v>64</v>
      </c>
      <c r="D42" s="5" t="s">
        <v>65</v>
      </c>
      <c r="E42" s="24" t="s">
        <v>7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F42" s="47">
        <v>32</v>
      </c>
      <c r="AG42" s="48" t="s">
        <v>1129</v>
      </c>
      <c r="AH42" s="49" t="s">
        <v>65</v>
      </c>
      <c r="AI42" s="50" t="s">
        <v>7</v>
      </c>
    </row>
    <row r="43" spans="1:35" ht="20.100000000000001" customHeight="1" x14ac:dyDescent="0.25">
      <c r="A43" s="4">
        <v>33</v>
      </c>
      <c r="B43" s="4">
        <v>14930</v>
      </c>
      <c r="C43" s="5" t="s">
        <v>40</v>
      </c>
      <c r="D43" s="5" t="s">
        <v>41</v>
      </c>
      <c r="E43" s="24" t="s">
        <v>7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F43" s="47">
        <v>33</v>
      </c>
      <c r="AG43" s="48" t="s">
        <v>1130</v>
      </c>
      <c r="AH43" s="49" t="s">
        <v>41</v>
      </c>
      <c r="AI43" s="50" t="s">
        <v>7</v>
      </c>
    </row>
    <row r="44" spans="1:35" ht="20.100000000000001" customHeight="1" x14ac:dyDescent="0.25">
      <c r="A44" s="4">
        <v>34</v>
      </c>
      <c r="B44" s="4">
        <v>14936</v>
      </c>
      <c r="C44" s="5" t="s">
        <v>297</v>
      </c>
      <c r="D44" s="5" t="s">
        <v>298</v>
      </c>
      <c r="E44" s="24" t="s">
        <v>7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F44" s="47">
        <v>34</v>
      </c>
      <c r="AG44" s="48" t="s">
        <v>1131</v>
      </c>
      <c r="AH44" s="49" t="s">
        <v>298</v>
      </c>
      <c r="AI44" s="50" t="s">
        <v>7</v>
      </c>
    </row>
    <row r="45" spans="1:35" ht="20.100000000000001" customHeight="1" x14ac:dyDescent="0.25">
      <c r="A45" s="4">
        <v>35</v>
      </c>
      <c r="B45" s="4">
        <v>14943</v>
      </c>
      <c r="C45" s="5" t="s">
        <v>620</v>
      </c>
      <c r="D45" s="5" t="s">
        <v>621</v>
      </c>
      <c r="E45" s="24" t="s">
        <v>7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F45" s="47">
        <v>35</v>
      </c>
      <c r="AG45" s="48" t="s">
        <v>1132</v>
      </c>
      <c r="AH45" s="49" t="s">
        <v>621</v>
      </c>
      <c r="AI45" s="50" t="s">
        <v>7</v>
      </c>
    </row>
    <row r="46" spans="1:35" ht="20.100000000000001" customHeight="1" x14ac:dyDescent="0.25">
      <c r="A46" s="4"/>
      <c r="B46" s="4"/>
      <c r="C46" s="5"/>
      <c r="D46" s="5"/>
      <c r="E46" s="24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</row>
    <row r="47" spans="1:35" x14ac:dyDescent="0.25">
      <c r="A47" s="65" t="s">
        <v>10</v>
      </c>
      <c r="B47" s="65"/>
      <c r="C47" s="65"/>
      <c r="D47" s="10" t="s">
        <v>11</v>
      </c>
      <c r="E47" s="8">
        <f>COUNTIFS($E$11:$E$46,"L")</f>
        <v>18</v>
      </c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</row>
    <row r="48" spans="1:35" x14ac:dyDescent="0.25">
      <c r="A48" s="65" t="s">
        <v>12</v>
      </c>
      <c r="B48" s="65"/>
      <c r="C48" s="65"/>
      <c r="D48" s="10" t="s">
        <v>13</v>
      </c>
      <c r="E48" s="8">
        <f>COUNTIFS($E$11:$E$46,"P")</f>
        <v>17</v>
      </c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</row>
    <row r="49" spans="1:5" x14ac:dyDescent="0.25">
      <c r="A49" s="1"/>
      <c r="B49" s="1"/>
      <c r="C49" s="2"/>
      <c r="E49">
        <f>E47+E48</f>
        <v>35</v>
      </c>
    </row>
  </sheetData>
  <sortState xmlns:xlrd2="http://schemas.microsoft.com/office/spreadsheetml/2017/richdata2" ref="B11:E46">
    <sortCondition ref="D11:D46"/>
  </sortState>
  <mergeCells count="40">
    <mergeCell ref="A1:AC1"/>
    <mergeCell ref="A2:AC2"/>
    <mergeCell ref="A3:AC3"/>
    <mergeCell ref="A4:AC4"/>
    <mergeCell ref="A8:A10"/>
    <mergeCell ref="C8:C10"/>
    <mergeCell ref="D8:D10"/>
    <mergeCell ref="E8:E10"/>
    <mergeCell ref="F8:H8"/>
    <mergeCell ref="B8:B10"/>
    <mergeCell ref="F9:AC9"/>
    <mergeCell ref="A47:C47"/>
    <mergeCell ref="A48:C48"/>
    <mergeCell ref="I8:S8"/>
    <mergeCell ref="T8:U8"/>
    <mergeCell ref="V8:AC8"/>
    <mergeCell ref="F46:F48"/>
    <mergeCell ref="G46:G48"/>
    <mergeCell ref="H46:H48"/>
    <mergeCell ref="I46:I48"/>
    <mergeCell ref="J46:J48"/>
    <mergeCell ref="K46:K48"/>
    <mergeCell ref="L46:L48"/>
    <mergeCell ref="M46:M48"/>
    <mergeCell ref="N46:N48"/>
    <mergeCell ref="O46:O48"/>
    <mergeCell ref="P46:P48"/>
    <mergeCell ref="Q46:Q48"/>
    <mergeCell ref="R46:R48"/>
    <mergeCell ref="S46:S48"/>
    <mergeCell ref="T46:T48"/>
    <mergeCell ref="U46:U48"/>
    <mergeCell ref="V46:V48"/>
    <mergeCell ref="W46:W48"/>
    <mergeCell ref="AC46:AC48"/>
    <mergeCell ref="X46:X48"/>
    <mergeCell ref="Y46:Y48"/>
    <mergeCell ref="Z46:Z48"/>
    <mergeCell ref="AA46:AA48"/>
    <mergeCell ref="AB46:AB48"/>
  </mergeCells>
  <conditionalFormatting sqref="D11:D12">
    <cfRule type="colorScale" priority="24">
      <colorScale>
        <cfvo type="min"/>
        <cfvo type="max"/>
        <color rgb="FFFCFCFF"/>
        <color rgb="FF63BE7B"/>
      </colorScale>
    </cfRule>
    <cfRule type="duplicateValues" dxfId="107" priority="25"/>
  </conditionalFormatting>
  <conditionalFormatting sqref="D14:D46">
    <cfRule type="colorScale" priority="18">
      <colorScale>
        <cfvo type="min"/>
        <cfvo type="max"/>
        <color rgb="FFFCFCFF"/>
        <color rgb="FF63BE7B"/>
      </colorScale>
    </cfRule>
    <cfRule type="duplicateValues" dxfId="106" priority="19"/>
  </conditionalFormatting>
  <conditionalFormatting sqref="D20">
    <cfRule type="colorScale" priority="4">
      <colorScale>
        <cfvo type="min"/>
        <cfvo type="max"/>
        <color rgb="FFFCFCFF"/>
        <color rgb="FF63BE7B"/>
      </colorScale>
    </cfRule>
    <cfRule type="duplicateValues" dxfId="105" priority="5"/>
  </conditionalFormatting>
  <conditionalFormatting sqref="D21">
    <cfRule type="colorScale" priority="14">
      <colorScale>
        <cfvo type="min"/>
        <cfvo type="max"/>
        <color rgb="FFFCFCFF"/>
        <color rgb="FF63BE7B"/>
      </colorScale>
    </cfRule>
    <cfRule type="duplicateValues" dxfId="104" priority="15"/>
  </conditionalFormatting>
  <conditionalFormatting sqref="D25">
    <cfRule type="colorScale" priority="2">
      <colorScale>
        <cfvo type="min"/>
        <cfvo type="max"/>
        <color rgb="FFFCFCFF"/>
        <color rgb="FF63BE7B"/>
      </colorScale>
    </cfRule>
    <cfRule type="duplicateValues" dxfId="103" priority="3"/>
  </conditionalFormatting>
  <conditionalFormatting sqref="D26">
    <cfRule type="colorScale" priority="12">
      <colorScale>
        <cfvo type="min"/>
        <cfvo type="max"/>
        <color rgb="FFFCFCFF"/>
        <color rgb="FF63BE7B"/>
      </colorScale>
    </cfRule>
    <cfRule type="duplicateValues" dxfId="102" priority="13"/>
  </conditionalFormatting>
  <conditionalFormatting sqref="D33">
    <cfRule type="colorScale" priority="10">
      <colorScale>
        <cfvo type="min"/>
        <cfvo type="max"/>
        <color rgb="FFFCFCFF"/>
        <color rgb="FF63BE7B"/>
      </colorScale>
    </cfRule>
    <cfRule type="duplicateValues" dxfId="101" priority="11"/>
  </conditionalFormatting>
  <conditionalFormatting sqref="D34">
    <cfRule type="colorScale" priority="22">
      <colorScale>
        <cfvo type="min"/>
        <cfvo type="max"/>
        <color rgb="FFFCFCFF"/>
        <color rgb="FF63BE7B"/>
      </colorScale>
    </cfRule>
    <cfRule type="duplicateValues" dxfId="100" priority="23"/>
  </conditionalFormatting>
  <conditionalFormatting sqref="D38">
    <cfRule type="colorScale" priority="8">
      <colorScale>
        <cfvo type="min"/>
        <cfvo type="max"/>
        <color rgb="FFFCFCFF"/>
        <color rgb="FF63BE7B"/>
      </colorScale>
    </cfRule>
    <cfRule type="duplicateValues" dxfId="99" priority="9"/>
  </conditionalFormatting>
  <conditionalFormatting sqref="D39">
    <cfRule type="colorScale" priority="20">
      <colorScale>
        <cfvo type="min"/>
        <cfvo type="max"/>
        <color rgb="FFFCFCFF"/>
        <color rgb="FF63BE7B"/>
      </colorScale>
    </cfRule>
    <cfRule type="duplicateValues" dxfId="98" priority="21"/>
  </conditionalFormatting>
  <conditionalFormatting sqref="D42">
    <cfRule type="colorScale" priority="6">
      <colorScale>
        <cfvo type="min"/>
        <cfvo type="max"/>
        <color rgb="FFFCFCFF"/>
        <color rgb="FF63BE7B"/>
      </colorScale>
    </cfRule>
    <cfRule type="duplicateValues" dxfId="97" priority="7"/>
  </conditionalFormatting>
  <conditionalFormatting sqref="D43">
    <cfRule type="colorScale" priority="16">
      <colorScale>
        <cfvo type="min"/>
        <cfvo type="max"/>
        <color rgb="FFFCFCFF"/>
        <color rgb="FF63BE7B"/>
      </colorScale>
    </cfRule>
    <cfRule type="duplicateValues" dxfId="96" priority="17"/>
  </conditionalFormatting>
  <conditionalFormatting sqref="AH11:AH45">
    <cfRule type="expression" dxfId="95" priority="1">
      <formula>AH11&lt;&gt;D11</formula>
    </cfRule>
  </conditionalFormatting>
  <pageMargins left="0.23622047244094491" right="0.15748031496062992" top="0.35433070866141736" bottom="0.74803149606299213" header="0.31496062992125984" footer="0.31496062992125984"/>
  <pageSetup paperSize="9" scale="82" orientation="portrait" horizontalDpi="4294967293" verticalDpi="0" r:id="rId1"/>
  <colBreaks count="1" manualBreakCount="1">
    <brk id="29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49"/>
  <sheetViews>
    <sheetView view="pageBreakPreview" zoomScale="90" zoomScaleNormal="100" zoomScaleSheetLayoutView="90" workbookViewId="0">
      <selection activeCell="F9" sqref="F9:AC9"/>
    </sheetView>
  </sheetViews>
  <sheetFormatPr defaultColWidth="3.28515625" defaultRowHeight="15" x14ac:dyDescent="0.25"/>
  <cols>
    <col min="1" max="1" width="4.5703125" bestFit="1" customWidth="1"/>
    <col min="2" max="2" width="6.28515625" customWidth="1"/>
    <col min="3" max="3" width="11" bestFit="1" customWidth="1"/>
    <col min="4" max="4" width="30.85546875" customWidth="1"/>
    <col min="5" max="5" width="3.7109375" bestFit="1" customWidth="1"/>
    <col min="6" max="29" width="2.7109375" customWidth="1"/>
    <col min="33" max="33" width="17.85546875" bestFit="1" customWidth="1"/>
    <col min="34" max="34" width="37.42578125" bestFit="1" customWidth="1"/>
  </cols>
  <sheetData>
    <row r="1" spans="1:35" x14ac:dyDescent="0.25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</row>
    <row r="2" spans="1:35" ht="21.75" customHeight="1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</row>
    <row r="3" spans="1:35" ht="20.25" customHeight="1" x14ac:dyDescent="0.25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</row>
    <row r="4" spans="1:35" ht="21" x14ac:dyDescent="0.35">
      <c r="A4" s="55" t="s">
        <v>1209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</row>
    <row r="5" spans="1:35" ht="21" x14ac:dyDescent="0.35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</row>
    <row r="6" spans="1:35" x14ac:dyDescent="0.25">
      <c r="A6" s="1"/>
      <c r="B6" s="1"/>
      <c r="C6" s="2"/>
      <c r="P6" s="11"/>
    </row>
    <row r="7" spans="1:35" ht="3.75" customHeight="1" x14ac:dyDescent="0.25">
      <c r="A7" s="1"/>
      <c r="B7" s="1"/>
      <c r="C7" s="2"/>
    </row>
    <row r="8" spans="1:35" x14ac:dyDescent="0.25">
      <c r="A8" s="56" t="s">
        <v>0</v>
      </c>
      <c r="B8" s="57" t="s">
        <v>803</v>
      </c>
      <c r="C8" s="57" t="s">
        <v>1</v>
      </c>
      <c r="D8" s="56" t="s">
        <v>2</v>
      </c>
      <c r="E8" s="58" t="s">
        <v>3</v>
      </c>
      <c r="F8" s="59" t="s">
        <v>4</v>
      </c>
      <c r="G8" s="60"/>
      <c r="H8" s="61"/>
      <c r="I8" s="70" t="s">
        <v>1212</v>
      </c>
      <c r="J8" s="71"/>
      <c r="K8" s="71"/>
      <c r="L8" s="71"/>
      <c r="M8" s="71"/>
      <c r="N8" s="71"/>
      <c r="O8" s="71"/>
      <c r="P8" s="71"/>
      <c r="Q8" s="71"/>
      <c r="R8" s="71"/>
      <c r="S8" s="72"/>
      <c r="T8" s="65" t="s">
        <v>5</v>
      </c>
      <c r="U8" s="65"/>
      <c r="V8" s="96" t="s">
        <v>1213</v>
      </c>
      <c r="W8" s="69"/>
      <c r="X8" s="69"/>
      <c r="Y8" s="69"/>
      <c r="Z8" s="69"/>
      <c r="AA8" s="69"/>
      <c r="AB8" s="69"/>
      <c r="AC8" s="69"/>
    </row>
    <row r="9" spans="1:35" x14ac:dyDescent="0.25">
      <c r="A9" s="56"/>
      <c r="B9" s="57"/>
      <c r="C9" s="57"/>
      <c r="D9" s="56"/>
      <c r="E9" s="58"/>
      <c r="F9" s="62" t="s">
        <v>1214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4"/>
    </row>
    <row r="10" spans="1:35" x14ac:dyDescent="0.25">
      <c r="A10" s="56"/>
      <c r="B10" s="57"/>
      <c r="C10" s="57"/>
      <c r="D10" s="56"/>
      <c r="E10" s="58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35" ht="20.100000000000001" customHeight="1" x14ac:dyDescent="0.25">
      <c r="A11" s="4">
        <v>1</v>
      </c>
      <c r="B11" s="4">
        <v>14590</v>
      </c>
      <c r="C11" s="5" t="s">
        <v>685</v>
      </c>
      <c r="D11" s="5" t="s">
        <v>686</v>
      </c>
      <c r="E11" s="24" t="s">
        <v>8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F11" s="47">
        <v>1</v>
      </c>
      <c r="AG11" s="48" t="s">
        <v>1133</v>
      </c>
      <c r="AH11" s="49" t="s">
        <v>686</v>
      </c>
      <c r="AI11" s="50" t="s">
        <v>8</v>
      </c>
    </row>
    <row r="12" spans="1:35" ht="20.100000000000001" customHeight="1" x14ac:dyDescent="0.25">
      <c r="A12" s="4">
        <v>2</v>
      </c>
      <c r="B12" s="4">
        <v>14602</v>
      </c>
      <c r="C12" s="9" t="s">
        <v>693</v>
      </c>
      <c r="D12" s="5" t="s">
        <v>694</v>
      </c>
      <c r="E12" s="24" t="s">
        <v>8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F12" s="47">
        <v>2</v>
      </c>
      <c r="AG12" s="48" t="s">
        <v>1134</v>
      </c>
      <c r="AH12" s="49" t="s">
        <v>694</v>
      </c>
      <c r="AI12" s="50" t="s">
        <v>8</v>
      </c>
    </row>
    <row r="13" spans="1:35" ht="20.100000000000001" customHeight="1" x14ac:dyDescent="0.25">
      <c r="A13" s="4">
        <v>3</v>
      </c>
      <c r="B13" s="4">
        <v>14613</v>
      </c>
      <c r="C13" s="9" t="s">
        <v>416</v>
      </c>
      <c r="D13" s="23" t="s">
        <v>417</v>
      </c>
      <c r="E13" s="24" t="s">
        <v>8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F13" s="47">
        <v>3</v>
      </c>
      <c r="AG13" s="48" t="s">
        <v>1135</v>
      </c>
      <c r="AH13" s="49" t="s">
        <v>417</v>
      </c>
      <c r="AI13" s="50" t="s">
        <v>8</v>
      </c>
    </row>
    <row r="14" spans="1:35" ht="20.100000000000001" customHeight="1" x14ac:dyDescent="0.25">
      <c r="A14" s="4">
        <v>4</v>
      </c>
      <c r="B14" s="4">
        <v>14632</v>
      </c>
      <c r="C14" s="9" t="s">
        <v>392</v>
      </c>
      <c r="D14" s="5" t="s">
        <v>393</v>
      </c>
      <c r="E14" s="24" t="s">
        <v>8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F14" s="47">
        <v>4</v>
      </c>
      <c r="AG14" s="48" t="s">
        <v>1136</v>
      </c>
      <c r="AH14" s="49" t="s">
        <v>393</v>
      </c>
      <c r="AI14" s="50" t="s">
        <v>8</v>
      </c>
    </row>
    <row r="15" spans="1:35" ht="20.100000000000001" customHeight="1" x14ac:dyDescent="0.25">
      <c r="A15" s="4">
        <v>5</v>
      </c>
      <c r="B15" s="4">
        <v>14637</v>
      </c>
      <c r="C15" s="5" t="s">
        <v>641</v>
      </c>
      <c r="D15" s="5" t="s">
        <v>642</v>
      </c>
      <c r="E15" s="24" t="s">
        <v>7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F15" s="47">
        <v>5</v>
      </c>
      <c r="AG15" s="48" t="s">
        <v>1137</v>
      </c>
      <c r="AH15" s="49" t="s">
        <v>642</v>
      </c>
      <c r="AI15" s="50" t="s">
        <v>7</v>
      </c>
    </row>
    <row r="16" spans="1:35" ht="20.100000000000001" customHeight="1" x14ac:dyDescent="0.25">
      <c r="A16" s="4">
        <v>6</v>
      </c>
      <c r="B16" s="4">
        <v>14656</v>
      </c>
      <c r="C16" s="5" t="s">
        <v>450</v>
      </c>
      <c r="D16" s="5" t="s">
        <v>792</v>
      </c>
      <c r="E16" s="24" t="s">
        <v>8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F16" s="47">
        <v>6</v>
      </c>
      <c r="AG16" s="48" t="s">
        <v>1138</v>
      </c>
      <c r="AH16" s="49" t="s">
        <v>451</v>
      </c>
      <c r="AI16" s="50" t="s">
        <v>8</v>
      </c>
    </row>
    <row r="17" spans="1:35" ht="20.100000000000001" customHeight="1" x14ac:dyDescent="0.25">
      <c r="A17" s="4">
        <v>7</v>
      </c>
      <c r="B17" s="4">
        <v>14659</v>
      </c>
      <c r="C17" s="5" t="s">
        <v>610</v>
      </c>
      <c r="D17" s="5" t="s">
        <v>611</v>
      </c>
      <c r="E17" s="24" t="s">
        <v>7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F17" s="47">
        <v>7</v>
      </c>
      <c r="AG17" s="48" t="s">
        <v>1139</v>
      </c>
      <c r="AH17" s="49" t="s">
        <v>611</v>
      </c>
      <c r="AI17" s="50" t="s">
        <v>7</v>
      </c>
    </row>
    <row r="18" spans="1:35" ht="20.100000000000001" customHeight="1" x14ac:dyDescent="0.25">
      <c r="A18" s="4">
        <v>8</v>
      </c>
      <c r="B18" s="4">
        <v>14663</v>
      </c>
      <c r="C18" s="5" t="s">
        <v>527</v>
      </c>
      <c r="D18" s="5" t="s">
        <v>528</v>
      </c>
      <c r="E18" s="24" t="s">
        <v>7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F18" s="47">
        <v>8</v>
      </c>
      <c r="AG18" s="48" t="s">
        <v>1140</v>
      </c>
      <c r="AH18" s="49" t="s">
        <v>528</v>
      </c>
      <c r="AI18" s="50" t="s">
        <v>7</v>
      </c>
    </row>
    <row r="19" spans="1:35" ht="20.100000000000001" customHeight="1" x14ac:dyDescent="0.25">
      <c r="A19" s="4">
        <v>9</v>
      </c>
      <c r="B19" s="4">
        <v>14677</v>
      </c>
      <c r="C19" s="5" t="s">
        <v>612</v>
      </c>
      <c r="D19" s="5" t="s">
        <v>613</v>
      </c>
      <c r="E19" s="24" t="s">
        <v>7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F19" s="47">
        <v>9</v>
      </c>
      <c r="AG19" s="48" t="s">
        <v>1141</v>
      </c>
      <c r="AH19" s="49" t="s">
        <v>613</v>
      </c>
      <c r="AI19" s="50" t="s">
        <v>7</v>
      </c>
    </row>
    <row r="20" spans="1:35" ht="20.100000000000001" customHeight="1" x14ac:dyDescent="0.25">
      <c r="A20" s="4">
        <v>10</v>
      </c>
      <c r="B20" s="4">
        <v>14686</v>
      </c>
      <c r="C20" s="5" t="s">
        <v>632</v>
      </c>
      <c r="D20" s="5" t="s">
        <v>633</v>
      </c>
      <c r="E20" s="24" t="s">
        <v>7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F20" s="47">
        <v>10</v>
      </c>
      <c r="AG20" s="48" t="s">
        <v>1142</v>
      </c>
      <c r="AH20" s="49" t="s">
        <v>633</v>
      </c>
      <c r="AI20" s="50" t="s">
        <v>7</v>
      </c>
    </row>
    <row r="21" spans="1:35" ht="20.100000000000001" customHeight="1" x14ac:dyDescent="0.25">
      <c r="A21" s="4">
        <v>11</v>
      </c>
      <c r="B21" s="4">
        <v>14694</v>
      </c>
      <c r="C21" s="5" t="s">
        <v>764</v>
      </c>
      <c r="D21" s="5" t="s">
        <v>563</v>
      </c>
      <c r="E21" s="24" t="s">
        <v>7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F21" s="47">
        <v>11</v>
      </c>
      <c r="AG21" s="48" t="s">
        <v>1143</v>
      </c>
      <c r="AH21" s="49" t="s">
        <v>563</v>
      </c>
      <c r="AI21" s="50" t="s">
        <v>7</v>
      </c>
    </row>
    <row r="22" spans="1:35" ht="20.100000000000001" customHeight="1" x14ac:dyDescent="0.25">
      <c r="A22" s="4">
        <v>12</v>
      </c>
      <c r="B22" s="4">
        <v>14697</v>
      </c>
      <c r="C22" s="5" t="s">
        <v>695</v>
      </c>
      <c r="D22" s="5" t="s">
        <v>696</v>
      </c>
      <c r="E22" s="24" t="s">
        <v>8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F22" s="47">
        <v>12</v>
      </c>
      <c r="AG22" s="48" t="s">
        <v>1144</v>
      </c>
      <c r="AH22" s="49" t="s">
        <v>696</v>
      </c>
      <c r="AI22" s="50" t="s">
        <v>8</v>
      </c>
    </row>
    <row r="23" spans="1:35" ht="20.100000000000001" customHeight="1" x14ac:dyDescent="0.25">
      <c r="A23" s="4">
        <v>13</v>
      </c>
      <c r="B23" s="4">
        <v>14701</v>
      </c>
      <c r="C23" s="5" t="s">
        <v>420</v>
      </c>
      <c r="D23" s="5" t="s">
        <v>421</v>
      </c>
      <c r="E23" s="24" t="s">
        <v>7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F23" s="47">
        <v>13</v>
      </c>
      <c r="AG23" s="48" t="s">
        <v>1145</v>
      </c>
      <c r="AH23" s="49" t="s">
        <v>421</v>
      </c>
      <c r="AI23" s="50" t="s">
        <v>7</v>
      </c>
    </row>
    <row r="24" spans="1:35" ht="20.100000000000001" customHeight="1" x14ac:dyDescent="0.25">
      <c r="A24" s="4">
        <v>14</v>
      </c>
      <c r="B24" s="4">
        <v>14716</v>
      </c>
      <c r="C24" s="9" t="s">
        <v>564</v>
      </c>
      <c r="D24" s="5" t="s">
        <v>565</v>
      </c>
      <c r="E24" s="24" t="s">
        <v>7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F24" s="47">
        <v>14</v>
      </c>
      <c r="AG24" s="48" t="s">
        <v>1146</v>
      </c>
      <c r="AH24" s="49" t="s">
        <v>468</v>
      </c>
      <c r="AI24" s="50" t="s">
        <v>7</v>
      </c>
    </row>
    <row r="25" spans="1:35" ht="20.100000000000001" customHeight="1" x14ac:dyDescent="0.25">
      <c r="A25" s="4">
        <v>15</v>
      </c>
      <c r="B25" s="4">
        <v>14726</v>
      </c>
      <c r="C25" s="5" t="s">
        <v>467</v>
      </c>
      <c r="D25" s="5" t="s">
        <v>468</v>
      </c>
      <c r="E25" s="24" t="s">
        <v>7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F25" s="47">
        <v>15</v>
      </c>
      <c r="AG25" s="48" t="s">
        <v>1147</v>
      </c>
      <c r="AH25" s="49" t="s">
        <v>516</v>
      </c>
      <c r="AI25" s="50" t="s">
        <v>7</v>
      </c>
    </row>
    <row r="26" spans="1:35" ht="20.100000000000001" customHeight="1" x14ac:dyDescent="0.25">
      <c r="A26" s="4">
        <v>16</v>
      </c>
      <c r="B26" s="4">
        <v>14734</v>
      </c>
      <c r="C26" s="5" t="s">
        <v>515</v>
      </c>
      <c r="D26" s="5" t="s">
        <v>516</v>
      </c>
      <c r="E26" s="24" t="s">
        <v>7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F26" s="47">
        <v>16</v>
      </c>
      <c r="AG26" s="48" t="s">
        <v>1148</v>
      </c>
      <c r="AH26" s="49" t="s">
        <v>709</v>
      </c>
      <c r="AI26" s="50" t="s">
        <v>7</v>
      </c>
    </row>
    <row r="27" spans="1:35" ht="20.100000000000001" customHeight="1" x14ac:dyDescent="0.25">
      <c r="A27" s="4">
        <v>17</v>
      </c>
      <c r="B27" s="4">
        <v>14736</v>
      </c>
      <c r="C27" s="5" t="s">
        <v>600</v>
      </c>
      <c r="D27" s="5" t="s">
        <v>601</v>
      </c>
      <c r="E27" s="24" t="s">
        <v>7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F27" s="47">
        <v>17</v>
      </c>
      <c r="AG27" s="48" t="s">
        <v>1149</v>
      </c>
      <c r="AH27" s="49" t="s">
        <v>601</v>
      </c>
      <c r="AI27" s="50" t="s">
        <v>7</v>
      </c>
    </row>
    <row r="28" spans="1:35" ht="20.100000000000001" customHeight="1" x14ac:dyDescent="0.25">
      <c r="A28" s="4">
        <v>18</v>
      </c>
      <c r="B28" s="4">
        <v>14746</v>
      </c>
      <c r="C28" s="5" t="s">
        <v>763</v>
      </c>
      <c r="D28" s="5" t="s">
        <v>741</v>
      </c>
      <c r="E28" s="24" t="s">
        <v>7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F28" s="47">
        <v>18</v>
      </c>
      <c r="AG28" s="48" t="s">
        <v>1150</v>
      </c>
      <c r="AH28" s="49" t="s">
        <v>701</v>
      </c>
      <c r="AI28" s="50" t="s">
        <v>7</v>
      </c>
    </row>
    <row r="29" spans="1:35" ht="20.100000000000001" customHeight="1" x14ac:dyDescent="0.25">
      <c r="A29" s="4">
        <v>19</v>
      </c>
      <c r="B29" s="4">
        <v>14760</v>
      </c>
      <c r="C29" s="5" t="s">
        <v>566</v>
      </c>
      <c r="D29" s="5" t="s">
        <v>567</v>
      </c>
      <c r="E29" s="24" t="s">
        <v>8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F29" s="47">
        <v>19</v>
      </c>
      <c r="AG29" s="48" t="s">
        <v>1151</v>
      </c>
      <c r="AH29" s="49" t="s">
        <v>1152</v>
      </c>
      <c r="AI29" s="50" t="s">
        <v>8</v>
      </c>
    </row>
    <row r="30" spans="1:35" ht="20.100000000000001" customHeight="1" x14ac:dyDescent="0.25">
      <c r="A30" s="4">
        <v>20</v>
      </c>
      <c r="B30" s="4">
        <v>14780</v>
      </c>
      <c r="C30" s="8" t="s">
        <v>149</v>
      </c>
      <c r="D30" s="5" t="s">
        <v>150</v>
      </c>
      <c r="E30" s="24" t="s">
        <v>8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F30" s="47">
        <v>20</v>
      </c>
      <c r="AG30" s="48" t="s">
        <v>1153</v>
      </c>
      <c r="AH30" s="49" t="s">
        <v>150</v>
      </c>
      <c r="AI30" s="50" t="s">
        <v>8</v>
      </c>
    </row>
    <row r="31" spans="1:35" ht="20.100000000000001" customHeight="1" x14ac:dyDescent="0.25">
      <c r="A31" s="4">
        <v>21</v>
      </c>
      <c r="B31" s="4">
        <v>14783</v>
      </c>
      <c r="C31" s="5" t="s">
        <v>505</v>
      </c>
      <c r="D31" s="5" t="s">
        <v>506</v>
      </c>
      <c r="E31" s="24" t="s">
        <v>8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F31" s="47">
        <v>21</v>
      </c>
      <c r="AG31" s="48" t="s">
        <v>1154</v>
      </c>
      <c r="AH31" s="49" t="s">
        <v>1155</v>
      </c>
      <c r="AI31" s="50" t="s">
        <v>8</v>
      </c>
    </row>
    <row r="32" spans="1:35" ht="20.100000000000001" customHeight="1" x14ac:dyDescent="0.25">
      <c r="A32" s="4">
        <v>22</v>
      </c>
      <c r="B32" s="4">
        <v>14803</v>
      </c>
      <c r="C32" s="5" t="s">
        <v>651</v>
      </c>
      <c r="D32" s="5" t="s">
        <v>827</v>
      </c>
      <c r="E32" s="24" t="s">
        <v>8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F32" s="47">
        <v>22</v>
      </c>
      <c r="AG32" s="48" t="s">
        <v>1156</v>
      </c>
      <c r="AH32" s="49" t="s">
        <v>1157</v>
      </c>
      <c r="AI32" s="50" t="s">
        <v>8</v>
      </c>
    </row>
    <row r="33" spans="1:35" ht="20.100000000000001" customHeight="1" x14ac:dyDescent="0.25">
      <c r="A33" s="4">
        <v>23</v>
      </c>
      <c r="B33" s="4">
        <v>14802</v>
      </c>
      <c r="C33" s="5" t="s">
        <v>404</v>
      </c>
      <c r="D33" s="5" t="s">
        <v>405</v>
      </c>
      <c r="E33" s="24" t="s">
        <v>8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F33" s="47">
        <v>23</v>
      </c>
      <c r="AG33" s="48" t="s">
        <v>1158</v>
      </c>
      <c r="AH33" s="49" t="s">
        <v>405</v>
      </c>
      <c r="AI33" s="50" t="s">
        <v>8</v>
      </c>
    </row>
    <row r="34" spans="1:35" ht="20.100000000000001" customHeight="1" x14ac:dyDescent="0.25">
      <c r="A34" s="4">
        <v>24</v>
      </c>
      <c r="B34" s="4">
        <v>14807</v>
      </c>
      <c r="C34" s="9" t="s">
        <v>151</v>
      </c>
      <c r="D34" s="5" t="s">
        <v>152</v>
      </c>
      <c r="E34" s="24" t="s">
        <v>8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F34" s="47">
        <v>24</v>
      </c>
      <c r="AG34" s="48" t="s">
        <v>1159</v>
      </c>
      <c r="AH34" s="49" t="s">
        <v>152</v>
      </c>
      <c r="AI34" s="50" t="s">
        <v>8</v>
      </c>
    </row>
    <row r="35" spans="1:35" ht="20.100000000000001" customHeight="1" x14ac:dyDescent="0.25">
      <c r="A35" s="4">
        <v>25</v>
      </c>
      <c r="B35" s="4">
        <v>14821</v>
      </c>
      <c r="C35" s="5" t="s">
        <v>555</v>
      </c>
      <c r="D35" s="5" t="s">
        <v>750</v>
      </c>
      <c r="E35" s="24" t="s">
        <v>8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F35" s="47">
        <v>25</v>
      </c>
      <c r="AG35" s="48" t="s">
        <v>1160</v>
      </c>
      <c r="AH35" s="49" t="s">
        <v>556</v>
      </c>
      <c r="AI35" s="50" t="s">
        <v>8</v>
      </c>
    </row>
    <row r="36" spans="1:35" ht="20.100000000000001" customHeight="1" x14ac:dyDescent="0.25">
      <c r="A36" s="4">
        <v>26</v>
      </c>
      <c r="B36" s="4">
        <v>14834</v>
      </c>
      <c r="C36" s="5" t="s">
        <v>442</v>
      </c>
      <c r="D36" s="5" t="s">
        <v>443</v>
      </c>
      <c r="E36" s="24" t="s">
        <v>8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F36" s="47">
        <v>26</v>
      </c>
      <c r="AG36" s="48" t="s">
        <v>1161</v>
      </c>
      <c r="AH36" s="49" t="s">
        <v>443</v>
      </c>
      <c r="AI36" s="50" t="s">
        <v>8</v>
      </c>
    </row>
    <row r="37" spans="1:35" ht="20.100000000000001" customHeight="1" x14ac:dyDescent="0.25">
      <c r="A37" s="4">
        <v>27</v>
      </c>
      <c r="B37" s="4">
        <v>14854</v>
      </c>
      <c r="C37" s="5" t="s">
        <v>543</v>
      </c>
      <c r="D37" s="5" t="s">
        <v>544</v>
      </c>
      <c r="E37" s="24" t="s">
        <v>8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F37" s="47">
        <v>27</v>
      </c>
      <c r="AG37" s="48" t="s">
        <v>1162</v>
      </c>
      <c r="AH37" s="49" t="s">
        <v>544</v>
      </c>
      <c r="AI37" s="50" t="s">
        <v>8</v>
      </c>
    </row>
    <row r="38" spans="1:35" ht="20.100000000000001" customHeight="1" x14ac:dyDescent="0.25">
      <c r="A38" s="4">
        <v>28</v>
      </c>
      <c r="B38" s="4">
        <v>14856</v>
      </c>
      <c r="C38" s="9" t="s">
        <v>549</v>
      </c>
      <c r="D38" s="5" t="s">
        <v>550</v>
      </c>
      <c r="E38" s="24" t="s">
        <v>8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F38" s="47">
        <v>28</v>
      </c>
      <c r="AG38" s="48" t="s">
        <v>1163</v>
      </c>
      <c r="AH38" s="49" t="s">
        <v>550</v>
      </c>
      <c r="AI38" s="50" t="s">
        <v>8</v>
      </c>
    </row>
    <row r="39" spans="1:35" ht="20.100000000000001" customHeight="1" x14ac:dyDescent="0.25">
      <c r="A39" s="4">
        <v>29</v>
      </c>
      <c r="B39" s="4">
        <v>14867</v>
      </c>
      <c r="C39" s="5" t="s">
        <v>57</v>
      </c>
      <c r="D39" s="5" t="s">
        <v>58</v>
      </c>
      <c r="E39" s="24" t="s">
        <v>8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F39" s="47">
        <v>29</v>
      </c>
      <c r="AG39" s="48" t="s">
        <v>1164</v>
      </c>
      <c r="AH39" s="49" t="s">
        <v>58</v>
      </c>
      <c r="AI39" s="50" t="s">
        <v>8</v>
      </c>
    </row>
    <row r="40" spans="1:35" ht="20.100000000000001" customHeight="1" x14ac:dyDescent="0.25">
      <c r="A40" s="4">
        <v>30</v>
      </c>
      <c r="B40" s="4">
        <v>14876</v>
      </c>
      <c r="C40" s="5" t="s">
        <v>630</v>
      </c>
      <c r="D40" s="5" t="s">
        <v>631</v>
      </c>
      <c r="E40" s="24" t="s">
        <v>7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F40" s="47">
        <v>30</v>
      </c>
      <c r="AG40" s="48" t="s">
        <v>1165</v>
      </c>
      <c r="AH40" s="49" t="s">
        <v>631</v>
      </c>
      <c r="AI40" s="50" t="s">
        <v>7</v>
      </c>
    </row>
    <row r="41" spans="1:35" ht="20.100000000000001" customHeight="1" x14ac:dyDescent="0.25">
      <c r="A41" s="4">
        <v>31</v>
      </c>
      <c r="B41" s="4">
        <v>14882</v>
      </c>
      <c r="C41" s="5" t="s">
        <v>408</v>
      </c>
      <c r="D41" s="5" t="s">
        <v>409</v>
      </c>
      <c r="E41" s="24" t="s">
        <v>8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F41" s="47">
        <v>31</v>
      </c>
      <c r="AG41" s="48" t="s">
        <v>1166</v>
      </c>
      <c r="AH41" s="49" t="s">
        <v>409</v>
      </c>
      <c r="AI41" s="50" t="s">
        <v>8</v>
      </c>
    </row>
    <row r="42" spans="1:35" ht="20.100000000000001" customHeight="1" x14ac:dyDescent="0.25">
      <c r="A42" s="4">
        <v>32</v>
      </c>
      <c r="B42" s="4">
        <v>14903</v>
      </c>
      <c r="C42" s="5" t="s">
        <v>432</v>
      </c>
      <c r="D42" s="5" t="s">
        <v>433</v>
      </c>
      <c r="E42" s="24" t="s">
        <v>7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F42" s="47">
        <v>32</v>
      </c>
      <c r="AG42" s="48" t="s">
        <v>1167</v>
      </c>
      <c r="AH42" s="49" t="s">
        <v>433</v>
      </c>
      <c r="AI42" s="50" t="s">
        <v>7</v>
      </c>
    </row>
    <row r="43" spans="1:35" ht="20.100000000000001" customHeight="1" x14ac:dyDescent="0.25">
      <c r="A43" s="4">
        <v>33</v>
      </c>
      <c r="B43" s="4">
        <v>14904</v>
      </c>
      <c r="C43" s="5" t="s">
        <v>533</v>
      </c>
      <c r="D43" s="5" t="s">
        <v>534</v>
      </c>
      <c r="E43" s="24" t="s">
        <v>7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F43" s="47">
        <v>33</v>
      </c>
      <c r="AG43" s="48" t="s">
        <v>1168</v>
      </c>
      <c r="AH43" s="49" t="s">
        <v>534</v>
      </c>
      <c r="AI43" s="50" t="s">
        <v>7</v>
      </c>
    </row>
    <row r="44" spans="1:35" ht="20.100000000000001" customHeight="1" x14ac:dyDescent="0.25">
      <c r="A44" s="4">
        <v>34</v>
      </c>
      <c r="B44" s="4">
        <v>14909</v>
      </c>
      <c r="C44" s="5" t="s">
        <v>770</v>
      </c>
      <c r="D44" s="5" t="s">
        <v>464</v>
      </c>
      <c r="E44" s="24" t="s">
        <v>8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F44" s="47">
        <v>34</v>
      </c>
      <c r="AG44" s="48" t="s">
        <v>1169</v>
      </c>
      <c r="AH44" s="49" t="s">
        <v>464</v>
      </c>
      <c r="AI44" s="50" t="s">
        <v>8</v>
      </c>
    </row>
    <row r="45" spans="1:35" ht="20.100000000000001" customHeight="1" x14ac:dyDescent="0.25">
      <c r="A45" s="4">
        <v>35</v>
      </c>
      <c r="B45" s="4">
        <v>14926</v>
      </c>
      <c r="C45" s="5" t="s">
        <v>669</v>
      </c>
      <c r="D45" s="5" t="s">
        <v>757</v>
      </c>
      <c r="E45" s="24" t="s">
        <v>8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F45" s="47">
        <v>35</v>
      </c>
      <c r="AG45" s="48" t="s">
        <v>1170</v>
      </c>
      <c r="AH45" s="49" t="s">
        <v>670</v>
      </c>
      <c r="AI45" s="50" t="s">
        <v>8</v>
      </c>
    </row>
    <row r="46" spans="1:35" ht="20.100000000000001" customHeight="1" x14ac:dyDescent="0.25">
      <c r="A46" s="4"/>
      <c r="B46" s="4"/>
      <c r="C46" s="5"/>
      <c r="D46" s="5"/>
      <c r="E46" s="24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</row>
    <row r="47" spans="1:35" x14ac:dyDescent="0.25">
      <c r="A47" s="65" t="s">
        <v>10</v>
      </c>
      <c r="B47" s="65"/>
      <c r="C47" s="65"/>
      <c r="D47" s="10" t="s">
        <v>11</v>
      </c>
      <c r="E47" s="8">
        <f>COUNTIFS($E$11:$E$46,"L")</f>
        <v>20</v>
      </c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</row>
    <row r="48" spans="1:35" x14ac:dyDescent="0.25">
      <c r="A48" s="65" t="s">
        <v>12</v>
      </c>
      <c r="B48" s="65"/>
      <c r="C48" s="65"/>
      <c r="D48" s="10" t="s">
        <v>13</v>
      </c>
      <c r="E48" s="8">
        <f>COUNTIFS($E$11:$E$46,"P")</f>
        <v>15</v>
      </c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</row>
    <row r="49" spans="1:5" x14ac:dyDescent="0.25">
      <c r="A49" s="1"/>
      <c r="B49" s="1"/>
      <c r="C49" s="2"/>
      <c r="E49">
        <f>E47+E48</f>
        <v>35</v>
      </c>
    </row>
  </sheetData>
  <sortState xmlns:xlrd2="http://schemas.microsoft.com/office/spreadsheetml/2017/richdata2" ref="B11:E46">
    <sortCondition ref="D11:D46"/>
  </sortState>
  <mergeCells count="40">
    <mergeCell ref="A1:AC1"/>
    <mergeCell ref="A2:AC2"/>
    <mergeCell ref="A3:AC3"/>
    <mergeCell ref="A4:AC4"/>
    <mergeCell ref="A8:A10"/>
    <mergeCell ref="C8:C10"/>
    <mergeCell ref="D8:D10"/>
    <mergeCell ref="E8:E10"/>
    <mergeCell ref="F8:H8"/>
    <mergeCell ref="B8:B10"/>
    <mergeCell ref="F9:AC9"/>
    <mergeCell ref="A47:C47"/>
    <mergeCell ref="A48:C48"/>
    <mergeCell ref="I8:S8"/>
    <mergeCell ref="T8:U8"/>
    <mergeCell ref="V8:AC8"/>
    <mergeCell ref="F46:F48"/>
    <mergeCell ref="G46:G48"/>
    <mergeCell ref="H46:H48"/>
    <mergeCell ref="I46:I48"/>
    <mergeCell ref="J46:J48"/>
    <mergeCell ref="K46:K48"/>
    <mergeCell ref="L46:L48"/>
    <mergeCell ref="M46:M48"/>
    <mergeCell ref="N46:N48"/>
    <mergeCell ref="O46:O48"/>
    <mergeCell ref="P46:P48"/>
    <mergeCell ref="Q46:Q48"/>
    <mergeCell ref="R46:R48"/>
    <mergeCell ref="S46:S48"/>
    <mergeCell ref="T46:T48"/>
    <mergeCell ref="U46:U48"/>
    <mergeCell ref="V46:V48"/>
    <mergeCell ref="W46:W48"/>
    <mergeCell ref="AC46:AC48"/>
    <mergeCell ref="X46:X48"/>
    <mergeCell ref="Y46:Y48"/>
    <mergeCell ref="Z46:Z48"/>
    <mergeCell ref="AA46:AA48"/>
    <mergeCell ref="AB46:AB48"/>
  </mergeCells>
  <conditionalFormatting sqref="D11">
    <cfRule type="colorScale" priority="40">
      <colorScale>
        <cfvo type="min"/>
        <cfvo type="max"/>
        <color rgb="FFFCFCFF"/>
        <color rgb="FF63BE7B"/>
      </colorScale>
    </cfRule>
    <cfRule type="duplicateValues" dxfId="94" priority="41"/>
  </conditionalFormatting>
  <conditionalFormatting sqref="D12">
    <cfRule type="colorScale" priority="38">
      <colorScale>
        <cfvo type="min"/>
        <cfvo type="max"/>
        <color rgb="FFFCFCFF"/>
        <color rgb="FF63BE7B"/>
      </colorScale>
    </cfRule>
    <cfRule type="duplicateValues" dxfId="93" priority="39"/>
  </conditionalFormatting>
  <conditionalFormatting sqref="D13">
    <cfRule type="colorScale" priority="42">
      <colorScale>
        <cfvo type="min"/>
        <cfvo type="max"/>
        <color rgb="FFFCFCFF"/>
        <color rgb="FF63BE7B"/>
      </colorScale>
    </cfRule>
    <cfRule type="duplicateValues" dxfId="92" priority="43"/>
  </conditionalFormatting>
  <conditionalFormatting sqref="D14">
    <cfRule type="colorScale" priority="26">
      <colorScale>
        <cfvo type="min"/>
        <cfvo type="max"/>
        <color rgb="FFFCFCFF"/>
        <color rgb="FF63BE7B"/>
      </colorScale>
    </cfRule>
    <cfRule type="duplicateValues" dxfId="91" priority="27"/>
  </conditionalFormatting>
  <conditionalFormatting sqref="D15">
    <cfRule type="colorScale" priority="28">
      <colorScale>
        <cfvo type="min"/>
        <cfvo type="max"/>
        <color rgb="FFFCFCFF"/>
        <color rgb="FF63BE7B"/>
      </colorScale>
    </cfRule>
    <cfRule type="duplicateValues" dxfId="90" priority="29"/>
  </conditionalFormatting>
  <conditionalFormatting sqref="D15:D22 D24:D46">
    <cfRule type="colorScale" priority="34">
      <colorScale>
        <cfvo type="min"/>
        <cfvo type="max"/>
        <color rgb="FFFCFCFF"/>
        <color rgb="FF63BE7B"/>
      </colorScale>
    </cfRule>
    <cfRule type="duplicateValues" dxfId="89" priority="35"/>
  </conditionalFormatting>
  <conditionalFormatting sqref="D23">
    <cfRule type="colorScale" priority="32">
      <colorScale>
        <cfvo type="min"/>
        <cfvo type="max"/>
        <color rgb="FFFCFCFF"/>
        <color rgb="FF63BE7B"/>
      </colorScale>
    </cfRule>
    <cfRule type="duplicateValues" dxfId="88" priority="33"/>
  </conditionalFormatting>
  <conditionalFormatting sqref="D33">
    <cfRule type="colorScale" priority="18">
      <colorScale>
        <cfvo type="min"/>
        <cfvo type="max"/>
        <color rgb="FFFCFCFF"/>
        <color rgb="FF63BE7B"/>
      </colorScale>
    </cfRule>
    <cfRule type="duplicateValues" dxfId="87" priority="19"/>
  </conditionalFormatting>
  <conditionalFormatting sqref="D34">
    <cfRule type="colorScale" priority="14">
      <colorScale>
        <cfvo type="min"/>
        <cfvo type="max"/>
        <color rgb="FFFCFCFF"/>
        <color rgb="FF63BE7B"/>
      </colorScale>
    </cfRule>
    <cfRule type="duplicateValues" dxfId="86" priority="15"/>
    <cfRule type="colorScale" priority="36">
      <colorScale>
        <cfvo type="min"/>
        <cfvo type="max"/>
        <color rgb="FFFCFCFF"/>
        <color rgb="FF63BE7B"/>
      </colorScale>
    </cfRule>
    <cfRule type="duplicateValues" dxfId="85" priority="37"/>
  </conditionalFormatting>
  <conditionalFormatting sqref="D35">
    <cfRule type="colorScale" priority="24">
      <colorScale>
        <cfvo type="min"/>
        <cfvo type="max"/>
        <color rgb="FFFCFCFF"/>
        <color rgb="FF63BE7B"/>
      </colorScale>
    </cfRule>
    <cfRule type="duplicateValues" dxfId="84" priority="25"/>
  </conditionalFormatting>
  <conditionalFormatting sqref="D40">
    <cfRule type="colorScale" priority="16">
      <colorScale>
        <cfvo type="min"/>
        <cfvo type="max"/>
        <color rgb="FFFCFCFF"/>
        <color rgb="FF63BE7B"/>
      </colorScale>
    </cfRule>
    <cfRule type="duplicateValues" dxfId="83" priority="17"/>
  </conditionalFormatting>
  <conditionalFormatting sqref="D41">
    <cfRule type="colorScale" priority="4">
      <colorScale>
        <cfvo type="min"/>
        <cfvo type="max"/>
        <color rgb="FFFCFCFF"/>
        <color rgb="FF63BE7B"/>
      </colorScale>
    </cfRule>
    <cfRule type="duplicateValues" dxfId="82" priority="5"/>
    <cfRule type="colorScale" priority="12">
      <colorScale>
        <cfvo type="min"/>
        <cfvo type="max"/>
        <color rgb="FFFCFCFF"/>
        <color rgb="FF63BE7B"/>
      </colorScale>
    </cfRule>
    <cfRule type="duplicateValues" dxfId="81" priority="13"/>
    <cfRule type="colorScale" priority="30">
      <colorScale>
        <cfvo type="min"/>
        <cfvo type="max"/>
        <color rgb="FFFCFCFF"/>
        <color rgb="FF63BE7B"/>
      </colorScale>
    </cfRule>
    <cfRule type="duplicateValues" dxfId="80" priority="31"/>
  </conditionalFormatting>
  <conditionalFormatting sqref="D42">
    <cfRule type="colorScale" priority="2">
      <colorScale>
        <cfvo type="min"/>
        <cfvo type="max"/>
        <color rgb="FFFCFCFF"/>
        <color rgb="FF63BE7B"/>
      </colorScale>
    </cfRule>
    <cfRule type="duplicateValues" dxfId="79" priority="3"/>
    <cfRule type="colorScale" priority="10">
      <colorScale>
        <cfvo type="min"/>
        <cfvo type="max"/>
        <color rgb="FFFCFCFF"/>
        <color rgb="FF63BE7B"/>
      </colorScale>
    </cfRule>
    <cfRule type="duplicateValues" dxfId="78" priority="11"/>
    <cfRule type="colorScale" priority="22">
      <colorScale>
        <cfvo type="min"/>
        <cfvo type="max"/>
        <color rgb="FFFCFCFF"/>
        <color rgb="FF63BE7B"/>
      </colorScale>
    </cfRule>
    <cfRule type="duplicateValues" dxfId="77" priority="23"/>
  </conditionalFormatting>
  <conditionalFormatting sqref="D43">
    <cfRule type="colorScale" priority="8">
      <colorScale>
        <cfvo type="min"/>
        <cfvo type="max"/>
        <color rgb="FFFCFCFF"/>
        <color rgb="FF63BE7B"/>
      </colorScale>
    </cfRule>
    <cfRule type="duplicateValues" dxfId="76" priority="9"/>
  </conditionalFormatting>
  <conditionalFormatting sqref="D45">
    <cfRule type="colorScale" priority="20">
      <colorScale>
        <cfvo type="min"/>
        <cfvo type="max"/>
        <color rgb="FFFCFCFF"/>
        <color rgb="FF63BE7B"/>
      </colorScale>
    </cfRule>
    <cfRule type="duplicateValues" dxfId="75" priority="21"/>
  </conditionalFormatting>
  <conditionalFormatting sqref="D46">
    <cfRule type="colorScale" priority="6">
      <colorScale>
        <cfvo type="min"/>
        <cfvo type="max"/>
        <color rgb="FFFCFCFF"/>
        <color rgb="FF63BE7B"/>
      </colorScale>
    </cfRule>
    <cfRule type="duplicateValues" dxfId="74" priority="7"/>
    <cfRule type="colorScale" priority="60">
      <colorScale>
        <cfvo type="min"/>
        <cfvo type="max"/>
        <color rgb="FFFCFCFF"/>
        <color rgb="FF63BE7B"/>
      </colorScale>
    </cfRule>
    <cfRule type="duplicateValues" dxfId="73" priority="61"/>
  </conditionalFormatting>
  <conditionalFormatting sqref="AH11:AH45">
    <cfRule type="expression" dxfId="72" priority="1">
      <formula>AH11&lt;&gt;D11</formula>
    </cfRule>
  </conditionalFormatting>
  <pageMargins left="0.23622047244094491" right="0.15748031496062992" top="0.35433070866141736" bottom="0.74803149606299213" header="0.31496062992125984" footer="0.31496062992125984"/>
  <pageSetup paperSize="9" scale="82" orientation="portrait" horizontalDpi="4294967293" verticalDpi="0" r:id="rId1"/>
  <colBreaks count="1" manualBreakCount="1">
    <brk id="29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Z52"/>
  <sheetViews>
    <sheetView tabSelected="1" view="pageBreakPreview" zoomScaleNormal="100" zoomScaleSheetLayoutView="100" workbookViewId="0">
      <selection activeCell="N12" sqref="N12"/>
    </sheetView>
  </sheetViews>
  <sheetFormatPr defaultColWidth="3.28515625" defaultRowHeight="15" x14ac:dyDescent="0.25"/>
  <cols>
    <col min="1" max="1" width="4.5703125" bestFit="1" customWidth="1"/>
    <col min="2" max="2" width="6.140625" customWidth="1"/>
    <col min="3" max="3" width="11" bestFit="1" customWidth="1"/>
    <col min="4" max="4" width="27.140625" customWidth="1"/>
    <col min="5" max="5" width="3.7109375" bestFit="1" customWidth="1"/>
    <col min="6" max="29" width="2.7109375" customWidth="1"/>
    <col min="32" max="47" width="0" hidden="1" customWidth="1"/>
    <col min="48" max="48" width="17.85546875" bestFit="1" customWidth="1"/>
    <col min="49" max="49" width="39" bestFit="1" customWidth="1"/>
    <col min="52" max="52" width="33.28515625" bestFit="1" customWidth="1"/>
  </cols>
  <sheetData>
    <row r="1" spans="1:49" x14ac:dyDescent="0.25">
      <c r="AF1" s="15" t="s">
        <v>726</v>
      </c>
      <c r="AG1" t="s">
        <v>394</v>
      </c>
      <c r="AH1">
        <v>20527197</v>
      </c>
      <c r="AI1" t="s">
        <v>395</v>
      </c>
      <c r="AJ1" t="s">
        <v>8</v>
      </c>
      <c r="AK1">
        <v>10</v>
      </c>
    </row>
    <row r="2" spans="1:49" ht="21.75" customHeight="1" x14ac:dyDescent="0.25">
      <c r="AD2" s="1"/>
      <c r="AF2" s="15" t="s">
        <v>726</v>
      </c>
      <c r="AG2" t="s">
        <v>602</v>
      </c>
      <c r="AH2">
        <v>20527197</v>
      </c>
      <c r="AI2" t="s">
        <v>603</v>
      </c>
      <c r="AJ2" t="s">
        <v>8</v>
      </c>
      <c r="AK2">
        <v>10</v>
      </c>
    </row>
    <row r="3" spans="1:49" ht="20.25" customHeight="1" x14ac:dyDescent="0.25">
      <c r="AF3" s="14" t="s">
        <v>141</v>
      </c>
      <c r="AG3" t="s">
        <v>117</v>
      </c>
      <c r="AH3">
        <v>20537422</v>
      </c>
      <c r="AI3" t="s">
        <v>118</v>
      </c>
      <c r="AJ3" t="s">
        <v>8</v>
      </c>
      <c r="AK3">
        <v>10</v>
      </c>
    </row>
    <row r="4" spans="1:49" ht="21" customHeight="1" x14ac:dyDescent="0.35">
      <c r="A4" s="55" t="s">
        <v>1209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F4" s="15" t="s">
        <v>726</v>
      </c>
      <c r="AG4" t="s">
        <v>649</v>
      </c>
      <c r="AH4">
        <v>20527180</v>
      </c>
      <c r="AI4" t="s">
        <v>650</v>
      </c>
      <c r="AJ4" t="s">
        <v>8</v>
      </c>
      <c r="AK4">
        <v>10</v>
      </c>
    </row>
    <row r="5" spans="1:49" x14ac:dyDescent="0.25">
      <c r="A5" s="1"/>
      <c r="B5" s="1"/>
      <c r="C5" s="2"/>
      <c r="P5" s="11"/>
      <c r="AF5" s="18" t="s">
        <v>371</v>
      </c>
      <c r="AG5" t="s">
        <v>230</v>
      </c>
      <c r="AH5">
        <v>20527197</v>
      </c>
      <c r="AI5" t="s">
        <v>231</v>
      </c>
      <c r="AJ5" t="s">
        <v>8</v>
      </c>
      <c r="AK5">
        <v>10</v>
      </c>
    </row>
    <row r="6" spans="1:49" ht="3.75" customHeight="1" x14ac:dyDescent="0.25">
      <c r="A6" s="1"/>
      <c r="B6" s="1"/>
      <c r="C6" s="2"/>
      <c r="AF6" s="18" t="s">
        <v>371</v>
      </c>
      <c r="AG6" t="s">
        <v>198</v>
      </c>
      <c r="AH6">
        <v>20583367</v>
      </c>
      <c r="AI6" t="s">
        <v>199</v>
      </c>
      <c r="AJ6" t="s">
        <v>7</v>
      </c>
      <c r="AK6">
        <v>10</v>
      </c>
    </row>
    <row r="7" spans="1:49" ht="15" customHeight="1" x14ac:dyDescent="0.25">
      <c r="A7" s="83" t="s">
        <v>0</v>
      </c>
      <c r="B7" s="57" t="s">
        <v>803</v>
      </c>
      <c r="C7" s="57" t="s">
        <v>1</v>
      </c>
      <c r="D7" s="83" t="s">
        <v>2</v>
      </c>
      <c r="E7" s="89" t="s">
        <v>3</v>
      </c>
      <c r="F7" s="26" t="s">
        <v>4</v>
      </c>
      <c r="G7" s="27"/>
      <c r="H7" s="28"/>
      <c r="I7" s="70" t="s">
        <v>821</v>
      </c>
      <c r="J7" s="71"/>
      <c r="K7" s="71"/>
      <c r="L7" s="71"/>
      <c r="M7" s="71"/>
      <c r="N7" s="71"/>
      <c r="O7" s="71"/>
      <c r="P7" s="71"/>
      <c r="Q7" s="71"/>
      <c r="R7" s="71"/>
      <c r="S7" s="72"/>
      <c r="T7" s="29" t="s">
        <v>5</v>
      </c>
      <c r="U7" s="31"/>
      <c r="V7" s="86" t="s">
        <v>822</v>
      </c>
      <c r="W7" s="87"/>
      <c r="X7" s="87"/>
      <c r="Y7" s="87"/>
      <c r="Z7" s="87"/>
      <c r="AA7" s="87"/>
      <c r="AB7" s="87"/>
      <c r="AC7" s="88"/>
      <c r="AF7" s="15" t="s">
        <v>726</v>
      </c>
      <c r="AG7" t="s">
        <v>681</v>
      </c>
      <c r="AH7">
        <v>20527180</v>
      </c>
      <c r="AI7" t="s">
        <v>682</v>
      </c>
      <c r="AJ7" t="s">
        <v>7</v>
      </c>
      <c r="AK7">
        <v>10</v>
      </c>
    </row>
    <row r="8" spans="1:49" ht="15" customHeight="1" x14ac:dyDescent="0.25">
      <c r="A8" s="92"/>
      <c r="B8" s="57"/>
      <c r="C8" s="57"/>
      <c r="D8" s="84"/>
      <c r="E8" s="90"/>
      <c r="F8" s="62" t="s">
        <v>1214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4"/>
      <c r="AF8" s="15" t="s">
        <v>726</v>
      </c>
      <c r="AG8" t="s">
        <v>523</v>
      </c>
      <c r="AH8">
        <v>20583363</v>
      </c>
      <c r="AI8" t="s">
        <v>524</v>
      </c>
      <c r="AJ8" t="s">
        <v>7</v>
      </c>
      <c r="AK8">
        <v>10</v>
      </c>
    </row>
    <row r="9" spans="1:49" ht="15" customHeight="1" x14ac:dyDescent="0.25">
      <c r="A9" s="93"/>
      <c r="B9" s="57"/>
      <c r="C9" s="57"/>
      <c r="D9" s="85"/>
      <c r="E9" s="91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F9" s="14" t="s">
        <v>141</v>
      </c>
      <c r="AG9" t="s">
        <v>109</v>
      </c>
      <c r="AH9">
        <v>20527197</v>
      </c>
      <c r="AI9" t="s">
        <v>110</v>
      </c>
      <c r="AJ9" t="s">
        <v>7</v>
      </c>
      <c r="AK9">
        <v>10</v>
      </c>
    </row>
    <row r="10" spans="1:49" ht="20.100000000000001" customHeight="1" x14ac:dyDescent="0.25">
      <c r="A10" s="4">
        <v>1</v>
      </c>
      <c r="B10" s="4">
        <v>14589</v>
      </c>
      <c r="C10" s="5" t="s">
        <v>702</v>
      </c>
      <c r="D10" s="5" t="s">
        <v>703</v>
      </c>
      <c r="E10" s="24" t="s">
        <v>8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F10" s="49"/>
      <c r="AV10" s="48" t="s">
        <v>1171</v>
      </c>
      <c r="AW10" s="49" t="s">
        <v>1172</v>
      </c>
    </row>
    <row r="11" spans="1:49" ht="20.100000000000001" customHeight="1" x14ac:dyDescent="0.25">
      <c r="A11" s="4">
        <v>2</v>
      </c>
      <c r="B11" s="4">
        <v>14591</v>
      </c>
      <c r="C11" s="9" t="s">
        <v>547</v>
      </c>
      <c r="D11" s="5" t="s">
        <v>548</v>
      </c>
      <c r="E11" s="24" t="s">
        <v>8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F11" s="49"/>
      <c r="AV11" s="48" t="s">
        <v>1173</v>
      </c>
      <c r="AW11" s="49" t="s">
        <v>548</v>
      </c>
    </row>
    <row r="12" spans="1:49" ht="20.100000000000001" customHeight="1" x14ac:dyDescent="0.25">
      <c r="A12" s="4">
        <v>3</v>
      </c>
      <c r="B12" s="4">
        <v>14606</v>
      </c>
      <c r="C12" s="9" t="s">
        <v>769</v>
      </c>
      <c r="D12" s="5" t="s">
        <v>640</v>
      </c>
      <c r="E12" s="24" t="s">
        <v>8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F12" s="49"/>
      <c r="AV12" s="48" t="s">
        <v>1174</v>
      </c>
      <c r="AW12" s="49" t="s">
        <v>640</v>
      </c>
    </row>
    <row r="13" spans="1:49" ht="20.100000000000001" customHeight="1" x14ac:dyDescent="0.25">
      <c r="A13" s="4">
        <v>4</v>
      </c>
      <c r="B13" s="4">
        <v>14612</v>
      </c>
      <c r="C13" s="5" t="s">
        <v>624</v>
      </c>
      <c r="D13" s="5" t="s">
        <v>625</v>
      </c>
      <c r="E13" s="24" t="s">
        <v>7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F13" s="49"/>
      <c r="AV13" s="48" t="s">
        <v>1175</v>
      </c>
      <c r="AW13" s="49" t="s">
        <v>625</v>
      </c>
    </row>
    <row r="14" spans="1:49" ht="20.100000000000001" customHeight="1" x14ac:dyDescent="0.25">
      <c r="A14" s="4">
        <v>5</v>
      </c>
      <c r="B14" s="4">
        <v>14627</v>
      </c>
      <c r="C14" s="5" t="s">
        <v>636</v>
      </c>
      <c r="D14" s="5" t="s">
        <v>637</v>
      </c>
      <c r="E14" s="24" t="s">
        <v>7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F14" s="49"/>
      <c r="AV14" s="48" t="s">
        <v>1176</v>
      </c>
      <c r="AW14" s="49" t="s">
        <v>637</v>
      </c>
    </row>
    <row r="15" spans="1:49" ht="20.100000000000001" customHeight="1" x14ac:dyDescent="0.25">
      <c r="A15" s="4">
        <v>6</v>
      </c>
      <c r="B15" s="4">
        <v>14650</v>
      </c>
      <c r="C15" s="9" t="s">
        <v>276</v>
      </c>
      <c r="D15" s="5" t="s">
        <v>277</v>
      </c>
      <c r="E15" s="24" t="s">
        <v>8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F15" s="49"/>
      <c r="AV15" s="48" t="s">
        <v>1177</v>
      </c>
      <c r="AW15" s="49" t="s">
        <v>711</v>
      </c>
    </row>
    <row r="16" spans="1:49" ht="20.100000000000001" customHeight="1" x14ac:dyDescent="0.25">
      <c r="A16" s="4">
        <v>7</v>
      </c>
      <c r="B16" s="4">
        <v>14652</v>
      </c>
      <c r="C16" s="5" t="s">
        <v>253</v>
      </c>
      <c r="D16" s="5" t="s">
        <v>254</v>
      </c>
      <c r="E16" s="24" t="s">
        <v>7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F16" s="49"/>
      <c r="AV16" s="48" t="s">
        <v>1178</v>
      </c>
      <c r="AW16" s="49" t="s">
        <v>254</v>
      </c>
    </row>
    <row r="17" spans="1:52" ht="20.100000000000001" customHeight="1" x14ac:dyDescent="0.25">
      <c r="A17" s="4">
        <v>8</v>
      </c>
      <c r="B17" s="4">
        <v>14653</v>
      </c>
      <c r="C17" s="5" t="s">
        <v>513</v>
      </c>
      <c r="D17" s="5" t="s">
        <v>514</v>
      </c>
      <c r="E17" s="24" t="s">
        <v>7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F17" s="49"/>
      <c r="AV17" s="48" t="s">
        <v>1179</v>
      </c>
      <c r="AW17" s="49" t="s">
        <v>514</v>
      </c>
    </row>
    <row r="18" spans="1:52" ht="20.100000000000001" customHeight="1" x14ac:dyDescent="0.25">
      <c r="A18" s="4">
        <v>9</v>
      </c>
      <c r="B18" s="4">
        <v>14661</v>
      </c>
      <c r="C18" s="5" t="s">
        <v>697</v>
      </c>
      <c r="D18" s="5" t="s">
        <v>728</v>
      </c>
      <c r="E18" s="24" t="s">
        <v>8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F18" s="49"/>
      <c r="AV18" s="48" t="s">
        <v>1180</v>
      </c>
      <c r="AW18" s="49" t="s">
        <v>698</v>
      </c>
    </row>
    <row r="19" spans="1:52" ht="20.100000000000001" customHeight="1" x14ac:dyDescent="0.25">
      <c r="A19" s="44">
        <v>10</v>
      </c>
      <c r="B19" s="44">
        <v>15301</v>
      </c>
      <c r="C19" s="9" t="s">
        <v>828</v>
      </c>
      <c r="D19" s="5" t="s">
        <v>829</v>
      </c>
      <c r="E19" s="24" t="s">
        <v>7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F19" s="49"/>
      <c r="AV19" s="48" t="s">
        <v>1181</v>
      </c>
      <c r="AW19" s="49" t="s">
        <v>1182</v>
      </c>
    </row>
    <row r="20" spans="1:52" ht="20.100000000000001" customHeight="1" x14ac:dyDescent="0.25">
      <c r="A20" s="4">
        <v>11</v>
      </c>
      <c r="B20" s="4">
        <v>14692</v>
      </c>
      <c r="C20" s="5" t="s">
        <v>718</v>
      </c>
      <c r="D20" s="5" t="s">
        <v>719</v>
      </c>
      <c r="E20" s="24" t="s">
        <v>8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F20" s="49"/>
      <c r="AV20" s="48" t="s">
        <v>1183</v>
      </c>
      <c r="AW20" s="49" t="s">
        <v>719</v>
      </c>
    </row>
    <row r="21" spans="1:52" ht="20.100000000000001" customHeight="1" x14ac:dyDescent="0.25">
      <c r="A21" s="4">
        <v>12</v>
      </c>
      <c r="B21" s="4">
        <v>14693</v>
      </c>
      <c r="C21" s="5" t="s">
        <v>184</v>
      </c>
      <c r="D21" s="23" t="s">
        <v>185</v>
      </c>
      <c r="E21" s="24" t="s">
        <v>8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F21" s="49"/>
      <c r="AV21" s="48" t="s">
        <v>1184</v>
      </c>
      <c r="AW21" s="49" t="s">
        <v>185</v>
      </c>
    </row>
    <row r="22" spans="1:52" ht="20.100000000000001" customHeight="1" x14ac:dyDescent="0.25">
      <c r="A22" s="4">
        <v>13</v>
      </c>
      <c r="B22" s="4">
        <v>14704</v>
      </c>
      <c r="C22" s="5" t="s">
        <v>716</v>
      </c>
      <c r="D22" s="5" t="s">
        <v>717</v>
      </c>
      <c r="E22" s="24" t="s">
        <v>8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F22" s="49"/>
      <c r="AV22" s="48" t="s">
        <v>1185</v>
      </c>
      <c r="AW22" s="49" t="s">
        <v>717</v>
      </c>
    </row>
    <row r="23" spans="1:52" ht="20.100000000000001" customHeight="1" x14ac:dyDescent="0.25">
      <c r="A23" s="4">
        <v>14</v>
      </c>
      <c r="B23" s="4">
        <v>14709</v>
      </c>
      <c r="C23" s="5" t="s">
        <v>722</v>
      </c>
      <c r="D23" s="5" t="s">
        <v>723</v>
      </c>
      <c r="E23" s="24" t="s">
        <v>8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F23" s="49"/>
      <c r="AV23" s="48" t="s">
        <v>1186</v>
      </c>
      <c r="AW23" s="49" t="s">
        <v>723</v>
      </c>
    </row>
    <row r="24" spans="1:52" ht="20.100000000000001" customHeight="1" x14ac:dyDescent="0.25">
      <c r="A24" s="4">
        <v>15</v>
      </c>
      <c r="B24" s="4">
        <v>14735</v>
      </c>
      <c r="C24" s="9" t="s">
        <v>708</v>
      </c>
      <c r="D24" s="5" t="s">
        <v>709</v>
      </c>
      <c r="E24" s="24" t="s">
        <v>7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F24" s="49"/>
      <c r="AV24" s="48" t="s">
        <v>1187</v>
      </c>
      <c r="AW24" s="49" t="s">
        <v>565</v>
      </c>
    </row>
    <row r="25" spans="1:52" ht="20.100000000000001" customHeight="1" x14ac:dyDescent="0.25">
      <c r="A25" s="4">
        <v>16</v>
      </c>
      <c r="B25" s="4">
        <v>14753</v>
      </c>
      <c r="C25" s="5" t="s">
        <v>107</v>
      </c>
      <c r="D25" s="5" t="s">
        <v>108</v>
      </c>
      <c r="E25" s="24" t="s">
        <v>7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F25" s="49"/>
      <c r="AV25" s="48" t="s">
        <v>1188</v>
      </c>
      <c r="AW25" s="49" t="s">
        <v>108</v>
      </c>
    </row>
    <row r="26" spans="1:52" ht="20.100000000000001" customHeight="1" x14ac:dyDescent="0.25">
      <c r="A26" s="4">
        <v>17</v>
      </c>
      <c r="B26" s="4">
        <v>14754</v>
      </c>
      <c r="C26" s="5" t="s">
        <v>406</v>
      </c>
      <c r="D26" s="5" t="s">
        <v>407</v>
      </c>
      <c r="E26" s="24" t="s">
        <v>7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F26" s="49"/>
      <c r="AV26" s="48" t="s">
        <v>1189</v>
      </c>
      <c r="AW26" s="49" t="s">
        <v>407</v>
      </c>
    </row>
    <row r="27" spans="1:52" ht="20.100000000000001" customHeight="1" x14ac:dyDescent="0.25">
      <c r="A27" s="4">
        <v>18</v>
      </c>
      <c r="B27" s="4">
        <v>14755</v>
      </c>
      <c r="C27" s="5" t="s">
        <v>319</v>
      </c>
      <c r="D27" s="5" t="s">
        <v>320</v>
      </c>
      <c r="E27" s="24" t="s">
        <v>7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F27" s="49"/>
      <c r="AV27" s="48" t="s">
        <v>1190</v>
      </c>
      <c r="AW27" s="49" t="s">
        <v>320</v>
      </c>
    </row>
    <row r="28" spans="1:52" ht="20.100000000000001" customHeight="1" x14ac:dyDescent="0.25">
      <c r="A28" s="4">
        <v>19</v>
      </c>
      <c r="B28" s="4">
        <v>14769</v>
      </c>
      <c r="C28" s="5" t="s">
        <v>539</v>
      </c>
      <c r="D28" s="5" t="s">
        <v>540</v>
      </c>
      <c r="E28" s="24" t="s">
        <v>7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F28" s="49"/>
      <c r="AV28" s="48" t="s">
        <v>1191</v>
      </c>
      <c r="AW28" s="49" t="s">
        <v>540</v>
      </c>
    </row>
    <row r="29" spans="1:52" ht="20.100000000000001" customHeight="1" x14ac:dyDescent="0.25">
      <c r="A29" s="4">
        <v>20</v>
      </c>
      <c r="B29" s="4">
        <v>14782</v>
      </c>
      <c r="C29" s="5" t="s">
        <v>378</v>
      </c>
      <c r="D29" s="5" t="s">
        <v>379</v>
      </c>
      <c r="E29" s="24" t="s">
        <v>8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F29" s="49"/>
      <c r="AV29" s="48" t="s">
        <v>1192</v>
      </c>
      <c r="AW29" s="49" t="s">
        <v>1193</v>
      </c>
    </row>
    <row r="30" spans="1:52" ht="20.100000000000001" customHeight="1" x14ac:dyDescent="0.25">
      <c r="A30" s="4">
        <v>21</v>
      </c>
      <c r="B30" s="4">
        <v>14795</v>
      </c>
      <c r="C30" s="5" t="s">
        <v>382</v>
      </c>
      <c r="D30" s="5" t="s">
        <v>383</v>
      </c>
      <c r="E30" s="24" t="s">
        <v>8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F30" s="49"/>
      <c r="AV30" s="48" t="s">
        <v>1194</v>
      </c>
      <c r="AW30" s="49" t="s">
        <v>383</v>
      </c>
    </row>
    <row r="31" spans="1:52" ht="20.100000000000001" customHeight="1" x14ac:dyDescent="0.25">
      <c r="A31" s="4">
        <v>22</v>
      </c>
      <c r="B31" s="4">
        <v>14811</v>
      </c>
      <c r="C31" s="9" t="s">
        <v>460</v>
      </c>
      <c r="D31" s="23" t="s">
        <v>830</v>
      </c>
      <c r="E31" s="24" t="s">
        <v>8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F31" s="49"/>
      <c r="AV31" s="48" t="s">
        <v>1195</v>
      </c>
      <c r="AW31" s="49" t="s">
        <v>381</v>
      </c>
      <c r="AZ31" s="23" t="s">
        <v>1208</v>
      </c>
    </row>
    <row r="32" spans="1:52" ht="20.100000000000001" customHeight="1" x14ac:dyDescent="0.25">
      <c r="A32" s="4">
        <v>23</v>
      </c>
      <c r="B32" s="4">
        <v>14813</v>
      </c>
      <c r="C32" s="5" t="s">
        <v>380</v>
      </c>
      <c r="D32" s="46" t="s">
        <v>381</v>
      </c>
      <c r="E32" s="24" t="s">
        <v>8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F32" s="49"/>
      <c r="AV32" s="48" t="s">
        <v>1196</v>
      </c>
      <c r="AW32" s="49" t="s">
        <v>49</v>
      </c>
    </row>
    <row r="33" spans="1:49" ht="20.100000000000001" customHeight="1" x14ac:dyDescent="0.25">
      <c r="A33" s="4">
        <v>24</v>
      </c>
      <c r="B33" s="4">
        <v>14833</v>
      </c>
      <c r="C33" s="5" t="s">
        <v>48</v>
      </c>
      <c r="D33" s="5" t="s">
        <v>49</v>
      </c>
      <c r="E33" s="24" t="s">
        <v>8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F33" s="49"/>
      <c r="AV33" s="48" t="s">
        <v>1197</v>
      </c>
      <c r="AW33" s="49" t="s">
        <v>154</v>
      </c>
    </row>
    <row r="34" spans="1:49" ht="20.100000000000001" customHeight="1" x14ac:dyDescent="0.25">
      <c r="A34" s="4">
        <v>25</v>
      </c>
      <c r="B34" s="4">
        <v>14850</v>
      </c>
      <c r="C34" s="5" t="s">
        <v>74</v>
      </c>
      <c r="D34" s="5" t="s">
        <v>75</v>
      </c>
      <c r="E34" s="24" t="s">
        <v>7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F34" s="49"/>
      <c r="AV34" s="48" t="s">
        <v>1198</v>
      </c>
      <c r="AW34" s="49" t="s">
        <v>700</v>
      </c>
    </row>
    <row r="35" spans="1:49" ht="20.100000000000001" customHeight="1" x14ac:dyDescent="0.25">
      <c r="A35" s="4">
        <v>26</v>
      </c>
      <c r="B35" s="4">
        <v>14852</v>
      </c>
      <c r="C35" s="5" t="s">
        <v>699</v>
      </c>
      <c r="D35" s="5" t="s">
        <v>700</v>
      </c>
      <c r="E35" s="24" t="s">
        <v>8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F35" s="49"/>
      <c r="AV35" s="48" t="s">
        <v>1199</v>
      </c>
      <c r="AW35" s="49" t="s">
        <v>373</v>
      </c>
    </row>
    <row r="36" spans="1:49" ht="20.100000000000001" customHeight="1" x14ac:dyDescent="0.25">
      <c r="A36" s="4">
        <v>27</v>
      </c>
      <c r="B36" s="4">
        <v>14863</v>
      </c>
      <c r="C36" s="5" t="s">
        <v>372</v>
      </c>
      <c r="D36" s="5" t="s">
        <v>373</v>
      </c>
      <c r="E36" s="24" t="s">
        <v>8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F36" s="49"/>
      <c r="AV36" s="48" t="s">
        <v>1200</v>
      </c>
      <c r="AW36" s="49" t="s">
        <v>391</v>
      </c>
    </row>
    <row r="37" spans="1:49" ht="18.75" customHeight="1" x14ac:dyDescent="0.25">
      <c r="A37" s="4">
        <v>28</v>
      </c>
      <c r="B37" s="4">
        <v>14879</v>
      </c>
      <c r="C37" s="5" t="s">
        <v>390</v>
      </c>
      <c r="D37" s="5" t="s">
        <v>391</v>
      </c>
      <c r="E37" s="24" t="s">
        <v>7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F37" s="49"/>
      <c r="AV37" s="48" t="s">
        <v>1201</v>
      </c>
      <c r="AW37" s="49" t="s">
        <v>591</v>
      </c>
    </row>
    <row r="38" spans="1:49" ht="20.100000000000001" customHeight="1" x14ac:dyDescent="0.25">
      <c r="A38" s="4">
        <v>29</v>
      </c>
      <c r="B38" s="4">
        <v>14887</v>
      </c>
      <c r="C38" s="5" t="s">
        <v>590</v>
      </c>
      <c r="D38" s="5" t="s">
        <v>591</v>
      </c>
      <c r="E38" s="24" t="s">
        <v>8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F38" s="49"/>
      <c r="AV38" s="48" t="s">
        <v>1202</v>
      </c>
      <c r="AW38" s="49" t="s">
        <v>122</v>
      </c>
    </row>
    <row r="39" spans="1:49" ht="20.100000000000001" customHeight="1" x14ac:dyDescent="0.25">
      <c r="A39" s="4">
        <v>30</v>
      </c>
      <c r="B39" s="4">
        <v>14889</v>
      </c>
      <c r="C39" s="5" t="s">
        <v>121</v>
      </c>
      <c r="D39" s="5" t="s">
        <v>122</v>
      </c>
      <c r="E39" s="24" t="s">
        <v>7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F39" s="49"/>
      <c r="AV39" s="48" t="s">
        <v>1203</v>
      </c>
      <c r="AW39" s="49" t="s">
        <v>490</v>
      </c>
    </row>
    <row r="40" spans="1:49" ht="20.100000000000001" customHeight="1" x14ac:dyDescent="0.25">
      <c r="A40" s="4">
        <v>31</v>
      </c>
      <c r="B40" s="4">
        <v>14893</v>
      </c>
      <c r="C40" s="5" t="s">
        <v>489</v>
      </c>
      <c r="D40" s="5" t="s">
        <v>490</v>
      </c>
      <c r="E40" s="24" t="s">
        <v>8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F40" s="49"/>
      <c r="AV40" s="48" t="s">
        <v>1204</v>
      </c>
      <c r="AW40" s="49" t="s">
        <v>160</v>
      </c>
    </row>
    <row r="41" spans="1:49" ht="20.100000000000001" customHeight="1" x14ac:dyDescent="0.25">
      <c r="A41" s="4">
        <v>32</v>
      </c>
      <c r="B41" s="4">
        <v>14919</v>
      </c>
      <c r="C41" s="5" t="s">
        <v>159</v>
      </c>
      <c r="D41" s="5" t="s">
        <v>160</v>
      </c>
      <c r="E41" s="24" t="s">
        <v>7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F41" s="49"/>
      <c r="AV41" s="48" t="s">
        <v>1205</v>
      </c>
      <c r="AW41" s="49" t="s">
        <v>595</v>
      </c>
    </row>
    <row r="42" spans="1:49" ht="20.100000000000001" customHeight="1" x14ac:dyDescent="0.25">
      <c r="A42" s="4">
        <v>33</v>
      </c>
      <c r="B42" s="4">
        <v>14931</v>
      </c>
      <c r="C42" s="5" t="s">
        <v>594</v>
      </c>
      <c r="D42" s="5" t="s">
        <v>595</v>
      </c>
      <c r="E42" s="24" t="s">
        <v>8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F42" s="49"/>
      <c r="AV42" s="48" t="s">
        <v>1206</v>
      </c>
      <c r="AW42" s="49" t="s">
        <v>196</v>
      </c>
    </row>
    <row r="43" spans="1:49" ht="20.100000000000001" customHeight="1" x14ac:dyDescent="0.25">
      <c r="A43" s="4">
        <v>34</v>
      </c>
      <c r="B43" s="4">
        <v>14932</v>
      </c>
      <c r="C43" s="5" t="s">
        <v>195</v>
      </c>
      <c r="D43" s="5" t="s">
        <v>196</v>
      </c>
      <c r="E43" s="24" t="s">
        <v>7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F43" s="49"/>
      <c r="AV43" s="48" t="s">
        <v>1207</v>
      </c>
      <c r="AW43" s="49" t="s">
        <v>39</v>
      </c>
    </row>
    <row r="44" spans="1:49" ht="20.100000000000001" customHeight="1" x14ac:dyDescent="0.25">
      <c r="A44" s="4">
        <v>35</v>
      </c>
      <c r="B44" s="4">
        <v>14946</v>
      </c>
      <c r="C44" s="5" t="s">
        <v>38</v>
      </c>
      <c r="D44" s="5" t="s">
        <v>39</v>
      </c>
      <c r="E44" s="24" t="s">
        <v>7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F44" s="49"/>
    </row>
    <row r="45" spans="1:49" ht="20.100000000000001" customHeight="1" x14ac:dyDescent="0.25">
      <c r="A45" s="29" t="s">
        <v>10</v>
      </c>
      <c r="B45" s="30"/>
      <c r="C45" s="31"/>
      <c r="D45" s="10" t="s">
        <v>11</v>
      </c>
      <c r="E45" s="8">
        <f>COUNTIFS($E$10:$E$44,"L")</f>
        <v>19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N45" t="str">
        <f>UPPER(D44)</f>
        <v>ZAHWA AQILLA GUFRON</v>
      </c>
    </row>
    <row r="46" spans="1:49" ht="20.100000000000001" customHeight="1" x14ac:dyDescent="0.25">
      <c r="A46" s="29" t="s">
        <v>12</v>
      </c>
      <c r="B46" s="30"/>
      <c r="C46" s="31"/>
      <c r="D46" s="10" t="s">
        <v>13</v>
      </c>
      <c r="E46" s="8">
        <f>COUNTIFS($E$10:$E$44,"P")</f>
        <v>16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N46" t="e">
        <f>UPPER(#REF!)</f>
        <v>#REF!</v>
      </c>
    </row>
    <row r="47" spans="1:49" x14ac:dyDescent="0.25">
      <c r="A47" s="1"/>
      <c r="B47" s="1"/>
      <c r="C47" s="2"/>
      <c r="E47">
        <f>E45+E46</f>
        <v>35</v>
      </c>
      <c r="AN47" t="e">
        <f>UPPER(#REF!)</f>
        <v>#REF!</v>
      </c>
    </row>
    <row r="48" spans="1:49" ht="15" customHeight="1" x14ac:dyDescent="0.25"/>
    <row r="49" spans="30:30" ht="15" customHeight="1" x14ac:dyDescent="0.25"/>
    <row r="52" spans="30:30" x14ac:dyDescent="0.25">
      <c r="AD52" s="25"/>
    </row>
  </sheetData>
  <sortState xmlns:xlrd2="http://schemas.microsoft.com/office/spreadsheetml/2017/richdata2" ref="B10:E44">
    <sortCondition ref="D10:D44"/>
  </sortState>
  <mergeCells count="9">
    <mergeCell ref="A4:AC4"/>
    <mergeCell ref="B7:B9"/>
    <mergeCell ref="C7:C9"/>
    <mergeCell ref="D7:D9"/>
    <mergeCell ref="I7:S7"/>
    <mergeCell ref="V7:AC7"/>
    <mergeCell ref="E7:E9"/>
    <mergeCell ref="A7:A9"/>
    <mergeCell ref="F8:AC8"/>
  </mergeCells>
  <conditionalFormatting sqref="D10:D11">
    <cfRule type="colorScale" priority="154">
      <colorScale>
        <cfvo type="min"/>
        <cfvo type="max"/>
        <color rgb="FFFCFCFF"/>
        <color rgb="FF63BE7B"/>
      </colorScale>
    </cfRule>
    <cfRule type="duplicateValues" dxfId="71" priority="155"/>
  </conditionalFormatting>
  <conditionalFormatting sqref="D12:D14">
    <cfRule type="colorScale" priority="152">
      <colorScale>
        <cfvo type="min"/>
        <cfvo type="max"/>
        <color rgb="FFFCFCFF"/>
        <color rgb="FF63BE7B"/>
      </colorScale>
    </cfRule>
    <cfRule type="duplicateValues" dxfId="70" priority="153"/>
  </conditionalFormatting>
  <conditionalFormatting sqref="D18">
    <cfRule type="colorScale" priority="140">
      <colorScale>
        <cfvo type="min"/>
        <cfvo type="max"/>
        <color rgb="FFFCFCFF"/>
        <color rgb="FF63BE7B"/>
      </colorScale>
    </cfRule>
    <cfRule type="duplicateValues" dxfId="69" priority="141"/>
  </conditionalFormatting>
  <conditionalFormatting sqref="D19">
    <cfRule type="colorScale" priority="108">
      <colorScale>
        <cfvo type="min"/>
        <cfvo type="max"/>
        <color rgb="FFFCFCFF"/>
        <color rgb="FF63BE7B"/>
      </colorScale>
    </cfRule>
    <cfRule type="duplicateValues" dxfId="68" priority="109"/>
    <cfRule type="colorScale" priority="128">
      <colorScale>
        <cfvo type="min"/>
        <cfvo type="max"/>
        <color rgb="FFFCFCFF"/>
        <color rgb="FF63BE7B"/>
      </colorScale>
    </cfRule>
    <cfRule type="duplicateValues" dxfId="67" priority="129"/>
    <cfRule type="colorScale" priority="148">
      <colorScale>
        <cfvo type="min"/>
        <cfvo type="max"/>
        <color rgb="FFFCFCFF"/>
        <color rgb="FF63BE7B"/>
      </colorScale>
    </cfRule>
    <cfRule type="duplicateValues" dxfId="66" priority="149"/>
  </conditionalFormatting>
  <conditionalFormatting sqref="D20">
    <cfRule type="colorScale" priority="68">
      <colorScale>
        <cfvo type="min"/>
        <cfvo type="max"/>
        <color rgb="FFFCFCFF"/>
        <color rgb="FF63BE7B"/>
      </colorScale>
    </cfRule>
    <cfRule type="duplicateValues" dxfId="65" priority="69"/>
    <cfRule type="colorScale" priority="82">
      <colorScale>
        <cfvo type="min"/>
        <cfvo type="max"/>
        <color rgb="FFFCFCFF"/>
        <color rgb="FF63BE7B"/>
      </colorScale>
    </cfRule>
    <cfRule type="duplicateValues" dxfId="64" priority="83"/>
    <cfRule type="colorScale" priority="98">
      <colorScale>
        <cfvo type="min"/>
        <cfvo type="max"/>
        <color rgb="FFFCFCFF"/>
        <color rgb="FF63BE7B"/>
      </colorScale>
    </cfRule>
    <cfRule type="duplicateValues" dxfId="63" priority="99"/>
    <cfRule type="colorScale" priority="134">
      <colorScale>
        <cfvo type="min"/>
        <cfvo type="max"/>
        <color rgb="FFFCFCFF"/>
        <color rgb="FF63BE7B"/>
      </colorScale>
    </cfRule>
    <cfRule type="duplicateValues" dxfId="62" priority="135"/>
  </conditionalFormatting>
  <conditionalFormatting sqref="D21">
    <cfRule type="colorScale" priority="88">
      <colorScale>
        <cfvo type="min"/>
        <cfvo type="max"/>
        <color rgb="FFFCFCFF"/>
        <color rgb="FF63BE7B"/>
      </colorScale>
    </cfRule>
    <cfRule type="duplicateValues" dxfId="61" priority="89"/>
  </conditionalFormatting>
  <conditionalFormatting sqref="D31">
    <cfRule type="colorScale" priority="114">
      <colorScale>
        <cfvo type="min"/>
        <cfvo type="max"/>
        <color rgb="FFFCFCFF"/>
        <color rgb="FF63BE7B"/>
      </colorScale>
    </cfRule>
    <cfRule type="duplicateValues" dxfId="60" priority="115"/>
  </conditionalFormatting>
  <conditionalFormatting sqref="D32">
    <cfRule type="colorScale" priority="42">
      <colorScale>
        <cfvo type="min"/>
        <cfvo type="max"/>
        <color rgb="FFFCFCFF"/>
        <color rgb="FF63BE7B"/>
      </colorScale>
    </cfRule>
    <cfRule type="duplicateValues" dxfId="59" priority="43"/>
    <cfRule type="colorScale" priority="74">
      <colorScale>
        <cfvo type="min"/>
        <cfvo type="max"/>
        <color rgb="FFFCFCFF"/>
        <color rgb="FF63BE7B"/>
      </colorScale>
    </cfRule>
    <cfRule type="duplicateValues" dxfId="58" priority="75"/>
    <cfRule type="colorScale" priority="104">
      <colorScale>
        <cfvo type="min"/>
        <cfvo type="max"/>
        <color rgb="FFFCFCFF"/>
        <color rgb="FF63BE7B"/>
      </colorScale>
    </cfRule>
    <cfRule type="duplicateValues" dxfId="57" priority="105"/>
    <cfRule type="colorScale" priority="118">
      <colorScale>
        <cfvo type="min"/>
        <cfvo type="max"/>
        <color rgb="FFFCFCFF"/>
        <color rgb="FF63BE7B"/>
      </colorScale>
    </cfRule>
    <cfRule type="duplicateValues" dxfId="56" priority="119"/>
    <cfRule type="colorScale" priority="142">
      <colorScale>
        <cfvo type="min"/>
        <cfvo type="max"/>
        <color rgb="FFFCFCFF"/>
        <color rgb="FF63BE7B"/>
      </colorScale>
    </cfRule>
    <cfRule type="duplicateValues" dxfId="55" priority="143"/>
  </conditionalFormatting>
  <conditionalFormatting sqref="D33">
    <cfRule type="colorScale" priority="16">
      <colorScale>
        <cfvo type="min"/>
        <cfvo type="max"/>
        <color rgb="FFFCFCFF"/>
        <color rgb="FF63BE7B"/>
      </colorScale>
    </cfRule>
    <cfRule type="duplicateValues" dxfId="54" priority="17"/>
    <cfRule type="colorScale" priority="34">
      <colorScale>
        <cfvo type="min"/>
        <cfvo type="max"/>
        <color rgb="FFFCFCFF"/>
        <color rgb="FF63BE7B"/>
      </colorScale>
    </cfRule>
    <cfRule type="duplicateValues" dxfId="53" priority="35"/>
    <cfRule type="colorScale" priority="46">
      <colorScale>
        <cfvo type="min"/>
        <cfvo type="max"/>
        <color rgb="FFFCFCFF"/>
        <color rgb="FF63BE7B"/>
      </colorScale>
    </cfRule>
    <cfRule type="duplicateValues" dxfId="52" priority="47"/>
    <cfRule type="colorScale" priority="56">
      <colorScale>
        <cfvo type="min"/>
        <cfvo type="max"/>
        <color rgb="FFFCFCFF"/>
        <color rgb="FF63BE7B"/>
      </colorScale>
    </cfRule>
    <cfRule type="duplicateValues" dxfId="51" priority="57"/>
    <cfRule type="colorScale" priority="64">
      <colorScale>
        <cfvo type="min"/>
        <cfvo type="max"/>
        <color rgb="FFFCFCFF"/>
        <color rgb="FF63BE7B"/>
      </colorScale>
    </cfRule>
    <cfRule type="duplicateValues" dxfId="50" priority="65"/>
    <cfRule type="colorScale" priority="78">
      <colorScale>
        <cfvo type="min"/>
        <cfvo type="max"/>
        <color rgb="FFFCFCFF"/>
        <color rgb="FF63BE7B"/>
      </colorScale>
    </cfRule>
    <cfRule type="duplicateValues" dxfId="49" priority="79"/>
    <cfRule type="colorScale" priority="94">
      <colorScale>
        <cfvo type="min"/>
        <cfvo type="max"/>
        <color rgb="FFFCFCFF"/>
        <color rgb="FF63BE7B"/>
      </colorScale>
    </cfRule>
    <cfRule type="duplicateValues" dxfId="48" priority="95"/>
    <cfRule type="colorScale" priority="110">
      <colorScale>
        <cfvo type="min"/>
        <cfvo type="max"/>
        <color rgb="FFFCFCFF"/>
        <color rgb="FF63BE7B"/>
      </colorScale>
    </cfRule>
    <cfRule type="duplicateValues" dxfId="47" priority="111"/>
    <cfRule type="colorScale" priority="130">
      <colorScale>
        <cfvo type="min"/>
        <cfvo type="max"/>
        <color rgb="FFFCFCFF"/>
        <color rgb="FF63BE7B"/>
      </colorScale>
    </cfRule>
    <cfRule type="duplicateValues" dxfId="46" priority="131"/>
    <cfRule type="colorScale" priority="150">
      <colorScale>
        <cfvo type="min"/>
        <cfvo type="max"/>
        <color rgb="FFFCFCFF"/>
        <color rgb="FF63BE7B"/>
      </colorScale>
    </cfRule>
    <cfRule type="duplicateValues" dxfId="45" priority="151"/>
  </conditionalFormatting>
  <conditionalFormatting sqref="D34">
    <cfRule type="colorScale" priority="12">
      <colorScale>
        <cfvo type="min"/>
        <cfvo type="max"/>
        <color rgb="FFFCFCFF"/>
        <color rgb="FF63BE7B"/>
      </colorScale>
    </cfRule>
    <cfRule type="duplicateValues" dxfId="44" priority="13"/>
    <cfRule type="colorScale" priority="22">
      <colorScale>
        <cfvo type="min"/>
        <cfvo type="max"/>
        <color rgb="FFFCFCFF"/>
        <color rgb="FF63BE7B"/>
      </colorScale>
    </cfRule>
    <cfRule type="duplicateValues" dxfId="43" priority="23"/>
    <cfRule type="colorScale" priority="30">
      <colorScale>
        <cfvo type="min"/>
        <cfvo type="max"/>
        <color rgb="FFFCFCFF"/>
        <color rgb="FF63BE7B"/>
      </colorScale>
    </cfRule>
    <cfRule type="duplicateValues" dxfId="42" priority="31"/>
    <cfRule type="colorScale" priority="52">
      <colorScale>
        <cfvo type="min"/>
        <cfvo type="max"/>
        <color rgb="FFFCFCFF"/>
        <color rgb="FF63BE7B"/>
      </colorScale>
    </cfRule>
    <cfRule type="duplicateValues" dxfId="41" priority="53"/>
    <cfRule type="colorScale" priority="90">
      <colorScale>
        <cfvo type="min"/>
        <cfvo type="max"/>
        <color rgb="FFFCFCFF"/>
        <color rgb="FF63BE7B"/>
      </colorScale>
    </cfRule>
    <cfRule type="duplicateValues" dxfId="40" priority="91"/>
  </conditionalFormatting>
  <conditionalFormatting sqref="D35">
    <cfRule type="colorScale" priority="24">
      <colorScale>
        <cfvo type="min"/>
        <cfvo type="max"/>
        <color rgb="FFFCFCFF"/>
        <color rgb="FF63BE7B"/>
      </colorScale>
    </cfRule>
    <cfRule type="duplicateValues" dxfId="39" priority="25"/>
  </conditionalFormatting>
  <conditionalFormatting sqref="D39">
    <cfRule type="colorScale" priority="112">
      <colorScale>
        <cfvo type="min"/>
        <cfvo type="max"/>
        <color rgb="FFFCFCFF"/>
        <color rgb="FF63BE7B"/>
      </colorScale>
    </cfRule>
    <cfRule type="duplicateValues" dxfId="38" priority="113"/>
  </conditionalFormatting>
  <conditionalFormatting sqref="D40">
    <cfRule type="colorScale" priority="40">
      <colorScale>
        <cfvo type="min"/>
        <cfvo type="max"/>
        <color rgb="FFFCFCFF"/>
        <color rgb="FF63BE7B"/>
      </colorScale>
    </cfRule>
    <cfRule type="duplicateValues" dxfId="37" priority="41"/>
    <cfRule type="colorScale" priority="72">
      <colorScale>
        <cfvo type="min"/>
        <cfvo type="max"/>
        <color rgb="FFFCFCFF"/>
        <color rgb="FF63BE7B"/>
      </colorScale>
    </cfRule>
    <cfRule type="duplicateValues" dxfId="36" priority="73"/>
    <cfRule type="colorScale" priority="102">
      <colorScale>
        <cfvo type="min"/>
        <cfvo type="max"/>
        <color rgb="FFFCFCFF"/>
        <color rgb="FF63BE7B"/>
      </colorScale>
    </cfRule>
    <cfRule type="duplicateValues" dxfId="35" priority="103"/>
    <cfRule type="colorScale" priority="116">
      <colorScale>
        <cfvo type="min"/>
        <cfvo type="max"/>
        <color rgb="FFFCFCFF"/>
        <color rgb="FF63BE7B"/>
      </colorScale>
    </cfRule>
    <cfRule type="duplicateValues" dxfId="34" priority="117"/>
    <cfRule type="colorScale" priority="138">
      <colorScale>
        <cfvo type="min"/>
        <cfvo type="max"/>
        <color rgb="FFFCFCFF"/>
        <color rgb="FF63BE7B"/>
      </colorScale>
    </cfRule>
    <cfRule type="duplicateValues" dxfId="33" priority="139"/>
  </conditionalFormatting>
  <conditionalFormatting sqref="D41">
    <cfRule type="colorScale" priority="14">
      <colorScale>
        <cfvo type="min"/>
        <cfvo type="max"/>
        <color rgb="FFFCFCFF"/>
        <color rgb="FF63BE7B"/>
      </colorScale>
    </cfRule>
    <cfRule type="duplicateValues" dxfId="32" priority="15"/>
    <cfRule type="colorScale" priority="32">
      <colorScale>
        <cfvo type="min"/>
        <cfvo type="max"/>
        <color rgb="FFFCFCFF"/>
        <color rgb="FF63BE7B"/>
      </colorScale>
    </cfRule>
    <cfRule type="duplicateValues" dxfId="31" priority="33"/>
    <cfRule type="colorScale" priority="44">
      <colorScale>
        <cfvo type="min"/>
        <cfvo type="max"/>
        <color rgb="FFFCFCFF"/>
        <color rgb="FF63BE7B"/>
      </colorScale>
    </cfRule>
    <cfRule type="duplicateValues" dxfId="30" priority="45"/>
    <cfRule type="colorScale" priority="54">
      <colorScale>
        <cfvo type="min"/>
        <cfvo type="max"/>
        <color rgb="FFFCFCFF"/>
        <color rgb="FF63BE7B"/>
      </colorScale>
    </cfRule>
    <cfRule type="duplicateValues" dxfId="29" priority="55"/>
    <cfRule type="colorScale" priority="62">
      <colorScale>
        <cfvo type="min"/>
        <cfvo type="max"/>
        <color rgb="FFFCFCFF"/>
        <color rgb="FF63BE7B"/>
      </colorScale>
    </cfRule>
    <cfRule type="duplicateValues" dxfId="28" priority="63"/>
    <cfRule type="colorScale" priority="76">
      <colorScale>
        <cfvo type="min"/>
        <cfvo type="max"/>
        <color rgb="FFFCFCFF"/>
        <color rgb="FF63BE7B"/>
      </colorScale>
    </cfRule>
    <cfRule type="duplicateValues" dxfId="27" priority="77"/>
    <cfRule type="colorScale" priority="92">
      <colorScale>
        <cfvo type="min"/>
        <cfvo type="max"/>
        <color rgb="FFFCFCFF"/>
        <color rgb="FF63BE7B"/>
      </colorScale>
    </cfRule>
    <cfRule type="duplicateValues" dxfId="26" priority="93"/>
    <cfRule type="colorScale" priority="106">
      <colorScale>
        <cfvo type="min"/>
        <cfvo type="max"/>
        <color rgb="FFFCFCFF"/>
        <color rgb="FF63BE7B"/>
      </colorScale>
    </cfRule>
    <cfRule type="duplicateValues" dxfId="25" priority="107"/>
    <cfRule type="colorScale" priority="126">
      <colorScale>
        <cfvo type="min"/>
        <cfvo type="max"/>
        <color rgb="FFFCFCFF"/>
        <color rgb="FF63BE7B"/>
      </colorScale>
    </cfRule>
    <cfRule type="duplicateValues" dxfId="24" priority="127"/>
    <cfRule type="colorScale" priority="146">
      <colorScale>
        <cfvo type="min"/>
        <cfvo type="max"/>
        <color rgb="FFFCFCFF"/>
        <color rgb="FF63BE7B"/>
      </colorScale>
    </cfRule>
    <cfRule type="duplicateValues" dxfId="23" priority="147"/>
  </conditionalFormatting>
  <conditionalFormatting sqref="D42">
    <cfRule type="colorScale" priority="8">
      <colorScale>
        <cfvo type="min"/>
        <cfvo type="max"/>
        <color rgb="FFFCFCFF"/>
        <color rgb="FF63BE7B"/>
      </colorScale>
    </cfRule>
    <cfRule type="duplicateValues" dxfId="22" priority="9"/>
    <cfRule type="colorScale" priority="18">
      <colorScale>
        <cfvo type="min"/>
        <cfvo type="max"/>
        <color rgb="FFFCFCFF"/>
        <color rgb="FF63BE7B"/>
      </colorScale>
    </cfRule>
    <cfRule type="duplicateValues" dxfId="21" priority="19"/>
    <cfRule type="colorScale" priority="26">
      <colorScale>
        <cfvo type="min"/>
        <cfvo type="max"/>
        <color rgb="FFFCFCFF"/>
        <color rgb="FF63BE7B"/>
      </colorScale>
    </cfRule>
    <cfRule type="duplicateValues" dxfId="20" priority="27"/>
    <cfRule type="colorScale" priority="36">
      <colorScale>
        <cfvo type="min"/>
        <cfvo type="max"/>
        <color rgb="FFFCFCFF"/>
        <color rgb="FF63BE7B"/>
      </colorScale>
    </cfRule>
    <cfRule type="duplicateValues" dxfId="19" priority="37"/>
    <cfRule type="colorScale" priority="48">
      <colorScale>
        <cfvo type="min"/>
        <cfvo type="max"/>
        <color rgb="FFFCFCFF"/>
        <color rgb="FF63BE7B"/>
      </colorScale>
    </cfRule>
    <cfRule type="duplicateValues" dxfId="18" priority="49"/>
    <cfRule type="colorScale" priority="58">
      <colorScale>
        <cfvo type="min"/>
        <cfvo type="max"/>
        <color rgb="FFFCFCFF"/>
        <color rgb="FF63BE7B"/>
      </colorScale>
    </cfRule>
    <cfRule type="duplicateValues" dxfId="17" priority="59"/>
  </conditionalFormatting>
  <conditionalFormatting sqref="D42:D43">
    <cfRule type="colorScale" priority="1224">
      <colorScale>
        <cfvo type="min"/>
        <cfvo type="max"/>
        <color rgb="FFFCFCFF"/>
        <color rgb="FF63BE7B"/>
      </colorScale>
    </cfRule>
    <cfRule type="duplicateValues" dxfId="16" priority="1225"/>
  </conditionalFormatting>
  <conditionalFormatting sqref="D44">
    <cfRule type="colorScale" priority="6">
      <colorScale>
        <cfvo type="min"/>
        <cfvo type="max"/>
        <color rgb="FFFCFCFF"/>
        <color rgb="FF63BE7B"/>
      </colorScale>
    </cfRule>
    <cfRule type="duplicateValues" dxfId="15" priority="7"/>
  </conditionalFormatting>
  <conditionalFormatting sqref="AW10:AW43">
    <cfRule type="expression" dxfId="14" priority="5">
      <formula>AW10&lt;&gt;D10</formula>
    </cfRule>
  </conditionalFormatting>
  <conditionalFormatting sqref="AZ31">
    <cfRule type="colorScale" priority="1">
      <colorScale>
        <cfvo type="min"/>
        <cfvo type="max"/>
        <color rgb="FFFCFCFF"/>
        <color rgb="FF63BE7B"/>
      </colorScale>
    </cfRule>
    <cfRule type="duplicateValues" dxfId="13" priority="2"/>
    <cfRule type="colorScale" priority="3">
      <colorScale>
        <cfvo type="min"/>
        <cfvo type="max"/>
        <color rgb="FFFCFCFF"/>
        <color rgb="FF63BE7B"/>
      </colorScale>
    </cfRule>
    <cfRule type="duplicateValues" dxfId="12" priority="4"/>
  </conditionalFormatting>
  <conditionalFormatting sqref="D15:D43">
    <cfRule type="colorScale" priority="1240">
      <colorScale>
        <cfvo type="min"/>
        <cfvo type="max"/>
        <color rgb="FFFCFCFF"/>
        <color rgb="FF63BE7B"/>
      </colorScale>
    </cfRule>
    <cfRule type="duplicateValues" dxfId="0" priority="1241"/>
  </conditionalFormatting>
  <pageMargins left="0.23622047244094491" right="0.15748031496062992" top="0.27559055118110237" bottom="0.74803149606299213" header="0.31496062992125984" footer="0.31496062992125984"/>
  <pageSetup paperSize="9" scale="84" orientation="portrait" horizontalDpi="4294967293" verticalDpi="0" r:id="rId1"/>
  <colBreaks count="1" manualBreakCount="1">
    <brk id="29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59"/>
  <sheetViews>
    <sheetView topLeftCell="A130" workbookViewId="0">
      <selection activeCell="J192" sqref="J192"/>
    </sheetView>
  </sheetViews>
  <sheetFormatPr defaultRowHeight="15" x14ac:dyDescent="0.25"/>
  <cols>
    <col min="2" max="3" width="11" bestFit="1" customWidth="1"/>
    <col min="4" max="4" width="32.28515625" customWidth="1"/>
    <col min="5" max="6" width="5.85546875" customWidth="1"/>
    <col min="10" max="10" width="40.140625" bestFit="1" customWidth="1"/>
  </cols>
  <sheetData>
    <row r="1" spans="1:6" x14ac:dyDescent="0.25">
      <c r="A1" s="13" t="s">
        <v>50</v>
      </c>
      <c r="B1" t="s">
        <v>14</v>
      </c>
      <c r="C1">
        <v>20527185</v>
      </c>
      <c r="D1" t="s">
        <v>15</v>
      </c>
      <c r="E1" t="s">
        <v>8</v>
      </c>
      <c r="F1">
        <v>1</v>
      </c>
    </row>
    <row r="2" spans="1:6" x14ac:dyDescent="0.25">
      <c r="A2" s="14" t="s">
        <v>141</v>
      </c>
      <c r="B2" t="s">
        <v>81</v>
      </c>
      <c r="C2">
        <v>20583410</v>
      </c>
      <c r="D2" t="s">
        <v>82</v>
      </c>
      <c r="E2" t="s">
        <v>8</v>
      </c>
      <c r="F2">
        <v>1</v>
      </c>
    </row>
    <row r="3" spans="1:6" x14ac:dyDescent="0.25">
      <c r="A3" s="14" t="s">
        <v>141</v>
      </c>
      <c r="B3" t="s">
        <v>127</v>
      </c>
      <c r="C3">
        <v>20528609</v>
      </c>
      <c r="D3" t="s">
        <v>128</v>
      </c>
      <c r="E3" t="s">
        <v>8</v>
      </c>
      <c r="F3">
        <v>1</v>
      </c>
    </row>
    <row r="4" spans="1:6" x14ac:dyDescent="0.25">
      <c r="A4" s="18" t="s">
        <v>371</v>
      </c>
      <c r="B4" t="s">
        <v>236</v>
      </c>
      <c r="C4">
        <v>20527197</v>
      </c>
      <c r="D4" t="s">
        <v>237</v>
      </c>
      <c r="E4" t="s">
        <v>8</v>
      </c>
      <c r="F4">
        <v>1</v>
      </c>
    </row>
    <row r="5" spans="1:6" x14ac:dyDescent="0.25">
      <c r="A5" s="18" t="s">
        <v>371</v>
      </c>
      <c r="B5" t="s">
        <v>276</v>
      </c>
      <c r="C5">
        <v>20527180</v>
      </c>
      <c r="D5" t="s">
        <v>277</v>
      </c>
      <c r="E5" t="s">
        <v>8</v>
      </c>
      <c r="F5">
        <v>1</v>
      </c>
    </row>
    <row r="6" spans="1:6" x14ac:dyDescent="0.25">
      <c r="A6" s="18" t="s">
        <v>371</v>
      </c>
      <c r="B6" t="s">
        <v>323</v>
      </c>
      <c r="C6">
        <v>20528625</v>
      </c>
      <c r="D6" t="s">
        <v>324</v>
      </c>
      <c r="E6" t="s">
        <v>8</v>
      </c>
      <c r="F6">
        <v>1</v>
      </c>
    </row>
    <row r="7" spans="1:6" x14ac:dyDescent="0.25">
      <c r="A7" s="18" t="s">
        <v>371</v>
      </c>
      <c r="B7" t="s">
        <v>361</v>
      </c>
      <c r="C7">
        <v>20527193</v>
      </c>
      <c r="D7" t="s">
        <v>362</v>
      </c>
      <c r="E7" t="s">
        <v>8</v>
      </c>
      <c r="F7">
        <v>1</v>
      </c>
    </row>
    <row r="8" spans="1:6" x14ac:dyDescent="0.25">
      <c r="A8" s="15" t="s">
        <v>726</v>
      </c>
      <c r="B8" t="s">
        <v>398</v>
      </c>
      <c r="C8">
        <v>69816340</v>
      </c>
      <c r="D8" t="s">
        <v>399</v>
      </c>
      <c r="E8" t="s">
        <v>8</v>
      </c>
      <c r="F8">
        <v>1</v>
      </c>
    </row>
    <row r="9" spans="1:6" x14ac:dyDescent="0.25">
      <c r="A9" s="15" t="s">
        <v>726</v>
      </c>
      <c r="B9" t="s">
        <v>434</v>
      </c>
      <c r="C9">
        <v>20527197</v>
      </c>
      <c r="D9" t="s">
        <v>435</v>
      </c>
      <c r="E9" t="s">
        <v>8</v>
      </c>
      <c r="F9">
        <v>1</v>
      </c>
    </row>
    <row r="10" spans="1:6" x14ac:dyDescent="0.25">
      <c r="A10" s="15" t="s">
        <v>726</v>
      </c>
      <c r="B10" t="s">
        <v>465</v>
      </c>
      <c r="C10">
        <v>20527197</v>
      </c>
      <c r="D10" t="s">
        <v>466</v>
      </c>
      <c r="E10" t="s">
        <v>8</v>
      </c>
      <c r="F10">
        <v>1</v>
      </c>
    </row>
    <row r="11" spans="1:6" x14ac:dyDescent="0.25">
      <c r="A11" s="15" t="s">
        <v>726</v>
      </c>
      <c r="B11" t="s">
        <v>505</v>
      </c>
      <c r="C11">
        <v>20527180</v>
      </c>
      <c r="D11" t="s">
        <v>506</v>
      </c>
      <c r="E11" t="s">
        <v>8</v>
      </c>
      <c r="F11">
        <v>1</v>
      </c>
    </row>
    <row r="12" spans="1:6" x14ac:dyDescent="0.25">
      <c r="A12" s="15" t="s">
        <v>726</v>
      </c>
      <c r="B12" t="s">
        <v>543</v>
      </c>
      <c r="C12">
        <v>20527180</v>
      </c>
      <c r="D12" t="s">
        <v>544</v>
      </c>
      <c r="E12" t="s">
        <v>8</v>
      </c>
      <c r="F12">
        <v>1</v>
      </c>
    </row>
    <row r="13" spans="1:6" x14ac:dyDescent="0.25">
      <c r="A13" s="15" t="s">
        <v>726</v>
      </c>
      <c r="B13" t="s">
        <v>580</v>
      </c>
      <c r="C13">
        <v>20527197</v>
      </c>
      <c r="D13" t="s">
        <v>581</v>
      </c>
      <c r="E13" t="s">
        <v>8</v>
      </c>
      <c r="F13">
        <v>1</v>
      </c>
    </row>
    <row r="14" spans="1:6" x14ac:dyDescent="0.25">
      <c r="A14" s="15" t="s">
        <v>726</v>
      </c>
      <c r="B14" t="s">
        <v>604</v>
      </c>
      <c r="C14">
        <v>20527197</v>
      </c>
      <c r="D14" t="s">
        <v>605</v>
      </c>
      <c r="E14" t="s">
        <v>8</v>
      </c>
      <c r="F14">
        <v>1</v>
      </c>
    </row>
    <row r="15" spans="1:6" x14ac:dyDescent="0.25">
      <c r="A15" s="15" t="s">
        <v>726</v>
      </c>
      <c r="B15" t="s">
        <v>651</v>
      </c>
      <c r="C15">
        <v>20527197</v>
      </c>
      <c r="D15" t="s">
        <v>652</v>
      </c>
      <c r="E15" t="s">
        <v>8</v>
      </c>
      <c r="F15">
        <v>1</v>
      </c>
    </row>
    <row r="16" spans="1:6" x14ac:dyDescent="0.25">
      <c r="A16" s="15" t="s">
        <v>726</v>
      </c>
      <c r="B16" t="s">
        <v>697</v>
      </c>
      <c r="C16">
        <v>20527202</v>
      </c>
      <c r="D16" t="s">
        <v>698</v>
      </c>
      <c r="E16" t="s">
        <v>8</v>
      </c>
      <c r="F16">
        <v>1</v>
      </c>
    </row>
    <row r="17" spans="1:6" x14ac:dyDescent="0.25">
      <c r="A17" s="17" t="s">
        <v>197</v>
      </c>
      <c r="B17" t="s">
        <v>142</v>
      </c>
      <c r="C17">
        <v>20527197</v>
      </c>
      <c r="D17" t="s">
        <v>143</v>
      </c>
      <c r="E17" t="s">
        <v>8</v>
      </c>
      <c r="F17">
        <v>1</v>
      </c>
    </row>
    <row r="18" spans="1:6" x14ac:dyDescent="0.25">
      <c r="A18" s="17" t="s">
        <v>197</v>
      </c>
      <c r="B18" t="s">
        <v>174</v>
      </c>
      <c r="C18">
        <v>69991338</v>
      </c>
      <c r="D18" t="s">
        <v>175</v>
      </c>
      <c r="E18" t="s">
        <v>8</v>
      </c>
      <c r="F18">
        <v>1</v>
      </c>
    </row>
    <row r="19" spans="1:6" x14ac:dyDescent="0.25">
      <c r="A19" s="13" t="s">
        <v>50</v>
      </c>
      <c r="B19" t="s">
        <v>18</v>
      </c>
      <c r="C19">
        <v>20527202</v>
      </c>
      <c r="D19" t="s">
        <v>19</v>
      </c>
      <c r="E19" t="s">
        <v>7</v>
      </c>
      <c r="F19">
        <v>1</v>
      </c>
    </row>
    <row r="20" spans="1:6" x14ac:dyDescent="0.25">
      <c r="A20" s="13" t="s">
        <v>50</v>
      </c>
      <c r="B20" t="s">
        <v>42</v>
      </c>
      <c r="C20">
        <v>20566545</v>
      </c>
      <c r="D20" t="s">
        <v>43</v>
      </c>
      <c r="E20" t="s">
        <v>7</v>
      </c>
      <c r="F20">
        <v>1</v>
      </c>
    </row>
    <row r="21" spans="1:6" x14ac:dyDescent="0.25">
      <c r="A21" s="16" t="s">
        <v>80</v>
      </c>
      <c r="B21" t="s">
        <v>74</v>
      </c>
      <c r="C21">
        <v>20364507</v>
      </c>
      <c r="D21" t="s">
        <v>75</v>
      </c>
      <c r="E21" t="s">
        <v>7</v>
      </c>
      <c r="F21">
        <v>1</v>
      </c>
    </row>
    <row r="22" spans="1:6" x14ac:dyDescent="0.25">
      <c r="A22" s="14" t="s">
        <v>141</v>
      </c>
      <c r="B22" t="s">
        <v>113</v>
      </c>
      <c r="C22">
        <v>20527180</v>
      </c>
      <c r="D22" t="s">
        <v>114</v>
      </c>
      <c r="E22" t="s">
        <v>7</v>
      </c>
      <c r="F22">
        <v>1</v>
      </c>
    </row>
    <row r="23" spans="1:6" x14ac:dyDescent="0.25">
      <c r="A23" s="18" t="s">
        <v>371</v>
      </c>
      <c r="B23" t="s">
        <v>200</v>
      </c>
      <c r="C23">
        <v>20583367</v>
      </c>
      <c r="D23" t="s">
        <v>201</v>
      </c>
      <c r="E23" t="s">
        <v>7</v>
      </c>
      <c r="F23">
        <v>1</v>
      </c>
    </row>
    <row r="24" spans="1:6" x14ac:dyDescent="0.25">
      <c r="A24" s="18" t="s">
        <v>371</v>
      </c>
      <c r="B24" t="s">
        <v>240</v>
      </c>
      <c r="C24">
        <v>20527197</v>
      </c>
      <c r="D24" t="s">
        <v>241</v>
      </c>
      <c r="E24" t="s">
        <v>7</v>
      </c>
      <c r="F24">
        <v>1</v>
      </c>
    </row>
    <row r="25" spans="1:6" x14ac:dyDescent="0.25">
      <c r="A25" s="18" t="s">
        <v>371</v>
      </c>
      <c r="B25" t="s">
        <v>272</v>
      </c>
      <c r="C25">
        <v>20527180</v>
      </c>
      <c r="D25" t="s">
        <v>273</v>
      </c>
      <c r="E25" t="s">
        <v>7</v>
      </c>
      <c r="F25">
        <v>1</v>
      </c>
    </row>
    <row r="26" spans="1:6" x14ac:dyDescent="0.25">
      <c r="A26" s="18" t="s">
        <v>371</v>
      </c>
      <c r="B26" t="s">
        <v>305</v>
      </c>
      <c r="C26">
        <v>20527197</v>
      </c>
      <c r="D26" t="s">
        <v>306</v>
      </c>
      <c r="E26" t="s">
        <v>7</v>
      </c>
      <c r="F26">
        <v>1</v>
      </c>
    </row>
    <row r="27" spans="1:6" x14ac:dyDescent="0.25">
      <c r="A27" s="18" t="s">
        <v>371</v>
      </c>
      <c r="B27">
        <v>3081834782</v>
      </c>
      <c r="C27">
        <v>20528625</v>
      </c>
      <c r="D27" t="s">
        <v>346</v>
      </c>
      <c r="E27" t="s">
        <v>7</v>
      </c>
      <c r="F27">
        <v>1</v>
      </c>
    </row>
    <row r="28" spans="1:6" x14ac:dyDescent="0.25">
      <c r="A28" s="15" t="s">
        <v>726</v>
      </c>
      <c r="B28" t="s">
        <v>386</v>
      </c>
      <c r="C28">
        <v>20527197</v>
      </c>
      <c r="D28" t="s">
        <v>387</v>
      </c>
      <c r="E28" t="s">
        <v>7</v>
      </c>
      <c r="F28">
        <v>1</v>
      </c>
    </row>
    <row r="29" spans="1:6" x14ac:dyDescent="0.25">
      <c r="A29" s="15" t="s">
        <v>726</v>
      </c>
      <c r="B29" t="s">
        <v>432</v>
      </c>
      <c r="C29">
        <v>20527197</v>
      </c>
      <c r="D29" t="s">
        <v>433</v>
      </c>
      <c r="E29" t="s">
        <v>7</v>
      </c>
      <c r="F29">
        <v>1</v>
      </c>
    </row>
    <row r="30" spans="1:6" x14ac:dyDescent="0.25">
      <c r="A30" s="15" t="s">
        <v>726</v>
      </c>
      <c r="B30" t="s">
        <v>481</v>
      </c>
      <c r="C30">
        <v>20527180</v>
      </c>
      <c r="D30" t="s">
        <v>482</v>
      </c>
      <c r="E30" t="s">
        <v>7</v>
      </c>
      <c r="F30">
        <v>1</v>
      </c>
    </row>
    <row r="31" spans="1:6" x14ac:dyDescent="0.25">
      <c r="A31" s="15" t="s">
        <v>726</v>
      </c>
      <c r="B31" t="s">
        <v>527</v>
      </c>
      <c r="C31">
        <v>20527180</v>
      </c>
      <c r="D31" t="s">
        <v>528</v>
      </c>
      <c r="E31" t="s">
        <v>7</v>
      </c>
      <c r="F31">
        <v>1</v>
      </c>
    </row>
    <row r="32" spans="1:6" x14ac:dyDescent="0.25">
      <c r="A32" s="15" t="s">
        <v>726</v>
      </c>
      <c r="B32" t="s">
        <v>570</v>
      </c>
      <c r="C32">
        <v>20583363</v>
      </c>
      <c r="D32" t="s">
        <v>571</v>
      </c>
      <c r="E32" t="s">
        <v>7</v>
      </c>
      <c r="F32">
        <v>1</v>
      </c>
    </row>
    <row r="33" spans="1:6" x14ac:dyDescent="0.25">
      <c r="A33" s="15" t="s">
        <v>726</v>
      </c>
      <c r="B33" t="s">
        <v>622</v>
      </c>
      <c r="C33">
        <v>20527197</v>
      </c>
      <c r="D33" t="s">
        <v>623</v>
      </c>
      <c r="E33" t="s">
        <v>7</v>
      </c>
      <c r="F33">
        <v>1</v>
      </c>
    </row>
    <row r="34" spans="1:6" x14ac:dyDescent="0.25">
      <c r="A34" s="15" t="s">
        <v>726</v>
      </c>
      <c r="B34" t="s">
        <v>655</v>
      </c>
      <c r="C34">
        <v>20527193</v>
      </c>
      <c r="D34" t="s">
        <v>656</v>
      </c>
      <c r="E34" t="s">
        <v>7</v>
      </c>
      <c r="F34">
        <v>1</v>
      </c>
    </row>
    <row r="35" spans="1:6" x14ac:dyDescent="0.25">
      <c r="A35" s="15" t="s">
        <v>726</v>
      </c>
      <c r="B35" t="s">
        <v>687</v>
      </c>
      <c r="C35">
        <v>20527180</v>
      </c>
      <c r="D35" t="s">
        <v>688</v>
      </c>
      <c r="E35" t="s">
        <v>7</v>
      </c>
      <c r="F35">
        <v>1</v>
      </c>
    </row>
    <row r="36" spans="1:6" x14ac:dyDescent="0.25">
      <c r="A36" s="17" t="s">
        <v>197</v>
      </c>
      <c r="B36" t="s">
        <v>155</v>
      </c>
      <c r="C36">
        <v>20527193</v>
      </c>
      <c r="D36" t="s">
        <v>156</v>
      </c>
      <c r="E36" t="s">
        <v>7</v>
      </c>
      <c r="F36">
        <v>1</v>
      </c>
    </row>
    <row r="37" spans="1:6" x14ac:dyDescent="0.25">
      <c r="A37" s="13" t="s">
        <v>50</v>
      </c>
      <c r="B37" t="s">
        <v>22</v>
      </c>
      <c r="C37">
        <v>20537422</v>
      </c>
      <c r="D37" t="s">
        <v>23</v>
      </c>
      <c r="E37" t="s">
        <v>8</v>
      </c>
      <c r="F37">
        <v>2</v>
      </c>
    </row>
    <row r="38" spans="1:6" x14ac:dyDescent="0.25">
      <c r="A38" s="14" t="s">
        <v>141</v>
      </c>
      <c r="B38" t="s">
        <v>87</v>
      </c>
      <c r="C38">
        <v>20527197</v>
      </c>
      <c r="D38" t="s">
        <v>88</v>
      </c>
      <c r="E38" t="s">
        <v>8</v>
      </c>
      <c r="F38">
        <v>2</v>
      </c>
    </row>
    <row r="39" spans="1:6" x14ac:dyDescent="0.25">
      <c r="A39" s="14" t="s">
        <v>141</v>
      </c>
      <c r="B39" t="s">
        <v>129</v>
      </c>
      <c r="C39">
        <v>20566545</v>
      </c>
      <c r="D39" t="s">
        <v>130</v>
      </c>
      <c r="E39" t="s">
        <v>8</v>
      </c>
      <c r="F39">
        <v>2</v>
      </c>
    </row>
    <row r="40" spans="1:6" x14ac:dyDescent="0.25">
      <c r="A40" s="18" t="s">
        <v>371</v>
      </c>
      <c r="B40" t="s">
        <v>238</v>
      </c>
      <c r="C40">
        <v>20527197</v>
      </c>
      <c r="D40" t="s">
        <v>239</v>
      </c>
      <c r="E40" t="s">
        <v>8</v>
      </c>
      <c r="F40">
        <v>2</v>
      </c>
    </row>
    <row r="41" spans="1:6" x14ac:dyDescent="0.25">
      <c r="A41" s="18" t="s">
        <v>371</v>
      </c>
      <c r="B41" t="s">
        <v>285</v>
      </c>
      <c r="C41">
        <v>20583363</v>
      </c>
      <c r="D41" t="s">
        <v>286</v>
      </c>
      <c r="E41" t="s">
        <v>8</v>
      </c>
      <c r="F41">
        <v>2</v>
      </c>
    </row>
    <row r="42" spans="1:6" x14ac:dyDescent="0.25">
      <c r="A42" s="18" t="s">
        <v>371</v>
      </c>
      <c r="B42" t="s">
        <v>327</v>
      </c>
      <c r="C42">
        <v>20527197</v>
      </c>
      <c r="D42" t="s">
        <v>328</v>
      </c>
      <c r="E42" t="s">
        <v>8</v>
      </c>
      <c r="F42">
        <v>2</v>
      </c>
    </row>
    <row r="43" spans="1:6" x14ac:dyDescent="0.25">
      <c r="A43" s="18" t="s">
        <v>371</v>
      </c>
      <c r="B43" t="s">
        <v>363</v>
      </c>
      <c r="C43">
        <v>20527197</v>
      </c>
      <c r="D43" t="s">
        <v>364</v>
      </c>
      <c r="E43" t="s">
        <v>8</v>
      </c>
      <c r="F43">
        <v>2</v>
      </c>
    </row>
    <row r="44" spans="1:6" x14ac:dyDescent="0.25">
      <c r="A44" s="15" t="s">
        <v>726</v>
      </c>
      <c r="B44" t="s">
        <v>400</v>
      </c>
      <c r="C44">
        <v>20527197</v>
      </c>
      <c r="D44" t="s">
        <v>401</v>
      </c>
      <c r="E44" t="s">
        <v>8</v>
      </c>
      <c r="F44">
        <v>2</v>
      </c>
    </row>
    <row r="45" spans="1:6" x14ac:dyDescent="0.25">
      <c r="A45" s="15" t="s">
        <v>726</v>
      </c>
      <c r="B45" t="s">
        <v>440</v>
      </c>
      <c r="C45">
        <v>20527180</v>
      </c>
      <c r="D45" t="s">
        <v>441</v>
      </c>
      <c r="E45" t="s">
        <v>8</v>
      </c>
      <c r="F45">
        <v>2</v>
      </c>
    </row>
    <row r="46" spans="1:6" x14ac:dyDescent="0.25">
      <c r="A46" s="15" t="s">
        <v>726</v>
      </c>
      <c r="B46" t="s">
        <v>471</v>
      </c>
      <c r="C46">
        <v>20527180</v>
      </c>
      <c r="D46" t="s">
        <v>472</v>
      </c>
      <c r="E46" t="s">
        <v>8</v>
      </c>
      <c r="F46">
        <v>2</v>
      </c>
    </row>
    <row r="47" spans="1:6" x14ac:dyDescent="0.25">
      <c r="A47" s="15" t="s">
        <v>726</v>
      </c>
      <c r="B47" t="s">
        <v>507</v>
      </c>
      <c r="C47">
        <v>20527180</v>
      </c>
      <c r="D47" t="s">
        <v>508</v>
      </c>
      <c r="E47" t="s">
        <v>8</v>
      </c>
      <c r="F47">
        <v>2</v>
      </c>
    </row>
    <row r="48" spans="1:6" x14ac:dyDescent="0.25">
      <c r="A48" s="15" t="s">
        <v>726</v>
      </c>
      <c r="B48" t="s">
        <v>545</v>
      </c>
      <c r="C48">
        <v>20527197</v>
      </c>
      <c r="D48" t="s">
        <v>546</v>
      </c>
      <c r="E48" t="s">
        <v>8</v>
      </c>
      <c r="F48">
        <v>2</v>
      </c>
    </row>
    <row r="49" spans="1:6" x14ac:dyDescent="0.25">
      <c r="A49" s="15" t="s">
        <v>726</v>
      </c>
      <c r="B49" t="s">
        <v>582</v>
      </c>
      <c r="C49">
        <v>20527197</v>
      </c>
      <c r="D49" t="s">
        <v>583</v>
      </c>
      <c r="E49" t="s">
        <v>8</v>
      </c>
      <c r="F49">
        <v>2</v>
      </c>
    </row>
    <row r="50" spans="1:6" x14ac:dyDescent="0.25">
      <c r="A50" s="15" t="s">
        <v>726</v>
      </c>
      <c r="B50" t="s">
        <v>606</v>
      </c>
      <c r="C50">
        <v>20527197</v>
      </c>
      <c r="D50" t="s">
        <v>607</v>
      </c>
      <c r="E50" t="s">
        <v>8</v>
      </c>
      <c r="F50">
        <v>2</v>
      </c>
    </row>
    <row r="51" spans="1:6" x14ac:dyDescent="0.25">
      <c r="A51" s="15" t="s">
        <v>726</v>
      </c>
      <c r="B51" t="s">
        <v>653</v>
      </c>
      <c r="C51">
        <v>20527197</v>
      </c>
      <c r="D51" t="s">
        <v>654</v>
      </c>
      <c r="E51" t="s">
        <v>8</v>
      </c>
      <c r="F51">
        <v>2</v>
      </c>
    </row>
    <row r="52" spans="1:6" x14ac:dyDescent="0.25">
      <c r="A52" s="15" t="s">
        <v>726</v>
      </c>
      <c r="B52" t="s">
        <v>699</v>
      </c>
      <c r="C52">
        <v>20527197</v>
      </c>
      <c r="D52" t="s">
        <v>700</v>
      </c>
      <c r="E52" t="s">
        <v>8</v>
      </c>
      <c r="F52">
        <v>2</v>
      </c>
    </row>
    <row r="53" spans="1:6" x14ac:dyDescent="0.25">
      <c r="A53" s="17" t="s">
        <v>197</v>
      </c>
      <c r="B53" t="s">
        <v>144</v>
      </c>
      <c r="C53">
        <v>20527195</v>
      </c>
      <c r="D53" t="s">
        <v>145</v>
      </c>
      <c r="E53" t="s">
        <v>8</v>
      </c>
      <c r="F53">
        <v>2</v>
      </c>
    </row>
    <row r="54" spans="1:6" x14ac:dyDescent="0.25">
      <c r="A54" s="17" t="s">
        <v>197</v>
      </c>
      <c r="B54" t="s">
        <v>176</v>
      </c>
      <c r="C54">
        <v>20527180</v>
      </c>
      <c r="D54" t="s">
        <v>177</v>
      </c>
      <c r="E54" t="s">
        <v>8</v>
      </c>
      <c r="F54">
        <v>2</v>
      </c>
    </row>
    <row r="55" spans="1:6" x14ac:dyDescent="0.25">
      <c r="A55" s="13" t="s">
        <v>50</v>
      </c>
      <c r="B55" t="s">
        <v>20</v>
      </c>
      <c r="C55">
        <v>20583410</v>
      </c>
      <c r="D55" t="s">
        <v>21</v>
      </c>
      <c r="E55" t="s">
        <v>7</v>
      </c>
      <c r="F55">
        <v>2</v>
      </c>
    </row>
    <row r="56" spans="1:6" x14ac:dyDescent="0.25">
      <c r="A56" s="13" t="s">
        <v>50</v>
      </c>
      <c r="B56" t="s">
        <v>44</v>
      </c>
      <c r="C56">
        <v>20527166</v>
      </c>
      <c r="D56" t="s">
        <v>45</v>
      </c>
      <c r="E56" t="s">
        <v>7</v>
      </c>
      <c r="F56">
        <v>2</v>
      </c>
    </row>
    <row r="57" spans="1:6" x14ac:dyDescent="0.25">
      <c r="A57" s="16" t="s">
        <v>80</v>
      </c>
      <c r="B57" t="s">
        <v>78</v>
      </c>
      <c r="C57">
        <v>20527197</v>
      </c>
      <c r="D57" t="s">
        <v>79</v>
      </c>
      <c r="E57" t="s">
        <v>7</v>
      </c>
      <c r="F57">
        <v>2</v>
      </c>
    </row>
    <row r="58" spans="1:6" x14ac:dyDescent="0.25">
      <c r="A58" s="14" t="s">
        <v>141</v>
      </c>
      <c r="B58" t="s">
        <v>119</v>
      </c>
      <c r="C58">
        <v>20566545</v>
      </c>
      <c r="D58" t="s">
        <v>120</v>
      </c>
      <c r="E58" t="s">
        <v>7</v>
      </c>
      <c r="F58">
        <v>2</v>
      </c>
    </row>
    <row r="59" spans="1:6" x14ac:dyDescent="0.25">
      <c r="A59" s="18" t="s">
        <v>371</v>
      </c>
      <c r="B59" t="s">
        <v>204</v>
      </c>
      <c r="C59">
        <v>20527197</v>
      </c>
      <c r="D59" t="s">
        <v>205</v>
      </c>
      <c r="E59" t="s">
        <v>7</v>
      </c>
      <c r="F59">
        <v>2</v>
      </c>
    </row>
    <row r="60" spans="1:6" x14ac:dyDescent="0.25">
      <c r="A60" s="18" t="s">
        <v>371</v>
      </c>
      <c r="B60" t="s">
        <v>242</v>
      </c>
      <c r="C60">
        <v>20527197</v>
      </c>
      <c r="D60" t="s">
        <v>243</v>
      </c>
      <c r="E60" t="s">
        <v>7</v>
      </c>
      <c r="F60">
        <v>2</v>
      </c>
    </row>
    <row r="61" spans="1:6" x14ac:dyDescent="0.25">
      <c r="A61" s="18" t="s">
        <v>371</v>
      </c>
      <c r="B61" t="s">
        <v>278</v>
      </c>
      <c r="C61">
        <v>20566545</v>
      </c>
      <c r="D61" t="s">
        <v>279</v>
      </c>
      <c r="E61" t="s">
        <v>7</v>
      </c>
      <c r="F61">
        <v>2</v>
      </c>
    </row>
    <row r="62" spans="1:6" x14ac:dyDescent="0.25">
      <c r="A62" s="18" t="s">
        <v>371</v>
      </c>
      <c r="B62" t="s">
        <v>307</v>
      </c>
      <c r="C62">
        <v>20527197</v>
      </c>
      <c r="D62" t="s">
        <v>308</v>
      </c>
      <c r="E62" t="s">
        <v>7</v>
      </c>
      <c r="F62">
        <v>2</v>
      </c>
    </row>
    <row r="63" spans="1:6" x14ac:dyDescent="0.25">
      <c r="A63" s="18" t="s">
        <v>371</v>
      </c>
      <c r="B63" t="s">
        <v>347</v>
      </c>
      <c r="C63">
        <v>20527197</v>
      </c>
      <c r="D63" t="s">
        <v>348</v>
      </c>
      <c r="E63" t="s">
        <v>7</v>
      </c>
      <c r="F63">
        <v>2</v>
      </c>
    </row>
    <row r="64" spans="1:6" x14ac:dyDescent="0.25">
      <c r="A64" s="15" t="s">
        <v>726</v>
      </c>
      <c r="B64" t="s">
        <v>390</v>
      </c>
      <c r="C64">
        <v>20583410</v>
      </c>
      <c r="D64" t="s">
        <v>391</v>
      </c>
      <c r="E64" t="s">
        <v>7</v>
      </c>
      <c r="F64">
        <v>2</v>
      </c>
    </row>
    <row r="65" spans="1:6" x14ac:dyDescent="0.25">
      <c r="A65" s="15" t="s">
        <v>726</v>
      </c>
      <c r="B65" t="s">
        <v>436</v>
      </c>
      <c r="C65">
        <v>20527197</v>
      </c>
      <c r="D65" t="s">
        <v>437</v>
      </c>
      <c r="E65" t="s">
        <v>7</v>
      </c>
      <c r="F65">
        <v>2</v>
      </c>
    </row>
    <row r="66" spans="1:6" x14ac:dyDescent="0.25">
      <c r="A66" s="15" t="s">
        <v>726</v>
      </c>
      <c r="B66" t="s">
        <v>491</v>
      </c>
      <c r="C66">
        <v>20527197</v>
      </c>
      <c r="D66" t="s">
        <v>492</v>
      </c>
      <c r="E66" t="s">
        <v>7</v>
      </c>
      <c r="F66">
        <v>2</v>
      </c>
    </row>
    <row r="67" spans="1:6" x14ac:dyDescent="0.25">
      <c r="A67" s="15" t="s">
        <v>726</v>
      </c>
      <c r="B67" t="s">
        <v>529</v>
      </c>
      <c r="C67">
        <v>20527197</v>
      </c>
      <c r="D67" t="s">
        <v>530</v>
      </c>
      <c r="E67" t="s">
        <v>7</v>
      </c>
      <c r="F67">
        <v>2</v>
      </c>
    </row>
    <row r="68" spans="1:6" x14ac:dyDescent="0.25">
      <c r="A68" s="15" t="s">
        <v>726</v>
      </c>
      <c r="B68" t="s">
        <v>574</v>
      </c>
      <c r="C68">
        <v>20527197</v>
      </c>
      <c r="D68" t="s">
        <v>575</v>
      </c>
      <c r="E68" t="s">
        <v>7</v>
      </c>
      <c r="F68">
        <v>2</v>
      </c>
    </row>
    <row r="69" spans="1:6" x14ac:dyDescent="0.25">
      <c r="A69" s="15" t="s">
        <v>726</v>
      </c>
      <c r="B69" t="s">
        <v>624</v>
      </c>
      <c r="C69">
        <v>20527180</v>
      </c>
      <c r="D69" t="s">
        <v>625</v>
      </c>
      <c r="E69" t="s">
        <v>7</v>
      </c>
      <c r="F69">
        <v>2</v>
      </c>
    </row>
    <row r="70" spans="1:6" x14ac:dyDescent="0.25">
      <c r="A70" s="15" t="s">
        <v>726</v>
      </c>
      <c r="B70" t="s">
        <v>657</v>
      </c>
      <c r="C70">
        <v>20527180</v>
      </c>
      <c r="D70" t="s">
        <v>658</v>
      </c>
      <c r="E70" t="s">
        <v>7</v>
      </c>
      <c r="F70">
        <v>2</v>
      </c>
    </row>
    <row r="71" spans="1:6" x14ac:dyDescent="0.25">
      <c r="A71" s="15" t="s">
        <v>726</v>
      </c>
      <c r="B71" t="s">
        <v>689</v>
      </c>
      <c r="C71">
        <v>20527180</v>
      </c>
      <c r="D71" t="s">
        <v>690</v>
      </c>
      <c r="E71" t="s">
        <v>7</v>
      </c>
      <c r="F71">
        <v>2</v>
      </c>
    </row>
    <row r="72" spans="1:6" x14ac:dyDescent="0.25">
      <c r="A72" s="17" t="s">
        <v>197</v>
      </c>
      <c r="B72" t="s">
        <v>157</v>
      </c>
      <c r="C72">
        <v>20527180</v>
      </c>
      <c r="D72" t="s">
        <v>158</v>
      </c>
      <c r="E72" t="s">
        <v>7</v>
      </c>
      <c r="F72">
        <v>2</v>
      </c>
    </row>
    <row r="73" spans="1:6" x14ac:dyDescent="0.25">
      <c r="A73" s="13" t="s">
        <v>50</v>
      </c>
      <c r="B73" t="s">
        <v>34</v>
      </c>
      <c r="C73">
        <v>20527197</v>
      </c>
      <c r="D73" t="s">
        <v>35</v>
      </c>
      <c r="E73" t="s">
        <v>8</v>
      </c>
      <c r="F73">
        <v>3</v>
      </c>
    </row>
    <row r="74" spans="1:6" x14ac:dyDescent="0.25">
      <c r="A74" s="14" t="s">
        <v>141</v>
      </c>
      <c r="B74" t="s">
        <v>89</v>
      </c>
      <c r="C74">
        <v>20527166</v>
      </c>
      <c r="D74" t="s">
        <v>90</v>
      </c>
      <c r="E74" t="s">
        <v>8</v>
      </c>
      <c r="F74">
        <v>3</v>
      </c>
    </row>
    <row r="75" spans="1:6" x14ac:dyDescent="0.25">
      <c r="A75" s="18" t="s">
        <v>371</v>
      </c>
      <c r="B75" t="s">
        <v>202</v>
      </c>
      <c r="C75">
        <v>20527197</v>
      </c>
      <c r="D75" t="s">
        <v>203</v>
      </c>
      <c r="E75" t="s">
        <v>8</v>
      </c>
      <c r="F75">
        <v>3</v>
      </c>
    </row>
    <row r="76" spans="1:6" x14ac:dyDescent="0.25">
      <c r="A76" s="18" t="s">
        <v>371</v>
      </c>
      <c r="B76" t="s">
        <v>244</v>
      </c>
      <c r="C76">
        <v>20527197</v>
      </c>
      <c r="D76" t="s">
        <v>245</v>
      </c>
      <c r="E76" t="s">
        <v>8</v>
      </c>
      <c r="F76">
        <v>3</v>
      </c>
    </row>
    <row r="77" spans="1:6" x14ac:dyDescent="0.25">
      <c r="A77" s="18" t="s">
        <v>371</v>
      </c>
      <c r="B77" t="s">
        <v>287</v>
      </c>
      <c r="C77">
        <v>20527197</v>
      </c>
      <c r="D77" t="s">
        <v>288</v>
      </c>
      <c r="E77" t="s">
        <v>8</v>
      </c>
      <c r="F77">
        <v>3</v>
      </c>
    </row>
    <row r="78" spans="1:6" x14ac:dyDescent="0.25">
      <c r="A78" s="18" t="s">
        <v>371</v>
      </c>
      <c r="B78">
        <v>3082973214</v>
      </c>
      <c r="C78">
        <v>20528625</v>
      </c>
      <c r="D78" t="s">
        <v>331</v>
      </c>
      <c r="E78" t="s">
        <v>8</v>
      </c>
      <c r="F78">
        <v>3</v>
      </c>
    </row>
    <row r="79" spans="1:6" x14ac:dyDescent="0.25">
      <c r="A79" s="18" t="s">
        <v>371</v>
      </c>
      <c r="B79" t="s">
        <v>367</v>
      </c>
      <c r="C79">
        <v>20527197</v>
      </c>
      <c r="D79" t="s">
        <v>368</v>
      </c>
      <c r="E79" t="s">
        <v>8</v>
      </c>
      <c r="F79">
        <v>3</v>
      </c>
    </row>
    <row r="80" spans="1:6" x14ac:dyDescent="0.25">
      <c r="A80" s="15" t="s">
        <v>726</v>
      </c>
      <c r="B80" t="s">
        <v>402</v>
      </c>
      <c r="C80">
        <v>20527185</v>
      </c>
      <c r="D80" t="s">
        <v>403</v>
      </c>
      <c r="E80" t="s">
        <v>8</v>
      </c>
      <c r="F80">
        <v>3</v>
      </c>
    </row>
    <row r="81" spans="1:6" x14ac:dyDescent="0.25">
      <c r="A81" s="15" t="s">
        <v>726</v>
      </c>
      <c r="B81" t="s">
        <v>442</v>
      </c>
      <c r="C81">
        <v>20527180</v>
      </c>
      <c r="D81" t="s">
        <v>443</v>
      </c>
      <c r="E81" t="s">
        <v>8</v>
      </c>
      <c r="F81">
        <v>3</v>
      </c>
    </row>
    <row r="82" spans="1:6" x14ac:dyDescent="0.25">
      <c r="A82" s="15" t="s">
        <v>726</v>
      </c>
      <c r="B82" t="s">
        <v>473</v>
      </c>
      <c r="C82">
        <v>20527197</v>
      </c>
      <c r="D82" t="s">
        <v>474</v>
      </c>
      <c r="E82" t="s">
        <v>8</v>
      </c>
      <c r="F82">
        <v>3</v>
      </c>
    </row>
    <row r="83" spans="1:6" x14ac:dyDescent="0.25">
      <c r="A83" s="15" t="s">
        <v>726</v>
      </c>
      <c r="B83" t="s">
        <v>509</v>
      </c>
      <c r="C83">
        <v>20527197</v>
      </c>
      <c r="D83" t="s">
        <v>510</v>
      </c>
      <c r="E83" t="s">
        <v>8</v>
      </c>
      <c r="F83">
        <v>3</v>
      </c>
    </row>
    <row r="84" spans="1:6" x14ac:dyDescent="0.25">
      <c r="A84" s="15" t="s">
        <v>726</v>
      </c>
      <c r="B84" t="s">
        <v>547</v>
      </c>
      <c r="C84">
        <v>20527197</v>
      </c>
      <c r="D84" t="s">
        <v>548</v>
      </c>
      <c r="E84" t="s">
        <v>8</v>
      </c>
      <c r="F84">
        <v>3</v>
      </c>
    </row>
    <row r="85" spans="1:6" x14ac:dyDescent="0.25">
      <c r="A85" s="15" t="s">
        <v>726</v>
      </c>
      <c r="B85" t="s">
        <v>586</v>
      </c>
      <c r="C85">
        <v>20527180</v>
      </c>
      <c r="D85" t="s">
        <v>587</v>
      </c>
      <c r="E85" t="s">
        <v>8</v>
      </c>
      <c r="F85">
        <v>3</v>
      </c>
    </row>
    <row r="86" spans="1:6" x14ac:dyDescent="0.25">
      <c r="A86" s="15" t="s">
        <v>726</v>
      </c>
      <c r="B86" t="s">
        <v>614</v>
      </c>
      <c r="C86">
        <v>60729406</v>
      </c>
      <c r="D86" t="s">
        <v>615</v>
      </c>
      <c r="E86" t="s">
        <v>8</v>
      </c>
      <c r="F86">
        <v>3</v>
      </c>
    </row>
    <row r="87" spans="1:6" x14ac:dyDescent="0.25">
      <c r="A87" s="15" t="s">
        <v>726</v>
      </c>
      <c r="B87" t="s">
        <v>671</v>
      </c>
      <c r="C87">
        <v>20527193</v>
      </c>
      <c r="D87" t="s">
        <v>672</v>
      </c>
      <c r="E87" t="s">
        <v>8</v>
      </c>
      <c r="F87">
        <v>3</v>
      </c>
    </row>
    <row r="88" spans="1:6" x14ac:dyDescent="0.25">
      <c r="A88" s="15" t="s">
        <v>726</v>
      </c>
      <c r="B88" t="s">
        <v>702</v>
      </c>
      <c r="C88">
        <v>20527180</v>
      </c>
      <c r="D88" t="s">
        <v>703</v>
      </c>
      <c r="E88" t="s">
        <v>8</v>
      </c>
      <c r="F88">
        <v>3</v>
      </c>
    </row>
    <row r="89" spans="1:6" x14ac:dyDescent="0.25">
      <c r="A89" s="17" t="s">
        <v>197</v>
      </c>
      <c r="B89">
        <v>3080968608</v>
      </c>
      <c r="C89">
        <v>70027854</v>
      </c>
      <c r="D89" t="s">
        <v>146</v>
      </c>
      <c r="E89" t="s">
        <v>8</v>
      </c>
      <c r="F89">
        <v>3</v>
      </c>
    </row>
    <row r="90" spans="1:6" x14ac:dyDescent="0.25">
      <c r="A90" s="17" t="s">
        <v>197</v>
      </c>
      <c r="B90" t="s">
        <v>178</v>
      </c>
      <c r="C90">
        <v>20527180</v>
      </c>
      <c r="D90" t="s">
        <v>179</v>
      </c>
      <c r="E90" t="s">
        <v>8</v>
      </c>
      <c r="F90">
        <v>3</v>
      </c>
    </row>
    <row r="91" spans="1:6" x14ac:dyDescent="0.25">
      <c r="A91" s="13" t="s">
        <v>50</v>
      </c>
      <c r="B91" t="s">
        <v>24</v>
      </c>
      <c r="C91">
        <v>20527202</v>
      </c>
      <c r="D91" t="s">
        <v>25</v>
      </c>
      <c r="E91" t="s">
        <v>7</v>
      </c>
      <c r="F91">
        <v>3</v>
      </c>
    </row>
    <row r="92" spans="1:6" x14ac:dyDescent="0.25">
      <c r="A92" s="12" t="s">
        <v>61</v>
      </c>
      <c r="B92" t="s">
        <v>51</v>
      </c>
      <c r="C92">
        <v>20527197</v>
      </c>
      <c r="D92" t="s">
        <v>52</v>
      </c>
      <c r="E92" t="s">
        <v>7</v>
      </c>
      <c r="F92">
        <v>3</v>
      </c>
    </row>
    <row r="93" spans="1:6" x14ac:dyDescent="0.25">
      <c r="A93" s="14" t="s">
        <v>141</v>
      </c>
      <c r="B93" t="s">
        <v>83</v>
      </c>
      <c r="C93">
        <v>20527197</v>
      </c>
      <c r="D93" t="s">
        <v>84</v>
      </c>
      <c r="E93" t="s">
        <v>7</v>
      </c>
      <c r="F93">
        <v>3</v>
      </c>
    </row>
    <row r="94" spans="1:6" x14ac:dyDescent="0.25">
      <c r="A94" s="14" t="s">
        <v>141</v>
      </c>
      <c r="B94" t="s">
        <v>121</v>
      </c>
      <c r="C94">
        <v>20527185</v>
      </c>
      <c r="D94" t="s">
        <v>122</v>
      </c>
      <c r="E94" t="s">
        <v>7</v>
      </c>
      <c r="F94">
        <v>3</v>
      </c>
    </row>
    <row r="95" spans="1:6" x14ac:dyDescent="0.25">
      <c r="A95" s="18" t="s">
        <v>371</v>
      </c>
      <c r="B95" t="s">
        <v>208</v>
      </c>
      <c r="C95">
        <v>20583367</v>
      </c>
      <c r="D95" t="s">
        <v>209</v>
      </c>
      <c r="E95" t="s">
        <v>7</v>
      </c>
      <c r="F95">
        <v>3</v>
      </c>
    </row>
    <row r="96" spans="1:6" x14ac:dyDescent="0.25">
      <c r="A96" s="18" t="s">
        <v>371</v>
      </c>
      <c r="B96" t="s">
        <v>246</v>
      </c>
      <c r="C96">
        <v>20527180</v>
      </c>
      <c r="D96" t="s">
        <v>247</v>
      </c>
      <c r="E96" t="s">
        <v>7</v>
      </c>
      <c r="F96">
        <v>3</v>
      </c>
    </row>
    <row r="97" spans="1:6" x14ac:dyDescent="0.25">
      <c r="A97" s="18" t="s">
        <v>371</v>
      </c>
      <c r="B97">
        <v>3094339612</v>
      </c>
      <c r="C97">
        <v>20566545</v>
      </c>
      <c r="D97" t="s">
        <v>280</v>
      </c>
      <c r="E97" t="s">
        <v>7</v>
      </c>
      <c r="F97">
        <v>3</v>
      </c>
    </row>
    <row r="98" spans="1:6" x14ac:dyDescent="0.25">
      <c r="A98" s="18" t="s">
        <v>371</v>
      </c>
      <c r="B98" t="s">
        <v>309</v>
      </c>
      <c r="C98">
        <v>20531242</v>
      </c>
      <c r="D98" t="s">
        <v>310</v>
      </c>
      <c r="E98" t="s">
        <v>7</v>
      </c>
      <c r="F98">
        <v>3</v>
      </c>
    </row>
    <row r="99" spans="1:6" x14ac:dyDescent="0.25">
      <c r="A99" s="18" t="s">
        <v>371</v>
      </c>
      <c r="B99" t="s">
        <v>349</v>
      </c>
      <c r="C99">
        <v>20527197</v>
      </c>
      <c r="D99" t="s">
        <v>350</v>
      </c>
      <c r="E99" t="s">
        <v>7</v>
      </c>
      <c r="F99">
        <v>3</v>
      </c>
    </row>
    <row r="100" spans="1:6" x14ac:dyDescent="0.25">
      <c r="A100" s="15" t="s">
        <v>726</v>
      </c>
      <c r="B100" t="s">
        <v>396</v>
      </c>
      <c r="C100">
        <v>20527197</v>
      </c>
      <c r="D100" t="s">
        <v>397</v>
      </c>
      <c r="E100" t="s">
        <v>7</v>
      </c>
      <c r="F100">
        <v>3</v>
      </c>
    </row>
    <row r="101" spans="1:6" x14ac:dyDescent="0.25">
      <c r="A101" s="15" t="s">
        <v>726</v>
      </c>
      <c r="B101" t="s">
        <v>438</v>
      </c>
      <c r="C101">
        <v>20527180</v>
      </c>
      <c r="D101" t="s">
        <v>439</v>
      </c>
      <c r="E101" t="s">
        <v>7</v>
      </c>
      <c r="F101">
        <v>3</v>
      </c>
    </row>
    <row r="102" spans="1:6" x14ac:dyDescent="0.25">
      <c r="A102" s="15" t="s">
        <v>726</v>
      </c>
      <c r="B102" t="s">
        <v>493</v>
      </c>
      <c r="C102">
        <v>20527197</v>
      </c>
      <c r="D102" t="s">
        <v>494</v>
      </c>
      <c r="E102" t="s">
        <v>7</v>
      </c>
      <c r="F102">
        <v>3</v>
      </c>
    </row>
    <row r="103" spans="1:6" x14ac:dyDescent="0.25">
      <c r="A103" s="15" t="s">
        <v>726</v>
      </c>
      <c r="B103" t="s">
        <v>531</v>
      </c>
      <c r="C103">
        <v>20527169</v>
      </c>
      <c r="D103" t="s">
        <v>532</v>
      </c>
      <c r="E103" t="s">
        <v>7</v>
      </c>
      <c r="F103">
        <v>3</v>
      </c>
    </row>
    <row r="104" spans="1:6" x14ac:dyDescent="0.25">
      <c r="A104" s="15" t="s">
        <v>726</v>
      </c>
      <c r="B104" t="s">
        <v>576</v>
      </c>
      <c r="C104">
        <v>20583411</v>
      </c>
      <c r="D104" t="s">
        <v>577</v>
      </c>
      <c r="E104" t="s">
        <v>7</v>
      </c>
      <c r="F104">
        <v>3</v>
      </c>
    </row>
    <row r="105" spans="1:6" x14ac:dyDescent="0.25">
      <c r="A105" s="15" t="s">
        <v>726</v>
      </c>
      <c r="B105" t="s">
        <v>630</v>
      </c>
      <c r="C105">
        <v>20527197</v>
      </c>
      <c r="D105" t="s">
        <v>631</v>
      </c>
      <c r="E105" t="s">
        <v>7</v>
      </c>
      <c r="F105">
        <v>3</v>
      </c>
    </row>
    <row r="106" spans="1:6" x14ac:dyDescent="0.25">
      <c r="A106" s="15" t="s">
        <v>726</v>
      </c>
      <c r="B106" t="s">
        <v>659</v>
      </c>
      <c r="C106">
        <v>20527180</v>
      </c>
      <c r="D106" t="s">
        <v>660</v>
      </c>
      <c r="E106" t="s">
        <v>7</v>
      </c>
      <c r="F106">
        <v>3</v>
      </c>
    </row>
    <row r="107" spans="1:6" x14ac:dyDescent="0.25">
      <c r="A107" s="15" t="s">
        <v>726</v>
      </c>
      <c r="B107" t="s">
        <v>691</v>
      </c>
      <c r="C107">
        <v>69980589</v>
      </c>
      <c r="D107" t="s">
        <v>692</v>
      </c>
      <c r="E107" t="s">
        <v>7</v>
      </c>
      <c r="F107">
        <v>3</v>
      </c>
    </row>
    <row r="108" spans="1:6" x14ac:dyDescent="0.25">
      <c r="A108" s="17" t="s">
        <v>197</v>
      </c>
      <c r="B108" t="s">
        <v>159</v>
      </c>
      <c r="C108">
        <v>20583363</v>
      </c>
      <c r="D108" t="s">
        <v>160</v>
      </c>
      <c r="E108" t="s">
        <v>7</v>
      </c>
      <c r="F108">
        <v>3</v>
      </c>
    </row>
    <row r="109" spans="1:6" x14ac:dyDescent="0.25">
      <c r="A109" s="13" t="s">
        <v>50</v>
      </c>
      <c r="B109" t="s">
        <v>46</v>
      </c>
      <c r="C109">
        <v>20527166</v>
      </c>
      <c r="D109" t="s">
        <v>47</v>
      </c>
      <c r="E109" t="s">
        <v>8</v>
      </c>
      <c r="F109">
        <v>4</v>
      </c>
    </row>
    <row r="110" spans="1:6" x14ac:dyDescent="0.25">
      <c r="A110" s="14" t="s">
        <v>141</v>
      </c>
      <c r="B110" t="s">
        <v>93</v>
      </c>
      <c r="C110">
        <v>20527180</v>
      </c>
      <c r="D110" t="s">
        <v>94</v>
      </c>
      <c r="E110" t="s">
        <v>8</v>
      </c>
      <c r="F110">
        <v>4</v>
      </c>
    </row>
    <row r="111" spans="1:6" x14ac:dyDescent="0.25">
      <c r="A111" s="18" t="s">
        <v>371</v>
      </c>
      <c r="B111" t="s">
        <v>206</v>
      </c>
      <c r="C111">
        <v>20527185</v>
      </c>
      <c r="D111" t="s">
        <v>207</v>
      </c>
      <c r="E111" t="s">
        <v>8</v>
      </c>
      <c r="F111">
        <v>4</v>
      </c>
    </row>
    <row r="112" spans="1:6" x14ac:dyDescent="0.25">
      <c r="A112" s="18" t="s">
        <v>371</v>
      </c>
      <c r="B112" t="s">
        <v>248</v>
      </c>
      <c r="C112">
        <v>20583367</v>
      </c>
      <c r="D112" t="s">
        <v>249</v>
      </c>
      <c r="E112" t="s">
        <v>8</v>
      </c>
      <c r="F112">
        <v>4</v>
      </c>
    </row>
    <row r="113" spans="1:6" x14ac:dyDescent="0.25">
      <c r="A113" s="18" t="s">
        <v>371</v>
      </c>
      <c r="B113" t="s">
        <v>291</v>
      </c>
      <c r="C113">
        <v>20527197</v>
      </c>
      <c r="D113" t="s">
        <v>292</v>
      </c>
      <c r="E113" t="s">
        <v>8</v>
      </c>
      <c r="F113">
        <v>4</v>
      </c>
    </row>
    <row r="114" spans="1:6" x14ac:dyDescent="0.25">
      <c r="A114" s="18" t="s">
        <v>371</v>
      </c>
      <c r="B114" t="s">
        <v>332</v>
      </c>
      <c r="C114">
        <v>20528625</v>
      </c>
      <c r="D114" t="s">
        <v>333</v>
      </c>
      <c r="E114" t="s">
        <v>8</v>
      </c>
      <c r="F114">
        <v>4</v>
      </c>
    </row>
    <row r="115" spans="1:6" x14ac:dyDescent="0.25">
      <c r="A115" s="15" t="s">
        <v>726</v>
      </c>
      <c r="B115" t="s">
        <v>378</v>
      </c>
      <c r="C115">
        <v>20527180</v>
      </c>
      <c r="D115" t="s">
        <v>379</v>
      </c>
      <c r="E115" t="s">
        <v>8</v>
      </c>
      <c r="F115">
        <v>4</v>
      </c>
    </row>
    <row r="116" spans="1:6" x14ac:dyDescent="0.25">
      <c r="A116" s="15" t="s">
        <v>726</v>
      </c>
      <c r="B116" t="s">
        <v>404</v>
      </c>
      <c r="C116">
        <v>20527180</v>
      </c>
      <c r="D116" t="s">
        <v>405</v>
      </c>
      <c r="E116" t="s">
        <v>8</v>
      </c>
      <c r="F116">
        <v>4</v>
      </c>
    </row>
    <row r="117" spans="1:6" x14ac:dyDescent="0.25">
      <c r="A117" s="15" t="s">
        <v>726</v>
      </c>
      <c r="B117" t="s">
        <v>448</v>
      </c>
      <c r="C117">
        <v>20527180</v>
      </c>
      <c r="D117" t="s">
        <v>449</v>
      </c>
      <c r="E117" t="s">
        <v>8</v>
      </c>
      <c r="F117">
        <v>4</v>
      </c>
    </row>
    <row r="118" spans="1:6" x14ac:dyDescent="0.25">
      <c r="A118" s="15" t="s">
        <v>726</v>
      </c>
      <c r="B118" t="s">
        <v>479</v>
      </c>
      <c r="C118">
        <v>20527197</v>
      </c>
      <c r="D118" t="s">
        <v>480</v>
      </c>
      <c r="E118" t="s">
        <v>8</v>
      </c>
      <c r="F118">
        <v>4</v>
      </c>
    </row>
    <row r="119" spans="1:6" x14ac:dyDescent="0.25">
      <c r="A119" s="15" t="s">
        <v>726</v>
      </c>
      <c r="B119" t="s">
        <v>511</v>
      </c>
      <c r="C119">
        <v>20566545</v>
      </c>
      <c r="D119" t="s">
        <v>512</v>
      </c>
      <c r="E119" t="s">
        <v>8</v>
      </c>
      <c r="F119">
        <v>4</v>
      </c>
    </row>
    <row r="120" spans="1:6" x14ac:dyDescent="0.25">
      <c r="A120" s="15" t="s">
        <v>726</v>
      </c>
      <c r="B120" t="s">
        <v>549</v>
      </c>
      <c r="C120">
        <v>20527197</v>
      </c>
      <c r="D120" t="s">
        <v>550</v>
      </c>
      <c r="E120" t="s">
        <v>8</v>
      </c>
      <c r="F120">
        <v>4</v>
      </c>
    </row>
    <row r="121" spans="1:6" x14ac:dyDescent="0.25">
      <c r="A121" s="15" t="s">
        <v>726</v>
      </c>
      <c r="B121" t="s">
        <v>588</v>
      </c>
      <c r="C121">
        <v>20527197</v>
      </c>
      <c r="D121" t="s">
        <v>589</v>
      </c>
      <c r="E121" t="s">
        <v>8</v>
      </c>
      <c r="F121">
        <v>4</v>
      </c>
    </row>
    <row r="122" spans="1:6" x14ac:dyDescent="0.25">
      <c r="A122" s="15" t="s">
        <v>726</v>
      </c>
      <c r="B122" t="s">
        <v>616</v>
      </c>
      <c r="C122">
        <v>20579418</v>
      </c>
      <c r="D122" t="s">
        <v>617</v>
      </c>
      <c r="E122" t="s">
        <v>8</v>
      </c>
      <c r="F122">
        <v>4</v>
      </c>
    </row>
    <row r="123" spans="1:6" x14ac:dyDescent="0.25">
      <c r="A123" s="15" t="s">
        <v>726</v>
      </c>
      <c r="B123" t="s">
        <v>675</v>
      </c>
      <c r="C123">
        <v>20566545</v>
      </c>
      <c r="D123" t="s">
        <v>676</v>
      </c>
      <c r="E123" t="s">
        <v>8</v>
      </c>
      <c r="F123">
        <v>4</v>
      </c>
    </row>
    <row r="124" spans="1:6" x14ac:dyDescent="0.25">
      <c r="A124" s="15" t="s">
        <v>726</v>
      </c>
      <c r="B124" t="s">
        <v>706</v>
      </c>
      <c r="C124">
        <v>20527180</v>
      </c>
      <c r="D124" t="s">
        <v>707</v>
      </c>
      <c r="E124" t="s">
        <v>8</v>
      </c>
      <c r="F124">
        <v>4</v>
      </c>
    </row>
    <row r="125" spans="1:6" x14ac:dyDescent="0.25">
      <c r="A125" s="17" t="s">
        <v>197</v>
      </c>
      <c r="B125" t="s">
        <v>149</v>
      </c>
      <c r="C125">
        <v>20527195</v>
      </c>
      <c r="D125" t="s">
        <v>150</v>
      </c>
      <c r="E125" t="s">
        <v>8</v>
      </c>
      <c r="F125">
        <v>4</v>
      </c>
    </row>
    <row r="126" spans="1:6" x14ac:dyDescent="0.25">
      <c r="A126" s="17" t="s">
        <v>197</v>
      </c>
      <c r="B126" t="s">
        <v>180</v>
      </c>
      <c r="C126">
        <v>20527169</v>
      </c>
      <c r="D126" t="s">
        <v>181</v>
      </c>
      <c r="E126" t="s">
        <v>8</v>
      </c>
      <c r="F126">
        <v>4</v>
      </c>
    </row>
    <row r="127" spans="1:6" x14ac:dyDescent="0.25">
      <c r="A127" s="13" t="s">
        <v>50</v>
      </c>
      <c r="B127" t="s">
        <v>26</v>
      </c>
      <c r="C127">
        <v>20527202</v>
      </c>
      <c r="D127" t="s">
        <v>27</v>
      </c>
      <c r="E127" t="s">
        <v>7</v>
      </c>
      <c r="F127">
        <v>4</v>
      </c>
    </row>
    <row r="128" spans="1:6" x14ac:dyDescent="0.25">
      <c r="A128" s="12" t="s">
        <v>61</v>
      </c>
      <c r="B128" t="s">
        <v>53</v>
      </c>
      <c r="C128">
        <v>20527197</v>
      </c>
      <c r="D128" t="s">
        <v>54</v>
      </c>
      <c r="E128" t="s">
        <v>7</v>
      </c>
      <c r="F128">
        <v>4</v>
      </c>
    </row>
    <row r="129" spans="1:6" x14ac:dyDescent="0.25">
      <c r="A129" s="14" t="s">
        <v>141</v>
      </c>
      <c r="B129" t="s">
        <v>85</v>
      </c>
      <c r="C129">
        <v>20527197</v>
      </c>
      <c r="D129" t="s">
        <v>86</v>
      </c>
      <c r="E129" t="s">
        <v>7</v>
      </c>
      <c r="F129">
        <v>4</v>
      </c>
    </row>
    <row r="130" spans="1:6" x14ac:dyDescent="0.25">
      <c r="A130" s="14" t="s">
        <v>141</v>
      </c>
      <c r="B130" t="s">
        <v>123</v>
      </c>
      <c r="C130">
        <v>20529915</v>
      </c>
      <c r="D130" t="s">
        <v>124</v>
      </c>
      <c r="E130" t="s">
        <v>7</v>
      </c>
      <c r="F130">
        <v>4</v>
      </c>
    </row>
    <row r="131" spans="1:6" x14ac:dyDescent="0.25">
      <c r="A131" s="18" t="s">
        <v>371</v>
      </c>
      <c r="B131" t="s">
        <v>212</v>
      </c>
      <c r="C131">
        <v>20583367</v>
      </c>
      <c r="D131" t="s">
        <v>213</v>
      </c>
      <c r="E131" t="s">
        <v>7</v>
      </c>
      <c r="F131">
        <v>4</v>
      </c>
    </row>
    <row r="132" spans="1:6" x14ac:dyDescent="0.25">
      <c r="A132" s="18" t="s">
        <v>371</v>
      </c>
      <c r="B132">
        <v>3099461393</v>
      </c>
      <c r="C132">
        <v>20528625</v>
      </c>
      <c r="D132" t="s">
        <v>252</v>
      </c>
      <c r="E132" t="s">
        <v>7</v>
      </c>
      <c r="F132">
        <v>4</v>
      </c>
    </row>
    <row r="133" spans="1:6" x14ac:dyDescent="0.25">
      <c r="A133" s="18" t="s">
        <v>371</v>
      </c>
      <c r="B133" t="s">
        <v>281</v>
      </c>
      <c r="C133">
        <v>20527197</v>
      </c>
      <c r="D133" t="s">
        <v>282</v>
      </c>
      <c r="E133" t="s">
        <v>7</v>
      </c>
      <c r="F133">
        <v>4</v>
      </c>
    </row>
    <row r="134" spans="1:6" x14ac:dyDescent="0.25">
      <c r="A134" s="18" t="s">
        <v>371</v>
      </c>
      <c r="B134" t="s">
        <v>313</v>
      </c>
      <c r="C134">
        <v>20527197</v>
      </c>
      <c r="D134" t="s">
        <v>314</v>
      </c>
      <c r="E134" t="s">
        <v>7</v>
      </c>
      <c r="F134">
        <v>4</v>
      </c>
    </row>
    <row r="135" spans="1:6" x14ac:dyDescent="0.25">
      <c r="A135" s="18" t="s">
        <v>371</v>
      </c>
      <c r="B135" t="s">
        <v>353</v>
      </c>
      <c r="C135">
        <v>20527197</v>
      </c>
      <c r="D135" t="s">
        <v>354</v>
      </c>
      <c r="E135" t="s">
        <v>7</v>
      </c>
      <c r="F135">
        <v>4</v>
      </c>
    </row>
    <row r="136" spans="1:6" x14ac:dyDescent="0.25">
      <c r="A136" s="15" t="s">
        <v>726</v>
      </c>
      <c r="B136" t="s">
        <v>406</v>
      </c>
      <c r="C136">
        <v>20527197</v>
      </c>
      <c r="D136" t="s">
        <v>407</v>
      </c>
      <c r="E136" t="s">
        <v>7</v>
      </c>
      <c r="F136">
        <v>4</v>
      </c>
    </row>
    <row r="137" spans="1:6" x14ac:dyDescent="0.25">
      <c r="A137" s="15" t="s">
        <v>726</v>
      </c>
      <c r="B137" t="s">
        <v>444</v>
      </c>
      <c r="C137">
        <v>20527197</v>
      </c>
      <c r="D137" t="s">
        <v>445</v>
      </c>
      <c r="E137" t="s">
        <v>7</v>
      </c>
      <c r="F137">
        <v>4</v>
      </c>
    </row>
    <row r="138" spans="1:6" x14ac:dyDescent="0.25">
      <c r="A138" s="15" t="s">
        <v>726</v>
      </c>
      <c r="B138" t="s">
        <v>495</v>
      </c>
      <c r="C138">
        <v>20583367</v>
      </c>
      <c r="D138" t="s">
        <v>496</v>
      </c>
      <c r="E138" t="s">
        <v>7</v>
      </c>
      <c r="F138">
        <v>4</v>
      </c>
    </row>
    <row r="139" spans="1:6" x14ac:dyDescent="0.25">
      <c r="A139" s="15" t="s">
        <v>726</v>
      </c>
      <c r="B139" t="s">
        <v>537</v>
      </c>
      <c r="C139">
        <v>20527180</v>
      </c>
      <c r="D139" t="s">
        <v>538</v>
      </c>
      <c r="E139" t="s">
        <v>7</v>
      </c>
      <c r="F139">
        <v>4</v>
      </c>
    </row>
    <row r="140" spans="1:6" x14ac:dyDescent="0.25">
      <c r="A140" s="15" t="s">
        <v>726</v>
      </c>
      <c r="B140" t="s">
        <v>578</v>
      </c>
      <c r="C140">
        <v>20527180</v>
      </c>
      <c r="D140" t="s">
        <v>579</v>
      </c>
      <c r="E140" t="s">
        <v>7</v>
      </c>
      <c r="F140">
        <v>4</v>
      </c>
    </row>
    <row r="141" spans="1:6" x14ac:dyDescent="0.25">
      <c r="A141" s="15" t="s">
        <v>726</v>
      </c>
      <c r="B141" t="s">
        <v>634</v>
      </c>
      <c r="C141">
        <v>20527197</v>
      </c>
      <c r="D141" t="s">
        <v>635</v>
      </c>
      <c r="E141" t="s">
        <v>7</v>
      </c>
      <c r="F141">
        <v>4</v>
      </c>
    </row>
    <row r="142" spans="1:6" x14ac:dyDescent="0.25">
      <c r="A142" s="15" t="s">
        <v>726</v>
      </c>
      <c r="B142" t="s">
        <v>661</v>
      </c>
      <c r="C142">
        <v>20566545</v>
      </c>
      <c r="D142" t="s">
        <v>662</v>
      </c>
      <c r="E142" t="s">
        <v>7</v>
      </c>
      <c r="F142">
        <v>4</v>
      </c>
    </row>
    <row r="143" spans="1:6" x14ac:dyDescent="0.25">
      <c r="A143" s="15" t="s">
        <v>726</v>
      </c>
      <c r="B143">
        <v>3089324280</v>
      </c>
      <c r="C143">
        <v>20566545</v>
      </c>
      <c r="D143" t="s">
        <v>701</v>
      </c>
      <c r="E143" t="s">
        <v>7</v>
      </c>
      <c r="F143">
        <v>4</v>
      </c>
    </row>
    <row r="144" spans="1:6" x14ac:dyDescent="0.25">
      <c r="A144" s="17" t="s">
        <v>197</v>
      </c>
      <c r="B144" t="s">
        <v>163</v>
      </c>
      <c r="C144">
        <v>20527197</v>
      </c>
      <c r="D144" t="s">
        <v>164</v>
      </c>
      <c r="E144" t="s">
        <v>7</v>
      </c>
      <c r="F144">
        <v>4</v>
      </c>
    </row>
    <row r="145" spans="1:6" x14ac:dyDescent="0.25">
      <c r="A145" s="13" t="s">
        <v>50</v>
      </c>
      <c r="B145" t="s">
        <v>48</v>
      </c>
      <c r="C145">
        <v>20527197</v>
      </c>
      <c r="D145" t="s">
        <v>49</v>
      </c>
      <c r="E145" t="s">
        <v>8</v>
      </c>
      <c r="F145">
        <v>5</v>
      </c>
    </row>
    <row r="146" spans="1:6" x14ac:dyDescent="0.25">
      <c r="A146" s="14" t="s">
        <v>141</v>
      </c>
      <c r="B146" t="s">
        <v>99</v>
      </c>
      <c r="C146">
        <v>20527180</v>
      </c>
      <c r="D146" t="s">
        <v>100</v>
      </c>
      <c r="E146" t="s">
        <v>8</v>
      </c>
      <c r="F146">
        <v>5</v>
      </c>
    </row>
    <row r="147" spans="1:6" x14ac:dyDescent="0.25">
      <c r="A147" s="18" t="s">
        <v>371</v>
      </c>
      <c r="B147" t="s">
        <v>210</v>
      </c>
      <c r="C147">
        <v>20583367</v>
      </c>
      <c r="D147" t="s">
        <v>211</v>
      </c>
      <c r="E147" t="s">
        <v>8</v>
      </c>
      <c r="F147">
        <v>5</v>
      </c>
    </row>
    <row r="148" spans="1:6" x14ac:dyDescent="0.25">
      <c r="A148" s="18" t="s">
        <v>371</v>
      </c>
      <c r="B148" t="s">
        <v>250</v>
      </c>
      <c r="C148">
        <v>20527197</v>
      </c>
      <c r="D148" t="s">
        <v>251</v>
      </c>
      <c r="E148" t="s">
        <v>8</v>
      </c>
      <c r="F148">
        <v>5</v>
      </c>
    </row>
    <row r="149" spans="1:6" x14ac:dyDescent="0.25">
      <c r="A149" s="18" t="s">
        <v>371</v>
      </c>
      <c r="B149" t="s">
        <v>293</v>
      </c>
      <c r="C149">
        <v>20527197</v>
      </c>
      <c r="D149" t="s">
        <v>294</v>
      </c>
      <c r="E149" t="s">
        <v>8</v>
      </c>
      <c r="F149">
        <v>5</v>
      </c>
    </row>
    <row r="150" spans="1:6" x14ac:dyDescent="0.25">
      <c r="A150" s="18" t="s">
        <v>371</v>
      </c>
      <c r="B150" t="s">
        <v>334</v>
      </c>
      <c r="C150">
        <v>20529909</v>
      </c>
      <c r="D150" t="s">
        <v>335</v>
      </c>
      <c r="E150" t="s">
        <v>8</v>
      </c>
      <c r="F150">
        <v>5</v>
      </c>
    </row>
    <row r="151" spans="1:6" x14ac:dyDescent="0.25">
      <c r="A151" s="15" t="s">
        <v>726</v>
      </c>
      <c r="B151" t="s">
        <v>380</v>
      </c>
      <c r="C151">
        <v>20527197</v>
      </c>
      <c r="D151" t="s">
        <v>381</v>
      </c>
      <c r="E151" t="s">
        <v>8</v>
      </c>
      <c r="F151">
        <v>5</v>
      </c>
    </row>
    <row r="152" spans="1:6" x14ac:dyDescent="0.25">
      <c r="A152" s="15" t="s">
        <v>726</v>
      </c>
      <c r="B152" t="s">
        <v>408</v>
      </c>
      <c r="C152">
        <v>20527190</v>
      </c>
      <c r="D152" t="s">
        <v>409</v>
      </c>
      <c r="E152" t="s">
        <v>8</v>
      </c>
      <c r="F152">
        <v>5</v>
      </c>
    </row>
    <row r="153" spans="1:6" x14ac:dyDescent="0.25">
      <c r="A153" s="15" t="s">
        <v>726</v>
      </c>
      <c r="B153" t="s">
        <v>450</v>
      </c>
      <c r="C153">
        <v>20527180</v>
      </c>
      <c r="D153" t="s">
        <v>451</v>
      </c>
      <c r="E153" t="s">
        <v>8</v>
      </c>
      <c r="F153">
        <v>5</v>
      </c>
    </row>
    <row r="154" spans="1:6" x14ac:dyDescent="0.25">
      <c r="A154" s="15" t="s">
        <v>726</v>
      </c>
      <c r="B154" t="s">
        <v>483</v>
      </c>
      <c r="C154">
        <v>20527197</v>
      </c>
      <c r="D154" t="s">
        <v>484</v>
      </c>
      <c r="E154" t="s">
        <v>8</v>
      </c>
      <c r="F154">
        <v>5</v>
      </c>
    </row>
    <row r="155" spans="1:6" x14ac:dyDescent="0.25">
      <c r="A155" s="15" t="s">
        <v>726</v>
      </c>
      <c r="B155" t="s">
        <v>517</v>
      </c>
      <c r="C155">
        <v>20527180</v>
      </c>
      <c r="D155" t="s">
        <v>518</v>
      </c>
      <c r="E155" t="s">
        <v>8</v>
      </c>
      <c r="F155">
        <v>5</v>
      </c>
    </row>
    <row r="156" spans="1:6" x14ac:dyDescent="0.25">
      <c r="A156" s="15" t="s">
        <v>726</v>
      </c>
      <c r="B156" t="s">
        <v>551</v>
      </c>
      <c r="C156">
        <v>20527180</v>
      </c>
      <c r="D156" t="s">
        <v>552</v>
      </c>
      <c r="E156" t="s">
        <v>8</v>
      </c>
      <c r="F156">
        <v>5</v>
      </c>
    </row>
    <row r="157" spans="1:6" x14ac:dyDescent="0.25">
      <c r="A157" s="15" t="s">
        <v>726</v>
      </c>
      <c r="B157" t="s">
        <v>590</v>
      </c>
      <c r="C157">
        <v>20566545</v>
      </c>
      <c r="D157" t="s">
        <v>591</v>
      </c>
      <c r="E157" t="s">
        <v>8</v>
      </c>
      <c r="F157">
        <v>5</v>
      </c>
    </row>
    <row r="158" spans="1:6" x14ac:dyDescent="0.25">
      <c r="A158" s="15" t="s">
        <v>726</v>
      </c>
      <c r="B158" t="s">
        <v>618</v>
      </c>
      <c r="C158">
        <v>20527197</v>
      </c>
      <c r="D158" t="s">
        <v>619</v>
      </c>
      <c r="E158" t="s">
        <v>8</v>
      </c>
      <c r="F158">
        <v>5</v>
      </c>
    </row>
    <row r="159" spans="1:6" x14ac:dyDescent="0.25">
      <c r="A159" s="15" t="s">
        <v>726</v>
      </c>
      <c r="B159" t="s">
        <v>677</v>
      </c>
      <c r="C159">
        <v>20527203</v>
      </c>
      <c r="D159" t="s">
        <v>678</v>
      </c>
      <c r="E159" t="s">
        <v>8</v>
      </c>
      <c r="F159">
        <v>5</v>
      </c>
    </row>
    <row r="160" spans="1:6" x14ac:dyDescent="0.25">
      <c r="A160" s="15" t="s">
        <v>726</v>
      </c>
      <c r="B160" t="s">
        <v>710</v>
      </c>
      <c r="C160">
        <v>20566545</v>
      </c>
      <c r="D160" t="s">
        <v>711</v>
      </c>
      <c r="E160" t="s">
        <v>8</v>
      </c>
      <c r="F160">
        <v>5</v>
      </c>
    </row>
    <row r="161" spans="1:6" x14ac:dyDescent="0.25">
      <c r="A161" s="17" t="s">
        <v>197</v>
      </c>
      <c r="B161" t="s">
        <v>151</v>
      </c>
      <c r="C161">
        <v>20527193</v>
      </c>
      <c r="D161" t="s">
        <v>152</v>
      </c>
      <c r="E161" t="s">
        <v>8</v>
      </c>
      <c r="F161">
        <v>5</v>
      </c>
    </row>
    <row r="162" spans="1:6" x14ac:dyDescent="0.25">
      <c r="A162" s="17" t="s">
        <v>197</v>
      </c>
      <c r="B162" t="s">
        <v>182</v>
      </c>
      <c r="C162">
        <v>20527180</v>
      </c>
      <c r="D162" t="s">
        <v>183</v>
      </c>
      <c r="E162" t="s">
        <v>8</v>
      </c>
      <c r="F162">
        <v>5</v>
      </c>
    </row>
    <row r="163" spans="1:6" x14ac:dyDescent="0.25">
      <c r="A163" s="13" t="s">
        <v>50</v>
      </c>
      <c r="B163" t="s">
        <v>28</v>
      </c>
      <c r="C163">
        <v>20527166</v>
      </c>
      <c r="D163" t="s">
        <v>29</v>
      </c>
      <c r="E163" t="s">
        <v>7</v>
      </c>
      <c r="F163">
        <v>5</v>
      </c>
    </row>
    <row r="164" spans="1:6" x14ac:dyDescent="0.25">
      <c r="A164" s="12" t="s">
        <v>61</v>
      </c>
      <c r="B164" t="s">
        <v>55</v>
      </c>
      <c r="C164">
        <v>20527180</v>
      </c>
      <c r="D164" t="s">
        <v>56</v>
      </c>
      <c r="E164" t="s">
        <v>7</v>
      </c>
      <c r="F164">
        <v>5</v>
      </c>
    </row>
    <row r="165" spans="1:6" x14ac:dyDescent="0.25">
      <c r="A165" s="14" t="s">
        <v>141</v>
      </c>
      <c r="B165" t="s">
        <v>91</v>
      </c>
      <c r="C165">
        <v>20583367</v>
      </c>
      <c r="D165" t="s">
        <v>92</v>
      </c>
      <c r="E165" t="s">
        <v>7</v>
      </c>
      <c r="F165">
        <v>5</v>
      </c>
    </row>
    <row r="166" spans="1:6" x14ac:dyDescent="0.25">
      <c r="A166" s="14" t="s">
        <v>141</v>
      </c>
      <c r="B166" t="s">
        <v>125</v>
      </c>
      <c r="C166">
        <v>20527185</v>
      </c>
      <c r="D166" t="s">
        <v>126</v>
      </c>
      <c r="E166" t="s">
        <v>7</v>
      </c>
      <c r="F166">
        <v>5</v>
      </c>
    </row>
    <row r="167" spans="1:6" x14ac:dyDescent="0.25">
      <c r="A167" s="18" t="s">
        <v>371</v>
      </c>
      <c r="B167" t="s">
        <v>214</v>
      </c>
      <c r="C167">
        <v>20583367</v>
      </c>
      <c r="D167" t="s">
        <v>215</v>
      </c>
      <c r="E167" t="s">
        <v>7</v>
      </c>
      <c r="F167">
        <v>5</v>
      </c>
    </row>
    <row r="168" spans="1:6" x14ac:dyDescent="0.25">
      <c r="A168" s="18" t="s">
        <v>371</v>
      </c>
      <c r="B168" t="s">
        <v>253</v>
      </c>
      <c r="C168">
        <v>20527197</v>
      </c>
      <c r="D168" t="s">
        <v>254</v>
      </c>
      <c r="E168" t="s">
        <v>7</v>
      </c>
      <c r="F168">
        <v>5</v>
      </c>
    </row>
    <row r="169" spans="1:6" x14ac:dyDescent="0.25">
      <c r="A169" s="18" t="s">
        <v>371</v>
      </c>
      <c r="B169" t="s">
        <v>283</v>
      </c>
      <c r="C169">
        <v>20527197</v>
      </c>
      <c r="D169" t="s">
        <v>284</v>
      </c>
      <c r="E169" t="s">
        <v>7</v>
      </c>
      <c r="F169">
        <v>5</v>
      </c>
    </row>
    <row r="170" spans="1:6" x14ac:dyDescent="0.25">
      <c r="A170" s="18" t="s">
        <v>371</v>
      </c>
      <c r="B170" t="s">
        <v>315</v>
      </c>
      <c r="C170">
        <v>20500505</v>
      </c>
      <c r="D170" t="s">
        <v>316</v>
      </c>
      <c r="E170" t="s">
        <v>7</v>
      </c>
      <c r="F170">
        <v>5</v>
      </c>
    </row>
    <row r="171" spans="1:6" x14ac:dyDescent="0.25">
      <c r="A171" s="18" t="s">
        <v>371</v>
      </c>
      <c r="B171" t="s">
        <v>355</v>
      </c>
      <c r="C171">
        <v>20527197</v>
      </c>
      <c r="D171" t="s">
        <v>356</v>
      </c>
      <c r="E171" t="s">
        <v>7</v>
      </c>
      <c r="F171">
        <v>5</v>
      </c>
    </row>
    <row r="172" spans="1:6" x14ac:dyDescent="0.25">
      <c r="A172" s="15" t="s">
        <v>726</v>
      </c>
      <c r="B172" t="s">
        <v>410</v>
      </c>
      <c r="C172">
        <v>20527197</v>
      </c>
      <c r="D172" t="s">
        <v>411</v>
      </c>
      <c r="E172" t="s">
        <v>7</v>
      </c>
      <c r="F172">
        <v>5</v>
      </c>
    </row>
    <row r="173" spans="1:6" x14ac:dyDescent="0.25">
      <c r="A173" s="15" t="s">
        <v>726</v>
      </c>
      <c r="B173" t="s">
        <v>446</v>
      </c>
      <c r="C173">
        <v>20527180</v>
      </c>
      <c r="D173" t="s">
        <v>447</v>
      </c>
      <c r="E173" t="s">
        <v>7</v>
      </c>
      <c r="F173">
        <v>5</v>
      </c>
    </row>
    <row r="174" spans="1:6" x14ac:dyDescent="0.25">
      <c r="A174" s="15" t="s">
        <v>726</v>
      </c>
      <c r="B174" t="s">
        <v>497</v>
      </c>
      <c r="C174">
        <v>20527180</v>
      </c>
      <c r="D174" t="s">
        <v>498</v>
      </c>
      <c r="E174" t="s">
        <v>7</v>
      </c>
      <c r="F174">
        <v>5</v>
      </c>
    </row>
    <row r="175" spans="1:6" x14ac:dyDescent="0.25">
      <c r="A175" s="15" t="s">
        <v>726</v>
      </c>
      <c r="B175" t="s">
        <v>539</v>
      </c>
      <c r="C175">
        <v>20583410</v>
      </c>
      <c r="D175" t="s">
        <v>540</v>
      </c>
      <c r="E175" t="s">
        <v>7</v>
      </c>
      <c r="F175">
        <v>5</v>
      </c>
    </row>
    <row r="176" spans="1:6" x14ac:dyDescent="0.25">
      <c r="A176" s="15" t="s">
        <v>726</v>
      </c>
      <c r="B176" t="s">
        <v>584</v>
      </c>
      <c r="C176">
        <v>20527197</v>
      </c>
      <c r="D176" t="s">
        <v>585</v>
      </c>
      <c r="E176" t="s">
        <v>7</v>
      </c>
      <c r="F176">
        <v>5</v>
      </c>
    </row>
    <row r="177" spans="1:6" x14ac:dyDescent="0.25">
      <c r="A177" s="15" t="s">
        <v>726</v>
      </c>
      <c r="B177" t="s">
        <v>636</v>
      </c>
      <c r="C177">
        <v>20527180</v>
      </c>
      <c r="D177" t="s">
        <v>637</v>
      </c>
      <c r="E177" t="s">
        <v>7</v>
      </c>
      <c r="F177">
        <v>5</v>
      </c>
    </row>
    <row r="178" spans="1:6" x14ac:dyDescent="0.25">
      <c r="A178" s="15" t="s">
        <v>726</v>
      </c>
      <c r="B178" t="s">
        <v>663</v>
      </c>
      <c r="C178">
        <v>20566545</v>
      </c>
      <c r="D178" t="s">
        <v>664</v>
      </c>
      <c r="E178" t="s">
        <v>7</v>
      </c>
      <c r="F178">
        <v>5</v>
      </c>
    </row>
    <row r="179" spans="1:6" x14ac:dyDescent="0.25">
      <c r="A179" s="15" t="s">
        <v>726</v>
      </c>
      <c r="B179" t="s">
        <v>704</v>
      </c>
      <c r="C179">
        <v>20527197</v>
      </c>
      <c r="D179" t="s">
        <v>705</v>
      </c>
      <c r="E179" t="s">
        <v>7</v>
      </c>
      <c r="F179">
        <v>5</v>
      </c>
    </row>
    <row r="180" spans="1:6" x14ac:dyDescent="0.25">
      <c r="A180" s="17" t="s">
        <v>197</v>
      </c>
      <c r="B180" t="s">
        <v>169</v>
      </c>
      <c r="C180">
        <v>20527197</v>
      </c>
      <c r="D180" t="s">
        <v>170</v>
      </c>
      <c r="E180" t="s">
        <v>7</v>
      </c>
      <c r="F180">
        <v>5</v>
      </c>
    </row>
    <row r="181" spans="1:6" x14ac:dyDescent="0.25">
      <c r="A181" s="12" t="s">
        <v>61</v>
      </c>
      <c r="B181" t="s">
        <v>57</v>
      </c>
      <c r="C181">
        <v>20527197</v>
      </c>
      <c r="D181" t="s">
        <v>58</v>
      </c>
      <c r="E181" t="s">
        <v>8</v>
      </c>
      <c r="F181">
        <v>6</v>
      </c>
    </row>
    <row r="182" spans="1:6" x14ac:dyDescent="0.25">
      <c r="A182" s="14" t="s">
        <v>141</v>
      </c>
      <c r="B182" t="s">
        <v>101</v>
      </c>
      <c r="C182">
        <v>20527197</v>
      </c>
      <c r="D182" t="s">
        <v>102</v>
      </c>
      <c r="E182" t="s">
        <v>8</v>
      </c>
      <c r="F182">
        <v>6</v>
      </c>
    </row>
    <row r="183" spans="1:6" x14ac:dyDescent="0.25">
      <c r="A183" s="18" t="s">
        <v>371</v>
      </c>
      <c r="B183" t="s">
        <v>216</v>
      </c>
      <c r="C183">
        <v>20583367</v>
      </c>
      <c r="D183" t="s">
        <v>217</v>
      </c>
      <c r="E183" t="s">
        <v>8</v>
      </c>
      <c r="F183">
        <v>6</v>
      </c>
    </row>
    <row r="184" spans="1:6" x14ac:dyDescent="0.25">
      <c r="A184" s="18" t="s">
        <v>371</v>
      </c>
      <c r="B184" t="s">
        <v>256</v>
      </c>
      <c r="C184">
        <v>20527197</v>
      </c>
      <c r="D184" t="s">
        <v>257</v>
      </c>
      <c r="E184" t="s">
        <v>8</v>
      </c>
      <c r="F184">
        <v>6</v>
      </c>
    </row>
    <row r="185" spans="1:6" x14ac:dyDescent="0.25">
      <c r="A185" s="18" t="s">
        <v>371</v>
      </c>
      <c r="B185" t="s">
        <v>303</v>
      </c>
      <c r="C185">
        <v>20527197</v>
      </c>
      <c r="D185" t="s">
        <v>304</v>
      </c>
      <c r="E185" t="s">
        <v>8</v>
      </c>
      <c r="F185">
        <v>6</v>
      </c>
    </row>
    <row r="186" spans="1:6" x14ac:dyDescent="0.25">
      <c r="A186" s="18" t="s">
        <v>371</v>
      </c>
      <c r="B186" t="s">
        <v>340</v>
      </c>
      <c r="C186">
        <v>20527185</v>
      </c>
      <c r="D186" t="s">
        <v>341</v>
      </c>
      <c r="E186" t="s">
        <v>8</v>
      </c>
      <c r="F186">
        <v>6</v>
      </c>
    </row>
    <row r="187" spans="1:6" x14ac:dyDescent="0.25">
      <c r="A187" s="15" t="s">
        <v>726</v>
      </c>
      <c r="B187" t="s">
        <v>382</v>
      </c>
      <c r="C187">
        <v>20527197</v>
      </c>
      <c r="D187" t="s">
        <v>383</v>
      </c>
      <c r="E187" t="s">
        <v>8</v>
      </c>
      <c r="F187">
        <v>6</v>
      </c>
    </row>
    <row r="188" spans="1:6" x14ac:dyDescent="0.25">
      <c r="A188" s="15" t="s">
        <v>726</v>
      </c>
      <c r="B188" t="s">
        <v>416</v>
      </c>
      <c r="C188">
        <v>20527197</v>
      </c>
      <c r="D188" t="s">
        <v>417</v>
      </c>
      <c r="E188" t="s">
        <v>8</v>
      </c>
      <c r="F188">
        <v>6</v>
      </c>
    </row>
    <row r="189" spans="1:6" x14ac:dyDescent="0.25">
      <c r="A189" s="15" t="s">
        <v>726</v>
      </c>
      <c r="B189" t="s">
        <v>456</v>
      </c>
      <c r="C189">
        <v>20527180</v>
      </c>
      <c r="D189" t="s">
        <v>457</v>
      </c>
      <c r="E189" t="s">
        <v>8</v>
      </c>
      <c r="F189">
        <v>6</v>
      </c>
    </row>
    <row r="190" spans="1:6" x14ac:dyDescent="0.25">
      <c r="A190" s="15" t="s">
        <v>726</v>
      </c>
      <c r="B190" t="s">
        <v>485</v>
      </c>
      <c r="C190">
        <v>20527180</v>
      </c>
      <c r="D190" t="s">
        <v>486</v>
      </c>
      <c r="E190" t="s">
        <v>8</v>
      </c>
      <c r="F190">
        <v>6</v>
      </c>
    </row>
    <row r="191" spans="1:6" x14ac:dyDescent="0.25">
      <c r="A191" s="15" t="s">
        <v>726</v>
      </c>
      <c r="B191" t="s">
        <v>521</v>
      </c>
      <c r="C191">
        <v>20566545</v>
      </c>
      <c r="D191" t="s">
        <v>522</v>
      </c>
      <c r="E191" t="s">
        <v>8</v>
      </c>
      <c r="F191">
        <v>6</v>
      </c>
    </row>
    <row r="192" spans="1:6" x14ac:dyDescent="0.25">
      <c r="A192" s="15" t="s">
        <v>726</v>
      </c>
      <c r="B192" t="s">
        <v>553</v>
      </c>
      <c r="C192">
        <v>20527197</v>
      </c>
      <c r="D192" t="s">
        <v>554</v>
      </c>
      <c r="E192" t="s">
        <v>8</v>
      </c>
      <c r="F192">
        <v>6</v>
      </c>
    </row>
    <row r="193" spans="1:6" x14ac:dyDescent="0.25">
      <c r="A193" s="15" t="s">
        <v>726</v>
      </c>
      <c r="B193" t="s">
        <v>592</v>
      </c>
      <c r="C193">
        <v>20527197</v>
      </c>
      <c r="D193" t="s">
        <v>593</v>
      </c>
      <c r="E193" t="s">
        <v>8</v>
      </c>
      <c r="F193">
        <v>6</v>
      </c>
    </row>
    <row r="194" spans="1:6" x14ac:dyDescent="0.25">
      <c r="A194" s="15" t="s">
        <v>726</v>
      </c>
      <c r="B194" t="s">
        <v>626</v>
      </c>
      <c r="C194">
        <v>20566545</v>
      </c>
      <c r="D194" t="s">
        <v>627</v>
      </c>
      <c r="E194" t="s">
        <v>8</v>
      </c>
      <c r="F194">
        <v>6</v>
      </c>
    </row>
    <row r="195" spans="1:6" x14ac:dyDescent="0.25">
      <c r="A195" s="15" t="s">
        <v>726</v>
      </c>
      <c r="B195" t="s">
        <v>679</v>
      </c>
      <c r="C195">
        <v>20527193</v>
      </c>
      <c r="D195" t="s">
        <v>680</v>
      </c>
      <c r="E195" t="s">
        <v>8</v>
      </c>
      <c r="F195">
        <v>6</v>
      </c>
    </row>
    <row r="196" spans="1:6" x14ac:dyDescent="0.25">
      <c r="A196" s="15" t="s">
        <v>726</v>
      </c>
      <c r="B196" t="s">
        <v>712</v>
      </c>
      <c r="C196">
        <v>20527180</v>
      </c>
      <c r="D196" t="s">
        <v>713</v>
      </c>
      <c r="E196" t="s">
        <v>8</v>
      </c>
      <c r="F196">
        <v>6</v>
      </c>
    </row>
    <row r="197" spans="1:6" x14ac:dyDescent="0.25">
      <c r="A197" s="17" t="s">
        <v>197</v>
      </c>
      <c r="B197" t="s">
        <v>153</v>
      </c>
      <c r="C197">
        <v>20527166</v>
      </c>
      <c r="D197" t="s">
        <v>154</v>
      </c>
      <c r="E197" t="s">
        <v>8</v>
      </c>
      <c r="F197">
        <v>6</v>
      </c>
    </row>
    <row r="198" spans="1:6" x14ac:dyDescent="0.25">
      <c r="A198" s="17" t="s">
        <v>197</v>
      </c>
      <c r="B198" t="s">
        <v>184</v>
      </c>
      <c r="C198">
        <v>20566545</v>
      </c>
      <c r="D198" t="s">
        <v>185</v>
      </c>
      <c r="E198" t="s">
        <v>8</v>
      </c>
      <c r="F198">
        <v>6</v>
      </c>
    </row>
    <row r="199" spans="1:6" x14ac:dyDescent="0.25">
      <c r="A199" s="13" t="s">
        <v>50</v>
      </c>
      <c r="B199" t="s">
        <v>30</v>
      </c>
      <c r="C199">
        <v>20583363</v>
      </c>
      <c r="D199" t="s">
        <v>31</v>
      </c>
      <c r="E199" t="s">
        <v>7</v>
      </c>
      <c r="F199">
        <v>6</v>
      </c>
    </row>
    <row r="200" spans="1:6" x14ac:dyDescent="0.25">
      <c r="A200" s="16" t="s">
        <v>80</v>
      </c>
      <c r="B200" t="s">
        <v>62</v>
      </c>
      <c r="C200">
        <v>20527197</v>
      </c>
      <c r="D200" t="s">
        <v>63</v>
      </c>
      <c r="E200" t="s">
        <v>7</v>
      </c>
      <c r="F200">
        <v>6</v>
      </c>
    </row>
    <row r="201" spans="1:6" x14ac:dyDescent="0.25">
      <c r="A201" s="14" t="s">
        <v>141</v>
      </c>
      <c r="B201" t="s">
        <v>95</v>
      </c>
      <c r="C201">
        <v>20583363</v>
      </c>
      <c r="D201" t="s">
        <v>96</v>
      </c>
      <c r="E201" t="s">
        <v>7</v>
      </c>
      <c r="F201">
        <v>6</v>
      </c>
    </row>
    <row r="202" spans="1:6" x14ac:dyDescent="0.25">
      <c r="A202" s="14" t="s">
        <v>141</v>
      </c>
      <c r="B202" t="s">
        <v>131</v>
      </c>
      <c r="C202">
        <v>20527197</v>
      </c>
      <c r="D202" t="s">
        <v>132</v>
      </c>
      <c r="E202" t="s">
        <v>7</v>
      </c>
      <c r="F202">
        <v>6</v>
      </c>
    </row>
    <row r="203" spans="1:6" x14ac:dyDescent="0.25">
      <c r="A203" s="18" t="s">
        <v>371</v>
      </c>
      <c r="B203" t="s">
        <v>222</v>
      </c>
      <c r="C203">
        <v>20527197</v>
      </c>
      <c r="D203" t="s">
        <v>223</v>
      </c>
      <c r="E203" t="s">
        <v>7</v>
      </c>
      <c r="F203">
        <v>6</v>
      </c>
    </row>
    <row r="204" spans="1:6" x14ac:dyDescent="0.25">
      <c r="A204" s="18" t="s">
        <v>371</v>
      </c>
      <c r="B204">
        <v>3097897632</v>
      </c>
      <c r="C204">
        <v>20583363</v>
      </c>
      <c r="D204" t="s">
        <v>255</v>
      </c>
      <c r="E204" t="s">
        <v>7</v>
      </c>
      <c r="F204">
        <v>6</v>
      </c>
    </row>
    <row r="205" spans="1:6" x14ac:dyDescent="0.25">
      <c r="A205" s="18" t="s">
        <v>371</v>
      </c>
      <c r="B205" t="s">
        <v>289</v>
      </c>
      <c r="C205">
        <v>20527197</v>
      </c>
      <c r="D205" t="s">
        <v>290</v>
      </c>
      <c r="E205" t="s">
        <v>7</v>
      </c>
      <c r="F205">
        <v>6</v>
      </c>
    </row>
    <row r="206" spans="1:6" x14ac:dyDescent="0.25">
      <c r="A206" s="18" t="s">
        <v>371</v>
      </c>
      <c r="B206" t="s">
        <v>325</v>
      </c>
      <c r="C206">
        <v>20527197</v>
      </c>
      <c r="D206" t="s">
        <v>326</v>
      </c>
      <c r="E206" t="s">
        <v>7</v>
      </c>
      <c r="F206">
        <v>6</v>
      </c>
    </row>
    <row r="207" spans="1:6" x14ac:dyDescent="0.25">
      <c r="A207" s="18" t="s">
        <v>371</v>
      </c>
      <c r="B207" t="s">
        <v>365</v>
      </c>
      <c r="C207">
        <v>20566545</v>
      </c>
      <c r="D207" t="s">
        <v>366</v>
      </c>
      <c r="E207" t="s">
        <v>7</v>
      </c>
      <c r="F207">
        <v>6</v>
      </c>
    </row>
    <row r="208" spans="1:6" x14ac:dyDescent="0.25">
      <c r="A208" s="15" t="s">
        <v>726</v>
      </c>
      <c r="B208" t="s">
        <v>412</v>
      </c>
      <c r="C208">
        <v>20527197</v>
      </c>
      <c r="D208" t="s">
        <v>413</v>
      </c>
      <c r="E208" t="s">
        <v>7</v>
      </c>
      <c r="F208">
        <v>6</v>
      </c>
    </row>
    <row r="209" spans="1:6" x14ac:dyDescent="0.25">
      <c r="A209" s="15" t="s">
        <v>726</v>
      </c>
      <c r="B209" t="s">
        <v>452</v>
      </c>
      <c r="C209">
        <v>20527197</v>
      </c>
      <c r="D209" t="s">
        <v>453</v>
      </c>
      <c r="E209" t="s">
        <v>7</v>
      </c>
      <c r="F209">
        <v>6</v>
      </c>
    </row>
    <row r="210" spans="1:6" x14ac:dyDescent="0.25">
      <c r="A210" s="15" t="s">
        <v>726</v>
      </c>
      <c r="B210" t="s">
        <v>503</v>
      </c>
      <c r="C210">
        <v>20527180</v>
      </c>
      <c r="D210" t="s">
        <v>504</v>
      </c>
      <c r="E210" t="s">
        <v>7</v>
      </c>
      <c r="F210">
        <v>6</v>
      </c>
    </row>
    <row r="211" spans="1:6" x14ac:dyDescent="0.25">
      <c r="A211" s="15" t="s">
        <v>726</v>
      </c>
      <c r="B211" t="s">
        <v>557</v>
      </c>
      <c r="C211">
        <v>20527197</v>
      </c>
      <c r="D211" t="s">
        <v>558</v>
      </c>
      <c r="E211" t="s">
        <v>7</v>
      </c>
      <c r="F211">
        <v>6</v>
      </c>
    </row>
    <row r="212" spans="1:6" x14ac:dyDescent="0.25">
      <c r="A212" s="15" t="s">
        <v>726</v>
      </c>
      <c r="B212" t="s">
        <v>600</v>
      </c>
      <c r="C212">
        <v>20527197</v>
      </c>
      <c r="D212" t="s">
        <v>601</v>
      </c>
      <c r="E212" t="s">
        <v>7</v>
      </c>
      <c r="F212">
        <v>6</v>
      </c>
    </row>
    <row r="213" spans="1:6" x14ac:dyDescent="0.25">
      <c r="A213" s="15" t="s">
        <v>726</v>
      </c>
      <c r="B213" t="s">
        <v>638</v>
      </c>
      <c r="C213">
        <v>20527180</v>
      </c>
      <c r="D213" t="s">
        <v>639</v>
      </c>
      <c r="E213" t="s">
        <v>7</v>
      </c>
      <c r="F213">
        <v>6</v>
      </c>
    </row>
    <row r="214" spans="1:6" x14ac:dyDescent="0.25">
      <c r="A214" s="15" t="s">
        <v>726</v>
      </c>
      <c r="B214" t="s">
        <v>665</v>
      </c>
      <c r="C214">
        <v>20583685</v>
      </c>
      <c r="D214" t="s">
        <v>666</v>
      </c>
      <c r="E214" t="s">
        <v>7</v>
      </c>
      <c r="F214">
        <v>6</v>
      </c>
    </row>
    <row r="215" spans="1:6" x14ac:dyDescent="0.25">
      <c r="A215" s="15" t="s">
        <v>726</v>
      </c>
      <c r="B215" t="s">
        <v>708</v>
      </c>
      <c r="C215">
        <v>69759022</v>
      </c>
      <c r="D215" t="s">
        <v>709</v>
      </c>
      <c r="E215" t="s">
        <v>7</v>
      </c>
      <c r="F215">
        <v>6</v>
      </c>
    </row>
    <row r="216" spans="1:6" x14ac:dyDescent="0.25">
      <c r="A216" s="17" t="s">
        <v>197</v>
      </c>
      <c r="B216" t="s">
        <v>171</v>
      </c>
      <c r="C216">
        <v>20527193</v>
      </c>
      <c r="D216" t="s">
        <v>172</v>
      </c>
      <c r="E216" t="s">
        <v>7</v>
      </c>
      <c r="F216">
        <v>6</v>
      </c>
    </row>
    <row r="217" spans="1:6" x14ac:dyDescent="0.25">
      <c r="A217" s="12" t="s">
        <v>61</v>
      </c>
      <c r="B217" t="s">
        <v>59</v>
      </c>
      <c r="C217">
        <v>20527197</v>
      </c>
      <c r="D217" t="s">
        <v>60</v>
      </c>
      <c r="E217" t="s">
        <v>8</v>
      </c>
      <c r="F217">
        <v>7</v>
      </c>
    </row>
    <row r="218" spans="1:6" x14ac:dyDescent="0.25">
      <c r="A218" s="14" t="s">
        <v>141</v>
      </c>
      <c r="B218" t="s">
        <v>103</v>
      </c>
      <c r="C218">
        <v>20527180</v>
      </c>
      <c r="D218" t="s">
        <v>104</v>
      </c>
      <c r="E218" t="s">
        <v>8</v>
      </c>
      <c r="F218">
        <v>7</v>
      </c>
    </row>
    <row r="219" spans="1:6" x14ac:dyDescent="0.25">
      <c r="A219" s="18" t="s">
        <v>371</v>
      </c>
      <c r="B219" t="s">
        <v>218</v>
      </c>
      <c r="C219">
        <v>20527197</v>
      </c>
      <c r="D219" t="s">
        <v>219</v>
      </c>
      <c r="E219" t="s">
        <v>8</v>
      </c>
      <c r="F219">
        <v>7</v>
      </c>
    </row>
    <row r="220" spans="1:6" x14ac:dyDescent="0.25">
      <c r="A220" s="18" t="s">
        <v>371</v>
      </c>
      <c r="B220" t="s">
        <v>260</v>
      </c>
      <c r="C220">
        <v>20527197</v>
      </c>
      <c r="D220" t="s">
        <v>261</v>
      </c>
      <c r="E220" t="s">
        <v>8</v>
      </c>
      <c r="F220">
        <v>7</v>
      </c>
    </row>
    <row r="221" spans="1:6" x14ac:dyDescent="0.25">
      <c r="A221" s="18" t="s">
        <v>371</v>
      </c>
      <c r="B221" t="s">
        <v>311</v>
      </c>
      <c r="C221">
        <v>20529897</v>
      </c>
      <c r="D221" t="s">
        <v>312</v>
      </c>
      <c r="E221" t="s">
        <v>8</v>
      </c>
      <c r="F221">
        <v>7</v>
      </c>
    </row>
    <row r="222" spans="1:6" x14ac:dyDescent="0.25">
      <c r="A222" s="18" t="s">
        <v>371</v>
      </c>
      <c r="B222" t="s">
        <v>342</v>
      </c>
      <c r="C222">
        <v>20528625</v>
      </c>
      <c r="D222" t="s">
        <v>343</v>
      </c>
      <c r="E222" t="s">
        <v>8</v>
      </c>
      <c r="F222">
        <v>7</v>
      </c>
    </row>
    <row r="223" spans="1:6" x14ac:dyDescent="0.25">
      <c r="A223" s="15" t="s">
        <v>726</v>
      </c>
      <c r="B223" t="s">
        <v>384</v>
      </c>
      <c r="C223">
        <v>20527193</v>
      </c>
      <c r="D223" t="s">
        <v>385</v>
      </c>
      <c r="E223" t="s">
        <v>8</v>
      </c>
      <c r="F223">
        <v>7</v>
      </c>
    </row>
    <row r="224" spans="1:6" x14ac:dyDescent="0.25">
      <c r="A224" s="15" t="s">
        <v>726</v>
      </c>
      <c r="B224" t="s">
        <v>424</v>
      </c>
      <c r="C224">
        <v>20566545</v>
      </c>
      <c r="D224" t="s">
        <v>425</v>
      </c>
      <c r="E224" t="s">
        <v>8</v>
      </c>
      <c r="F224">
        <v>7</v>
      </c>
    </row>
    <row r="225" spans="1:6" x14ac:dyDescent="0.25">
      <c r="A225" s="15" t="s">
        <v>726</v>
      </c>
      <c r="B225" t="s">
        <v>458</v>
      </c>
      <c r="C225">
        <v>20527180</v>
      </c>
      <c r="D225" t="s">
        <v>459</v>
      </c>
      <c r="E225" t="s">
        <v>8</v>
      </c>
      <c r="F225">
        <v>7</v>
      </c>
    </row>
    <row r="226" spans="1:6" x14ac:dyDescent="0.25">
      <c r="A226" s="15" t="s">
        <v>726</v>
      </c>
      <c r="B226" t="s">
        <v>487</v>
      </c>
      <c r="C226">
        <v>20527197</v>
      </c>
      <c r="D226" t="s">
        <v>488</v>
      </c>
      <c r="E226" t="s">
        <v>8</v>
      </c>
      <c r="F226">
        <v>7</v>
      </c>
    </row>
    <row r="227" spans="1:6" x14ac:dyDescent="0.25">
      <c r="A227" s="15" t="s">
        <v>726</v>
      </c>
      <c r="B227" t="s">
        <v>525</v>
      </c>
      <c r="C227">
        <v>20527180</v>
      </c>
      <c r="D227" t="s">
        <v>526</v>
      </c>
      <c r="E227" t="s">
        <v>8</v>
      </c>
      <c r="F227">
        <v>7</v>
      </c>
    </row>
    <row r="228" spans="1:6" x14ac:dyDescent="0.25">
      <c r="A228" s="15" t="s">
        <v>726</v>
      </c>
      <c r="B228" t="s">
        <v>555</v>
      </c>
      <c r="C228">
        <v>20579418</v>
      </c>
      <c r="D228" t="s">
        <v>556</v>
      </c>
      <c r="E228" t="s">
        <v>8</v>
      </c>
      <c r="F228">
        <v>7</v>
      </c>
    </row>
    <row r="229" spans="1:6" x14ac:dyDescent="0.25">
      <c r="A229" s="15" t="s">
        <v>726</v>
      </c>
      <c r="B229" t="s">
        <v>594</v>
      </c>
      <c r="C229">
        <v>20527197</v>
      </c>
      <c r="D229" t="s">
        <v>595</v>
      </c>
      <c r="E229" t="s">
        <v>8</v>
      </c>
      <c r="F229">
        <v>7</v>
      </c>
    </row>
    <row r="230" spans="1:6" x14ac:dyDescent="0.25">
      <c r="A230" s="15" t="s">
        <v>726</v>
      </c>
      <c r="B230" t="s">
        <v>628</v>
      </c>
      <c r="C230">
        <v>20527197</v>
      </c>
      <c r="D230" t="s">
        <v>629</v>
      </c>
      <c r="E230" t="s">
        <v>8</v>
      </c>
      <c r="F230">
        <v>7</v>
      </c>
    </row>
    <row r="231" spans="1:6" x14ac:dyDescent="0.25">
      <c r="A231" s="15" t="s">
        <v>726</v>
      </c>
      <c r="B231" t="s">
        <v>683</v>
      </c>
      <c r="C231">
        <v>20566545</v>
      </c>
      <c r="D231" t="s">
        <v>684</v>
      </c>
      <c r="E231" t="s">
        <v>8</v>
      </c>
      <c r="F231">
        <v>7</v>
      </c>
    </row>
    <row r="232" spans="1:6" x14ac:dyDescent="0.25">
      <c r="A232" s="15" t="s">
        <v>726</v>
      </c>
      <c r="B232" t="s">
        <v>714</v>
      </c>
      <c r="C232">
        <v>20527180</v>
      </c>
      <c r="D232" t="s">
        <v>715</v>
      </c>
      <c r="E232" t="s">
        <v>8</v>
      </c>
      <c r="F232">
        <v>7</v>
      </c>
    </row>
    <row r="233" spans="1:6" x14ac:dyDescent="0.25">
      <c r="A233" s="17" t="s">
        <v>197</v>
      </c>
      <c r="B233" t="s">
        <v>161</v>
      </c>
      <c r="C233">
        <v>20527180</v>
      </c>
      <c r="D233" t="s">
        <v>162</v>
      </c>
      <c r="E233" t="s">
        <v>8</v>
      </c>
      <c r="F233">
        <v>7</v>
      </c>
    </row>
    <row r="234" spans="1:6" x14ac:dyDescent="0.25">
      <c r="A234" s="17" t="s">
        <v>197</v>
      </c>
      <c r="B234" t="s">
        <v>188</v>
      </c>
      <c r="C234">
        <v>20566545</v>
      </c>
      <c r="D234" t="s">
        <v>189</v>
      </c>
      <c r="E234" t="s">
        <v>8</v>
      </c>
      <c r="F234">
        <v>7</v>
      </c>
    </row>
    <row r="235" spans="1:6" x14ac:dyDescent="0.25">
      <c r="A235" s="13" t="s">
        <v>50</v>
      </c>
      <c r="B235" t="s">
        <v>32</v>
      </c>
      <c r="C235">
        <v>20527182</v>
      </c>
      <c r="D235" t="s">
        <v>33</v>
      </c>
      <c r="E235" t="s">
        <v>7</v>
      </c>
      <c r="F235">
        <v>7</v>
      </c>
    </row>
    <row r="236" spans="1:6" x14ac:dyDescent="0.25">
      <c r="A236" s="16" t="s">
        <v>80</v>
      </c>
      <c r="B236" t="s">
        <v>64</v>
      </c>
      <c r="C236">
        <v>20528654</v>
      </c>
      <c r="D236" t="s">
        <v>65</v>
      </c>
      <c r="E236" t="s">
        <v>7</v>
      </c>
      <c r="F236">
        <v>7</v>
      </c>
    </row>
    <row r="237" spans="1:6" x14ac:dyDescent="0.25">
      <c r="A237" s="14" t="s">
        <v>141</v>
      </c>
      <c r="B237" t="s">
        <v>97</v>
      </c>
      <c r="C237">
        <v>20527180</v>
      </c>
      <c r="D237" t="s">
        <v>98</v>
      </c>
      <c r="E237" t="s">
        <v>7</v>
      </c>
      <c r="F237">
        <v>7</v>
      </c>
    </row>
    <row r="238" spans="1:6" x14ac:dyDescent="0.25">
      <c r="A238" s="14" t="s">
        <v>141</v>
      </c>
      <c r="B238" t="s">
        <v>133</v>
      </c>
      <c r="C238">
        <v>20527197</v>
      </c>
      <c r="D238" t="s">
        <v>134</v>
      </c>
      <c r="E238" t="s">
        <v>7</v>
      </c>
      <c r="F238">
        <v>7</v>
      </c>
    </row>
    <row r="239" spans="1:6" x14ac:dyDescent="0.25">
      <c r="A239" s="18" t="s">
        <v>371</v>
      </c>
      <c r="B239" t="s">
        <v>224</v>
      </c>
      <c r="C239">
        <v>20527197</v>
      </c>
      <c r="D239" t="s">
        <v>225</v>
      </c>
      <c r="E239" t="s">
        <v>7</v>
      </c>
      <c r="F239">
        <v>7</v>
      </c>
    </row>
    <row r="240" spans="1:6" x14ac:dyDescent="0.25">
      <c r="A240" s="18" t="s">
        <v>371</v>
      </c>
      <c r="B240" t="s">
        <v>258</v>
      </c>
      <c r="C240">
        <v>20527185</v>
      </c>
      <c r="D240" t="s">
        <v>259</v>
      </c>
      <c r="E240" t="s">
        <v>7</v>
      </c>
      <c r="F240">
        <v>7</v>
      </c>
    </row>
    <row r="241" spans="1:6" x14ac:dyDescent="0.25">
      <c r="A241" s="18" t="s">
        <v>371</v>
      </c>
      <c r="B241" t="s">
        <v>295</v>
      </c>
      <c r="C241">
        <v>20527180</v>
      </c>
      <c r="D241" t="s">
        <v>296</v>
      </c>
      <c r="E241" t="s">
        <v>7</v>
      </c>
      <c r="F241">
        <v>7</v>
      </c>
    </row>
    <row r="242" spans="1:6" x14ac:dyDescent="0.25">
      <c r="A242" s="18" t="s">
        <v>371</v>
      </c>
      <c r="B242" t="s">
        <v>329</v>
      </c>
      <c r="C242">
        <v>20527197</v>
      </c>
      <c r="D242" t="s">
        <v>330</v>
      </c>
      <c r="E242" t="s">
        <v>7</v>
      </c>
      <c r="F242">
        <v>7</v>
      </c>
    </row>
    <row r="243" spans="1:6" x14ac:dyDescent="0.25">
      <c r="A243" s="18" t="s">
        <v>371</v>
      </c>
      <c r="B243" t="s">
        <v>369</v>
      </c>
      <c r="C243">
        <v>20527197</v>
      </c>
      <c r="D243" t="s">
        <v>370</v>
      </c>
      <c r="E243" t="s">
        <v>7</v>
      </c>
      <c r="F243">
        <v>7</v>
      </c>
    </row>
    <row r="244" spans="1:6" x14ac:dyDescent="0.25">
      <c r="A244" s="15" t="s">
        <v>726</v>
      </c>
      <c r="B244" t="s">
        <v>414</v>
      </c>
      <c r="C244">
        <v>20583410</v>
      </c>
      <c r="D244" t="s">
        <v>415</v>
      </c>
      <c r="E244" t="s">
        <v>7</v>
      </c>
      <c r="F244">
        <v>7</v>
      </c>
    </row>
    <row r="245" spans="1:6" x14ac:dyDescent="0.25">
      <c r="A245" s="15" t="s">
        <v>726</v>
      </c>
      <c r="B245" t="s">
        <v>454</v>
      </c>
      <c r="C245">
        <v>20527193</v>
      </c>
      <c r="D245" t="s">
        <v>455</v>
      </c>
      <c r="E245" t="s">
        <v>7</v>
      </c>
      <c r="F245">
        <v>7</v>
      </c>
    </row>
    <row r="246" spans="1:6" x14ac:dyDescent="0.25">
      <c r="A246" s="15" t="s">
        <v>726</v>
      </c>
      <c r="B246" t="s">
        <v>513</v>
      </c>
      <c r="C246">
        <v>20527197</v>
      </c>
      <c r="D246" t="s">
        <v>514</v>
      </c>
      <c r="E246" t="s">
        <v>7</v>
      </c>
      <c r="F246">
        <v>7</v>
      </c>
    </row>
    <row r="247" spans="1:6" x14ac:dyDescent="0.25">
      <c r="A247" s="15" t="s">
        <v>726</v>
      </c>
      <c r="B247" t="s">
        <v>559</v>
      </c>
      <c r="C247">
        <v>20527180</v>
      </c>
      <c r="D247" t="s">
        <v>560</v>
      </c>
      <c r="E247" t="s">
        <v>7</v>
      </c>
      <c r="F247">
        <v>7</v>
      </c>
    </row>
    <row r="248" spans="1:6" x14ac:dyDescent="0.25">
      <c r="A248" s="15" t="s">
        <v>726</v>
      </c>
      <c r="B248" t="s">
        <v>608</v>
      </c>
      <c r="C248">
        <v>20527197</v>
      </c>
      <c r="D248" t="s">
        <v>609</v>
      </c>
      <c r="E248" t="s">
        <v>7</v>
      </c>
      <c r="F248">
        <v>7</v>
      </c>
    </row>
    <row r="249" spans="1:6" x14ac:dyDescent="0.25">
      <c r="A249" s="15" t="s">
        <v>726</v>
      </c>
      <c r="B249" t="s">
        <v>641</v>
      </c>
      <c r="C249">
        <v>20527197</v>
      </c>
      <c r="D249" t="s">
        <v>642</v>
      </c>
      <c r="E249" t="s">
        <v>7</v>
      </c>
      <c r="F249">
        <v>7</v>
      </c>
    </row>
    <row r="250" spans="1:6" x14ac:dyDescent="0.25">
      <c r="A250" s="15" t="s">
        <v>726</v>
      </c>
      <c r="B250" t="s">
        <v>667</v>
      </c>
      <c r="C250">
        <v>20527197</v>
      </c>
      <c r="D250" t="s">
        <v>668</v>
      </c>
      <c r="E250" t="s">
        <v>7</v>
      </c>
      <c r="F250">
        <v>7</v>
      </c>
    </row>
    <row r="251" spans="1:6" x14ac:dyDescent="0.25">
      <c r="A251" s="15" t="s">
        <v>726</v>
      </c>
      <c r="B251" t="s">
        <v>718</v>
      </c>
      <c r="C251">
        <v>20566545</v>
      </c>
      <c r="D251" t="s">
        <v>719</v>
      </c>
      <c r="E251" t="s">
        <v>7</v>
      </c>
      <c r="F251">
        <v>7</v>
      </c>
    </row>
    <row r="252" spans="1:6" x14ac:dyDescent="0.25">
      <c r="A252" s="17" t="s">
        <v>197</v>
      </c>
      <c r="B252" t="s">
        <v>186</v>
      </c>
      <c r="C252">
        <v>20537422</v>
      </c>
      <c r="D252" t="s">
        <v>187</v>
      </c>
      <c r="E252" t="s">
        <v>7</v>
      </c>
      <c r="F252">
        <v>7</v>
      </c>
    </row>
    <row r="253" spans="1:6" x14ac:dyDescent="0.25">
      <c r="A253" s="16" t="s">
        <v>80</v>
      </c>
      <c r="B253" t="s">
        <v>68</v>
      </c>
      <c r="C253">
        <v>60725184</v>
      </c>
      <c r="D253" t="s">
        <v>69</v>
      </c>
      <c r="E253" t="s">
        <v>8</v>
      </c>
      <c r="F253">
        <v>8</v>
      </c>
    </row>
    <row r="254" spans="1:6" x14ac:dyDescent="0.25">
      <c r="A254" s="14" t="s">
        <v>141</v>
      </c>
      <c r="B254" t="s">
        <v>111</v>
      </c>
      <c r="C254">
        <v>20527180</v>
      </c>
      <c r="D254" t="s">
        <v>112</v>
      </c>
      <c r="E254" t="s">
        <v>8</v>
      </c>
      <c r="F254">
        <v>8</v>
      </c>
    </row>
    <row r="255" spans="1:6" x14ac:dyDescent="0.25">
      <c r="A255" s="18" t="s">
        <v>371</v>
      </c>
      <c r="B255" t="s">
        <v>220</v>
      </c>
      <c r="C255">
        <v>20527197</v>
      </c>
      <c r="D255" t="s">
        <v>221</v>
      </c>
      <c r="E255" t="s">
        <v>8</v>
      </c>
      <c r="F255">
        <v>8</v>
      </c>
    </row>
    <row r="256" spans="1:6" x14ac:dyDescent="0.25">
      <c r="A256" s="18" t="s">
        <v>371</v>
      </c>
      <c r="B256" t="s">
        <v>264</v>
      </c>
      <c r="C256">
        <v>20527197</v>
      </c>
      <c r="D256" t="s">
        <v>265</v>
      </c>
      <c r="E256" t="s">
        <v>8</v>
      </c>
      <c r="F256">
        <v>8</v>
      </c>
    </row>
    <row r="257" spans="1:6" x14ac:dyDescent="0.25">
      <c r="A257" s="18" t="s">
        <v>371</v>
      </c>
      <c r="B257" t="s">
        <v>317</v>
      </c>
      <c r="C257">
        <v>20583367</v>
      </c>
      <c r="D257" t="s">
        <v>318</v>
      </c>
      <c r="E257" t="s">
        <v>8</v>
      </c>
      <c r="F257">
        <v>8</v>
      </c>
    </row>
    <row r="258" spans="1:6" x14ac:dyDescent="0.25">
      <c r="A258" s="18" t="s">
        <v>371</v>
      </c>
      <c r="B258" t="s">
        <v>351</v>
      </c>
      <c r="C258">
        <v>20573043</v>
      </c>
      <c r="D258" t="s">
        <v>352</v>
      </c>
      <c r="E258" t="s">
        <v>8</v>
      </c>
      <c r="F258">
        <v>8</v>
      </c>
    </row>
    <row r="259" spans="1:6" x14ac:dyDescent="0.25">
      <c r="A259" s="15" t="s">
        <v>726</v>
      </c>
      <c r="B259" t="s">
        <v>388</v>
      </c>
      <c r="C259">
        <v>20527180</v>
      </c>
      <c r="D259" t="s">
        <v>389</v>
      </c>
      <c r="E259" t="s">
        <v>8</v>
      </c>
      <c r="F259">
        <v>8</v>
      </c>
    </row>
    <row r="260" spans="1:6" x14ac:dyDescent="0.25">
      <c r="A260" s="15" t="s">
        <v>726</v>
      </c>
      <c r="B260" t="s">
        <v>426</v>
      </c>
      <c r="C260">
        <v>20527197</v>
      </c>
      <c r="D260" t="s">
        <v>427</v>
      </c>
      <c r="E260" t="s">
        <v>8</v>
      </c>
      <c r="F260">
        <v>8</v>
      </c>
    </row>
    <row r="261" spans="1:6" x14ac:dyDescent="0.25">
      <c r="A261" s="15" t="s">
        <v>726</v>
      </c>
      <c r="B261" t="s">
        <v>460</v>
      </c>
      <c r="C261">
        <v>20527180</v>
      </c>
      <c r="D261" t="s">
        <v>461</v>
      </c>
      <c r="E261" t="s">
        <v>8</v>
      </c>
      <c r="F261">
        <v>8</v>
      </c>
    </row>
    <row r="262" spans="1:6" x14ac:dyDescent="0.25">
      <c r="A262" s="15" t="s">
        <v>726</v>
      </c>
      <c r="B262" t="s">
        <v>489</v>
      </c>
      <c r="C262">
        <v>20527197</v>
      </c>
      <c r="D262" t="s">
        <v>490</v>
      </c>
      <c r="E262" t="s">
        <v>8</v>
      </c>
      <c r="F262">
        <v>8</v>
      </c>
    </row>
    <row r="263" spans="1:6" x14ac:dyDescent="0.25">
      <c r="A263" s="15" t="s">
        <v>726</v>
      </c>
      <c r="B263" t="s">
        <v>533</v>
      </c>
      <c r="C263">
        <v>20213948</v>
      </c>
      <c r="D263" t="s">
        <v>534</v>
      </c>
      <c r="E263" t="s">
        <v>8</v>
      </c>
      <c r="F263">
        <v>8</v>
      </c>
    </row>
    <row r="264" spans="1:6" x14ac:dyDescent="0.25">
      <c r="A264" s="15" t="s">
        <v>726</v>
      </c>
      <c r="B264" t="s">
        <v>564</v>
      </c>
      <c r="C264">
        <v>20527197</v>
      </c>
      <c r="D264" t="s">
        <v>565</v>
      </c>
      <c r="E264" t="s">
        <v>8</v>
      </c>
      <c r="F264">
        <v>8</v>
      </c>
    </row>
    <row r="265" spans="1:6" x14ac:dyDescent="0.25">
      <c r="A265" s="15" t="s">
        <v>726</v>
      </c>
      <c r="B265" t="s">
        <v>596</v>
      </c>
      <c r="C265">
        <v>20527197</v>
      </c>
      <c r="D265" t="s">
        <v>597</v>
      </c>
      <c r="E265" t="s">
        <v>8</v>
      </c>
      <c r="F265">
        <v>8</v>
      </c>
    </row>
    <row r="266" spans="1:6" x14ac:dyDescent="0.25">
      <c r="A266" s="15" t="s">
        <v>726</v>
      </c>
      <c r="B266" t="s">
        <v>632</v>
      </c>
      <c r="C266">
        <v>20527197</v>
      </c>
      <c r="D266" t="s">
        <v>633</v>
      </c>
      <c r="E266" t="s">
        <v>8</v>
      </c>
      <c r="F266">
        <v>8</v>
      </c>
    </row>
    <row r="267" spans="1:6" x14ac:dyDescent="0.25">
      <c r="A267" s="15" t="s">
        <v>726</v>
      </c>
      <c r="B267" t="s">
        <v>685</v>
      </c>
      <c r="C267">
        <v>20527197</v>
      </c>
      <c r="D267" t="s">
        <v>686</v>
      </c>
      <c r="E267" t="s">
        <v>8</v>
      </c>
      <c r="F267">
        <v>8</v>
      </c>
    </row>
    <row r="268" spans="1:6" x14ac:dyDescent="0.25">
      <c r="A268" s="15" t="s">
        <v>726</v>
      </c>
      <c r="B268" t="s">
        <v>716</v>
      </c>
      <c r="C268">
        <v>20527180</v>
      </c>
      <c r="D268" t="s">
        <v>717</v>
      </c>
      <c r="E268" t="s">
        <v>8</v>
      </c>
      <c r="F268">
        <v>8</v>
      </c>
    </row>
    <row r="269" spans="1:6" x14ac:dyDescent="0.25">
      <c r="A269" s="17" t="s">
        <v>197</v>
      </c>
      <c r="B269" t="s">
        <v>165</v>
      </c>
      <c r="C269">
        <v>20552108</v>
      </c>
      <c r="D269" t="s">
        <v>166</v>
      </c>
      <c r="E269" t="s">
        <v>8</v>
      </c>
      <c r="F269">
        <v>8</v>
      </c>
    </row>
    <row r="270" spans="1:6" x14ac:dyDescent="0.25">
      <c r="A270" s="17" t="s">
        <v>197</v>
      </c>
      <c r="B270" t="s">
        <v>192</v>
      </c>
      <c r="C270">
        <v>20566545</v>
      </c>
      <c r="D270" t="s">
        <v>193</v>
      </c>
      <c r="E270" t="s">
        <v>8</v>
      </c>
      <c r="F270">
        <v>8</v>
      </c>
    </row>
    <row r="271" spans="1:6" x14ac:dyDescent="0.25">
      <c r="A271" s="13" t="s">
        <v>50</v>
      </c>
      <c r="B271" t="s">
        <v>36</v>
      </c>
      <c r="C271">
        <v>20583410</v>
      </c>
      <c r="D271" t="s">
        <v>37</v>
      </c>
      <c r="E271" t="s">
        <v>7</v>
      </c>
      <c r="F271">
        <v>8</v>
      </c>
    </row>
    <row r="272" spans="1:6" x14ac:dyDescent="0.25">
      <c r="A272" s="16" t="s">
        <v>80</v>
      </c>
      <c r="B272" t="s">
        <v>66</v>
      </c>
      <c r="C272">
        <v>20566545</v>
      </c>
      <c r="D272" t="s">
        <v>67</v>
      </c>
      <c r="E272" t="s">
        <v>7</v>
      </c>
      <c r="F272">
        <v>8</v>
      </c>
    </row>
    <row r="273" spans="1:6" x14ac:dyDescent="0.25">
      <c r="A273" s="14" t="s">
        <v>141</v>
      </c>
      <c r="B273" t="s">
        <v>105</v>
      </c>
      <c r="C273">
        <v>20527180</v>
      </c>
      <c r="D273" t="s">
        <v>106</v>
      </c>
      <c r="E273" t="s">
        <v>7</v>
      </c>
      <c r="F273">
        <v>8</v>
      </c>
    </row>
    <row r="274" spans="1:6" x14ac:dyDescent="0.25">
      <c r="A274" s="14" t="s">
        <v>141</v>
      </c>
      <c r="B274" t="s">
        <v>135</v>
      </c>
      <c r="C274">
        <v>20527180</v>
      </c>
      <c r="D274" t="s">
        <v>136</v>
      </c>
      <c r="E274" t="s">
        <v>7</v>
      </c>
      <c r="F274">
        <v>8</v>
      </c>
    </row>
    <row r="275" spans="1:6" x14ac:dyDescent="0.25">
      <c r="A275" s="18" t="s">
        <v>371</v>
      </c>
      <c r="B275" t="s">
        <v>228</v>
      </c>
      <c r="C275">
        <v>20527197</v>
      </c>
      <c r="D275" t="s">
        <v>229</v>
      </c>
      <c r="E275" t="s">
        <v>7</v>
      </c>
      <c r="F275">
        <v>8</v>
      </c>
    </row>
    <row r="276" spans="1:6" x14ac:dyDescent="0.25">
      <c r="A276" s="18" t="s">
        <v>371</v>
      </c>
      <c r="B276" t="s">
        <v>262</v>
      </c>
      <c r="C276">
        <v>20566545</v>
      </c>
      <c r="D276" t="s">
        <v>263</v>
      </c>
      <c r="E276" t="s">
        <v>7</v>
      </c>
      <c r="F276">
        <v>8</v>
      </c>
    </row>
    <row r="277" spans="1:6" x14ac:dyDescent="0.25">
      <c r="A277" s="18" t="s">
        <v>371</v>
      </c>
      <c r="B277" t="s">
        <v>297</v>
      </c>
      <c r="C277">
        <v>20532770</v>
      </c>
      <c r="D277" t="s">
        <v>298</v>
      </c>
      <c r="E277" t="s">
        <v>7</v>
      </c>
      <c r="F277">
        <v>8</v>
      </c>
    </row>
    <row r="278" spans="1:6" x14ac:dyDescent="0.25">
      <c r="A278" s="18" t="s">
        <v>371</v>
      </c>
      <c r="B278" t="s">
        <v>336</v>
      </c>
      <c r="C278">
        <v>20527197</v>
      </c>
      <c r="D278" t="s">
        <v>337</v>
      </c>
      <c r="E278" t="s">
        <v>7</v>
      </c>
      <c r="F278">
        <v>8</v>
      </c>
    </row>
    <row r="279" spans="1:6" x14ac:dyDescent="0.25">
      <c r="A279" s="15" t="s">
        <v>726</v>
      </c>
      <c r="B279" t="s">
        <v>372</v>
      </c>
      <c r="C279">
        <v>20527169</v>
      </c>
      <c r="D279" t="s">
        <v>373</v>
      </c>
      <c r="E279" t="s">
        <v>7</v>
      </c>
      <c r="F279">
        <v>8</v>
      </c>
    </row>
    <row r="280" spans="1:6" x14ac:dyDescent="0.25">
      <c r="A280" s="15" t="s">
        <v>726</v>
      </c>
      <c r="B280" t="s">
        <v>418</v>
      </c>
      <c r="C280">
        <v>20527180</v>
      </c>
      <c r="D280" t="s">
        <v>419</v>
      </c>
      <c r="E280" t="s">
        <v>7</v>
      </c>
      <c r="F280">
        <v>8</v>
      </c>
    </row>
    <row r="281" spans="1:6" x14ac:dyDescent="0.25">
      <c r="A281" s="15" t="s">
        <v>726</v>
      </c>
      <c r="B281" t="s">
        <v>467</v>
      </c>
      <c r="C281">
        <v>20528654</v>
      </c>
      <c r="D281" t="s">
        <v>468</v>
      </c>
      <c r="E281" t="s">
        <v>7</v>
      </c>
      <c r="F281">
        <v>8</v>
      </c>
    </row>
    <row r="282" spans="1:6" x14ac:dyDescent="0.25">
      <c r="A282" s="15" t="s">
        <v>726</v>
      </c>
      <c r="B282" t="s">
        <v>515</v>
      </c>
      <c r="C282">
        <v>20527180</v>
      </c>
      <c r="D282" t="s">
        <v>516</v>
      </c>
      <c r="E282" t="s">
        <v>7</v>
      </c>
      <c r="F282">
        <v>8</v>
      </c>
    </row>
    <row r="283" spans="1:6" x14ac:dyDescent="0.25">
      <c r="A283" s="15" t="s">
        <v>726</v>
      </c>
      <c r="B283" t="s">
        <v>561</v>
      </c>
      <c r="C283">
        <v>20527197</v>
      </c>
      <c r="D283" t="s">
        <v>562</v>
      </c>
      <c r="E283" t="s">
        <v>7</v>
      </c>
      <c r="F283">
        <v>8</v>
      </c>
    </row>
    <row r="284" spans="1:6" x14ac:dyDescent="0.25">
      <c r="A284" s="15" t="s">
        <v>726</v>
      </c>
      <c r="B284" t="s">
        <v>610</v>
      </c>
      <c r="C284">
        <v>20527197</v>
      </c>
      <c r="D284" t="s">
        <v>611</v>
      </c>
      <c r="E284" t="s">
        <v>7</v>
      </c>
      <c r="F284">
        <v>8</v>
      </c>
    </row>
    <row r="285" spans="1:6" x14ac:dyDescent="0.25">
      <c r="A285" s="15" t="s">
        <v>726</v>
      </c>
      <c r="B285" t="s">
        <v>643</v>
      </c>
      <c r="C285">
        <v>20527180</v>
      </c>
      <c r="D285" t="s">
        <v>644</v>
      </c>
      <c r="E285" t="s">
        <v>7</v>
      </c>
      <c r="F285">
        <v>8</v>
      </c>
    </row>
    <row r="286" spans="1:6" x14ac:dyDescent="0.25">
      <c r="A286" s="15" t="s">
        <v>726</v>
      </c>
      <c r="B286" t="s">
        <v>669</v>
      </c>
      <c r="C286">
        <v>20566545</v>
      </c>
      <c r="D286" t="s">
        <v>670</v>
      </c>
      <c r="E286" t="s">
        <v>7</v>
      </c>
      <c r="F286">
        <v>8</v>
      </c>
    </row>
    <row r="287" spans="1:6" x14ac:dyDescent="0.25">
      <c r="A287" s="15" t="s">
        <v>726</v>
      </c>
      <c r="B287" t="s">
        <v>720</v>
      </c>
      <c r="C287">
        <v>20527201</v>
      </c>
      <c r="D287" t="s">
        <v>721</v>
      </c>
      <c r="E287" t="s">
        <v>7</v>
      </c>
      <c r="F287">
        <v>8</v>
      </c>
    </row>
    <row r="288" spans="1:6" x14ac:dyDescent="0.25">
      <c r="A288" s="17" t="s">
        <v>197</v>
      </c>
      <c r="B288" t="s">
        <v>190</v>
      </c>
      <c r="C288">
        <v>69980199</v>
      </c>
      <c r="D288" t="s">
        <v>191</v>
      </c>
      <c r="E288" t="s">
        <v>7</v>
      </c>
      <c r="F288">
        <v>8</v>
      </c>
    </row>
    <row r="289" spans="1:6" x14ac:dyDescent="0.25">
      <c r="A289" s="16" t="s">
        <v>80</v>
      </c>
      <c r="B289" t="s">
        <v>76</v>
      </c>
      <c r="C289">
        <v>20311088</v>
      </c>
      <c r="D289" t="s">
        <v>77</v>
      </c>
      <c r="E289" t="s">
        <v>8</v>
      </c>
      <c r="F289">
        <v>9</v>
      </c>
    </row>
    <row r="290" spans="1:6" x14ac:dyDescent="0.25">
      <c r="A290" s="14" t="s">
        <v>141</v>
      </c>
      <c r="B290" t="s">
        <v>115</v>
      </c>
      <c r="C290">
        <v>20527197</v>
      </c>
      <c r="D290" t="s">
        <v>116</v>
      </c>
      <c r="E290" t="s">
        <v>8</v>
      </c>
      <c r="F290">
        <v>9</v>
      </c>
    </row>
    <row r="291" spans="1:6" x14ac:dyDescent="0.25">
      <c r="A291" s="18" t="s">
        <v>371</v>
      </c>
      <c r="B291" t="s">
        <v>226</v>
      </c>
      <c r="C291">
        <v>20527197</v>
      </c>
      <c r="D291" t="s">
        <v>227</v>
      </c>
      <c r="E291" t="s">
        <v>8</v>
      </c>
      <c r="F291">
        <v>9</v>
      </c>
    </row>
    <row r="292" spans="1:6" x14ac:dyDescent="0.25">
      <c r="A292" s="18" t="s">
        <v>371</v>
      </c>
      <c r="B292" t="s">
        <v>270</v>
      </c>
      <c r="C292">
        <v>20527197</v>
      </c>
      <c r="D292" t="s">
        <v>271</v>
      </c>
      <c r="E292" t="s">
        <v>8</v>
      </c>
      <c r="F292">
        <v>9</v>
      </c>
    </row>
    <row r="293" spans="1:6" x14ac:dyDescent="0.25">
      <c r="A293" s="18" t="s">
        <v>371</v>
      </c>
      <c r="B293" t="s">
        <v>319</v>
      </c>
      <c r="C293">
        <v>20583363</v>
      </c>
      <c r="D293" t="s">
        <v>320</v>
      </c>
      <c r="E293" t="s">
        <v>8</v>
      </c>
      <c r="F293">
        <v>9</v>
      </c>
    </row>
    <row r="294" spans="1:6" x14ac:dyDescent="0.25">
      <c r="A294" s="18" t="s">
        <v>371</v>
      </c>
      <c r="B294" t="s">
        <v>357</v>
      </c>
      <c r="C294">
        <v>20527197</v>
      </c>
      <c r="D294" t="s">
        <v>358</v>
      </c>
      <c r="E294" t="s">
        <v>8</v>
      </c>
      <c r="F294">
        <v>9</v>
      </c>
    </row>
    <row r="295" spans="1:6" x14ac:dyDescent="0.25">
      <c r="A295" s="15" t="s">
        <v>726</v>
      </c>
      <c r="B295" t="s">
        <v>392</v>
      </c>
      <c r="C295">
        <v>20527197</v>
      </c>
      <c r="D295" t="s">
        <v>393</v>
      </c>
      <c r="E295" t="s">
        <v>8</v>
      </c>
      <c r="F295">
        <v>9</v>
      </c>
    </row>
    <row r="296" spans="1:6" x14ac:dyDescent="0.25">
      <c r="A296" s="15" t="s">
        <v>726</v>
      </c>
      <c r="B296" t="s">
        <v>428</v>
      </c>
      <c r="C296">
        <v>20527197</v>
      </c>
      <c r="D296" t="s">
        <v>429</v>
      </c>
      <c r="E296" t="s">
        <v>8</v>
      </c>
      <c r="F296">
        <v>9</v>
      </c>
    </row>
    <row r="297" spans="1:6" x14ac:dyDescent="0.25">
      <c r="A297" s="15" t="s">
        <v>726</v>
      </c>
      <c r="B297" t="s">
        <v>462</v>
      </c>
      <c r="C297">
        <v>20527197</v>
      </c>
      <c r="D297" t="s">
        <v>463</v>
      </c>
      <c r="E297" t="s">
        <v>8</v>
      </c>
      <c r="F297">
        <v>9</v>
      </c>
    </row>
    <row r="298" spans="1:6" x14ac:dyDescent="0.25">
      <c r="A298" s="15" t="s">
        <v>726</v>
      </c>
      <c r="B298" t="s">
        <v>499</v>
      </c>
      <c r="C298">
        <v>20527197</v>
      </c>
      <c r="D298" t="s">
        <v>500</v>
      </c>
      <c r="E298" t="s">
        <v>8</v>
      </c>
      <c r="F298">
        <v>9</v>
      </c>
    </row>
    <row r="299" spans="1:6" x14ac:dyDescent="0.25">
      <c r="A299" s="15" t="s">
        <v>726</v>
      </c>
      <c r="B299" t="s">
        <v>535</v>
      </c>
      <c r="C299">
        <v>20527197</v>
      </c>
      <c r="D299" t="s">
        <v>536</v>
      </c>
      <c r="E299" t="s">
        <v>8</v>
      </c>
      <c r="F299">
        <v>9</v>
      </c>
    </row>
    <row r="300" spans="1:6" x14ac:dyDescent="0.25">
      <c r="A300" s="15" t="s">
        <v>726</v>
      </c>
      <c r="B300" t="s">
        <v>566</v>
      </c>
      <c r="C300">
        <v>20527197</v>
      </c>
      <c r="D300" t="s">
        <v>567</v>
      </c>
      <c r="E300" t="s">
        <v>8</v>
      </c>
      <c r="F300">
        <v>9</v>
      </c>
    </row>
    <row r="301" spans="1:6" x14ac:dyDescent="0.25">
      <c r="A301" s="15" t="s">
        <v>726</v>
      </c>
      <c r="B301" t="s">
        <v>598</v>
      </c>
      <c r="C301">
        <v>20527197</v>
      </c>
      <c r="D301" t="s">
        <v>599</v>
      </c>
      <c r="E301" t="s">
        <v>8</v>
      </c>
      <c r="F301">
        <v>9</v>
      </c>
    </row>
    <row r="302" spans="1:6" x14ac:dyDescent="0.25">
      <c r="A302" s="15" t="s">
        <v>726</v>
      </c>
      <c r="B302">
        <v>3082095795</v>
      </c>
      <c r="C302">
        <v>20566545</v>
      </c>
      <c r="D302" t="s">
        <v>640</v>
      </c>
      <c r="E302" t="s">
        <v>8</v>
      </c>
      <c r="F302">
        <v>9</v>
      </c>
    </row>
    <row r="303" spans="1:6" x14ac:dyDescent="0.25">
      <c r="A303" s="15" t="s">
        <v>726</v>
      </c>
      <c r="B303" t="s">
        <v>693</v>
      </c>
      <c r="C303">
        <v>20527197</v>
      </c>
      <c r="D303" t="s">
        <v>694</v>
      </c>
      <c r="E303" t="s">
        <v>8</v>
      </c>
      <c r="F303">
        <v>9</v>
      </c>
    </row>
    <row r="304" spans="1:6" x14ac:dyDescent="0.25">
      <c r="A304" s="15" t="s">
        <v>726</v>
      </c>
      <c r="B304" t="s">
        <v>722</v>
      </c>
      <c r="C304">
        <v>20527180</v>
      </c>
      <c r="D304" t="s">
        <v>723</v>
      </c>
      <c r="E304" t="s">
        <v>8</v>
      </c>
      <c r="F304">
        <v>9</v>
      </c>
    </row>
    <row r="305" spans="1:6" x14ac:dyDescent="0.25">
      <c r="A305" s="17" t="s">
        <v>197</v>
      </c>
      <c r="B305" t="s">
        <v>167</v>
      </c>
      <c r="C305">
        <v>20527180</v>
      </c>
      <c r="D305" t="s">
        <v>168</v>
      </c>
      <c r="E305" t="s">
        <v>8</v>
      </c>
      <c r="F305">
        <v>9</v>
      </c>
    </row>
    <row r="306" spans="1:6" x14ac:dyDescent="0.25">
      <c r="A306" s="17" t="s">
        <v>197</v>
      </c>
      <c r="B306">
        <v>3099859817</v>
      </c>
      <c r="C306">
        <v>20527197</v>
      </c>
      <c r="D306" t="s">
        <v>194</v>
      </c>
      <c r="E306" t="s">
        <v>8</v>
      </c>
      <c r="F306">
        <v>9</v>
      </c>
    </row>
    <row r="307" spans="1:6" x14ac:dyDescent="0.25">
      <c r="A307" s="13" t="s">
        <v>50</v>
      </c>
      <c r="B307" t="s">
        <v>38</v>
      </c>
      <c r="C307">
        <v>20527197</v>
      </c>
      <c r="D307" t="s">
        <v>39</v>
      </c>
      <c r="E307" t="s">
        <v>7</v>
      </c>
      <c r="F307">
        <v>9</v>
      </c>
    </row>
    <row r="308" spans="1:6" x14ac:dyDescent="0.25">
      <c r="A308" s="16" t="s">
        <v>80</v>
      </c>
      <c r="B308" t="s">
        <v>70</v>
      </c>
      <c r="C308">
        <v>20528625</v>
      </c>
      <c r="D308" t="s">
        <v>71</v>
      </c>
      <c r="E308" t="s">
        <v>7</v>
      </c>
      <c r="F308">
        <v>9</v>
      </c>
    </row>
    <row r="309" spans="1:6" x14ac:dyDescent="0.25">
      <c r="A309" s="14" t="s">
        <v>141</v>
      </c>
      <c r="B309" t="s">
        <v>107</v>
      </c>
      <c r="C309">
        <v>20527197</v>
      </c>
      <c r="D309" t="s">
        <v>108</v>
      </c>
      <c r="E309" t="s">
        <v>7</v>
      </c>
      <c r="F309">
        <v>9</v>
      </c>
    </row>
    <row r="310" spans="1:6" x14ac:dyDescent="0.25">
      <c r="A310" s="14" t="s">
        <v>141</v>
      </c>
      <c r="B310" t="s">
        <v>137</v>
      </c>
      <c r="C310">
        <v>20527195</v>
      </c>
      <c r="D310" t="s">
        <v>138</v>
      </c>
      <c r="E310" t="s">
        <v>7</v>
      </c>
      <c r="F310">
        <v>9</v>
      </c>
    </row>
    <row r="311" spans="1:6" x14ac:dyDescent="0.25">
      <c r="A311" s="18" t="s">
        <v>371</v>
      </c>
      <c r="B311" t="s">
        <v>232</v>
      </c>
      <c r="C311">
        <v>20583363</v>
      </c>
      <c r="D311" t="s">
        <v>233</v>
      </c>
      <c r="E311" t="s">
        <v>7</v>
      </c>
      <c r="F311">
        <v>9</v>
      </c>
    </row>
    <row r="312" spans="1:6" x14ac:dyDescent="0.25">
      <c r="A312" s="18" t="s">
        <v>371</v>
      </c>
      <c r="B312" t="s">
        <v>266</v>
      </c>
      <c r="C312">
        <v>20528625</v>
      </c>
      <c r="D312" t="s">
        <v>267</v>
      </c>
      <c r="E312" t="s">
        <v>7</v>
      </c>
      <c r="F312">
        <v>9</v>
      </c>
    </row>
    <row r="313" spans="1:6" x14ac:dyDescent="0.25">
      <c r="A313" s="18" t="s">
        <v>371</v>
      </c>
      <c r="B313" t="s">
        <v>299</v>
      </c>
      <c r="C313">
        <v>20527197</v>
      </c>
      <c r="D313" t="s">
        <v>300</v>
      </c>
      <c r="E313" t="s">
        <v>7</v>
      </c>
      <c r="F313">
        <v>9</v>
      </c>
    </row>
    <row r="314" spans="1:6" x14ac:dyDescent="0.25">
      <c r="A314" s="18" t="s">
        <v>371</v>
      </c>
      <c r="B314" t="s">
        <v>338</v>
      </c>
      <c r="C314">
        <v>69867917</v>
      </c>
      <c r="D314" t="s">
        <v>339</v>
      </c>
      <c r="E314" t="s">
        <v>7</v>
      </c>
      <c r="F314">
        <v>9</v>
      </c>
    </row>
    <row r="315" spans="1:6" x14ac:dyDescent="0.25">
      <c r="A315" s="15" t="s">
        <v>726</v>
      </c>
      <c r="B315" t="s">
        <v>374</v>
      </c>
      <c r="C315">
        <v>20527197</v>
      </c>
      <c r="D315" t="s">
        <v>375</v>
      </c>
      <c r="E315" t="s">
        <v>7</v>
      </c>
      <c r="F315">
        <v>9</v>
      </c>
    </row>
    <row r="316" spans="1:6" x14ac:dyDescent="0.25">
      <c r="A316" s="15" t="s">
        <v>726</v>
      </c>
      <c r="B316" t="s">
        <v>420</v>
      </c>
      <c r="C316">
        <v>20527180</v>
      </c>
      <c r="D316" t="s">
        <v>421</v>
      </c>
      <c r="E316" t="s">
        <v>7</v>
      </c>
      <c r="F316">
        <v>9</v>
      </c>
    </row>
    <row r="317" spans="1:6" x14ac:dyDescent="0.25">
      <c r="A317" s="15" t="s">
        <v>726</v>
      </c>
      <c r="B317" t="s">
        <v>475</v>
      </c>
      <c r="C317">
        <v>20527197</v>
      </c>
      <c r="D317" t="s">
        <v>476</v>
      </c>
      <c r="E317" t="s">
        <v>7</v>
      </c>
      <c r="F317">
        <v>9</v>
      </c>
    </row>
    <row r="318" spans="1:6" x14ac:dyDescent="0.25">
      <c r="A318" s="15" t="s">
        <v>726</v>
      </c>
      <c r="B318" t="s">
        <v>519</v>
      </c>
      <c r="C318">
        <v>20527197</v>
      </c>
      <c r="D318" t="s">
        <v>520</v>
      </c>
      <c r="E318" t="s">
        <v>7</v>
      </c>
      <c r="F318">
        <v>9</v>
      </c>
    </row>
    <row r="319" spans="1:6" x14ac:dyDescent="0.25">
      <c r="A319" s="15" t="s">
        <v>726</v>
      </c>
      <c r="B319">
        <v>3086768292</v>
      </c>
      <c r="C319">
        <v>20527202</v>
      </c>
      <c r="D319" t="s">
        <v>563</v>
      </c>
      <c r="E319" t="s">
        <v>7</v>
      </c>
      <c r="F319">
        <v>9</v>
      </c>
    </row>
    <row r="320" spans="1:6" x14ac:dyDescent="0.25">
      <c r="A320" s="15" t="s">
        <v>726</v>
      </c>
      <c r="B320" t="s">
        <v>612</v>
      </c>
      <c r="C320">
        <v>20527197</v>
      </c>
      <c r="D320" t="s">
        <v>613</v>
      </c>
      <c r="E320" t="s">
        <v>7</v>
      </c>
      <c r="F320">
        <v>9</v>
      </c>
    </row>
    <row r="321" spans="1:6" x14ac:dyDescent="0.25">
      <c r="A321" s="15" t="s">
        <v>726</v>
      </c>
      <c r="B321" t="s">
        <v>645</v>
      </c>
      <c r="C321">
        <v>20527197</v>
      </c>
      <c r="D321" t="s">
        <v>646</v>
      </c>
      <c r="E321" t="s">
        <v>7</v>
      </c>
      <c r="F321">
        <v>9</v>
      </c>
    </row>
    <row r="322" spans="1:6" x14ac:dyDescent="0.25">
      <c r="A322" s="15" t="s">
        <v>726</v>
      </c>
      <c r="B322" t="s">
        <v>673</v>
      </c>
      <c r="C322">
        <v>20566545</v>
      </c>
      <c r="D322" t="s">
        <v>674</v>
      </c>
      <c r="E322" t="s">
        <v>7</v>
      </c>
      <c r="F322">
        <v>9</v>
      </c>
    </row>
    <row r="323" spans="1:6" x14ac:dyDescent="0.25">
      <c r="A323" s="15" t="s">
        <v>726</v>
      </c>
      <c r="B323" t="s">
        <v>469</v>
      </c>
      <c r="C323">
        <v>20527197</v>
      </c>
      <c r="D323" t="s">
        <v>470</v>
      </c>
      <c r="E323" t="s">
        <v>7</v>
      </c>
      <c r="F323">
        <v>9</v>
      </c>
    </row>
    <row r="324" spans="1:6" x14ac:dyDescent="0.25">
      <c r="A324" s="17" t="s">
        <v>197</v>
      </c>
      <c r="B324" t="s">
        <v>195</v>
      </c>
      <c r="C324">
        <v>20527187</v>
      </c>
      <c r="D324" t="s">
        <v>196</v>
      </c>
      <c r="E324" t="s">
        <v>7</v>
      </c>
      <c r="F324">
        <v>9</v>
      </c>
    </row>
    <row r="325" spans="1:6" x14ac:dyDescent="0.25">
      <c r="A325" s="14" t="s">
        <v>141</v>
      </c>
      <c r="B325" t="s">
        <v>139</v>
      </c>
      <c r="C325">
        <v>20583363</v>
      </c>
      <c r="D325" t="s">
        <v>140</v>
      </c>
      <c r="E325" t="s">
        <v>8</v>
      </c>
      <c r="F325">
        <v>10</v>
      </c>
    </row>
    <row r="326" spans="1:6" x14ac:dyDescent="0.25">
      <c r="A326" s="14" t="s">
        <v>141</v>
      </c>
      <c r="B326" t="s">
        <v>117</v>
      </c>
      <c r="C326">
        <v>20537422</v>
      </c>
      <c r="D326" t="s">
        <v>118</v>
      </c>
      <c r="E326" t="s">
        <v>8</v>
      </c>
      <c r="F326">
        <v>10</v>
      </c>
    </row>
    <row r="327" spans="1:6" x14ac:dyDescent="0.25">
      <c r="A327" s="18" t="s">
        <v>371</v>
      </c>
      <c r="B327" t="s">
        <v>230</v>
      </c>
      <c r="C327">
        <v>20527197</v>
      </c>
      <c r="D327" t="s">
        <v>231</v>
      </c>
      <c r="E327" t="s">
        <v>8</v>
      </c>
      <c r="F327">
        <v>10</v>
      </c>
    </row>
    <row r="328" spans="1:6" x14ac:dyDescent="0.25">
      <c r="A328" s="18" t="s">
        <v>371</v>
      </c>
      <c r="B328" t="s">
        <v>274</v>
      </c>
      <c r="C328">
        <v>20583363</v>
      </c>
      <c r="D328" t="s">
        <v>275</v>
      </c>
      <c r="E328" t="s">
        <v>8</v>
      </c>
      <c r="F328">
        <v>10</v>
      </c>
    </row>
    <row r="329" spans="1:6" x14ac:dyDescent="0.25">
      <c r="A329" s="18" t="s">
        <v>371</v>
      </c>
      <c r="B329" t="s">
        <v>321</v>
      </c>
      <c r="C329">
        <v>20527180</v>
      </c>
      <c r="D329" t="s">
        <v>322</v>
      </c>
      <c r="E329" t="s">
        <v>8</v>
      </c>
      <c r="F329">
        <v>10</v>
      </c>
    </row>
    <row r="330" spans="1:6" x14ac:dyDescent="0.25">
      <c r="A330" s="18" t="s">
        <v>371</v>
      </c>
      <c r="B330" t="s">
        <v>359</v>
      </c>
      <c r="C330">
        <v>20527197</v>
      </c>
      <c r="D330" t="s">
        <v>360</v>
      </c>
      <c r="E330" t="s">
        <v>8</v>
      </c>
      <c r="F330">
        <v>10</v>
      </c>
    </row>
    <row r="331" spans="1:6" x14ac:dyDescent="0.25">
      <c r="A331" s="15" t="s">
        <v>726</v>
      </c>
      <c r="B331" t="s">
        <v>394</v>
      </c>
      <c r="C331">
        <v>20527197</v>
      </c>
      <c r="D331" t="s">
        <v>395</v>
      </c>
      <c r="E331" t="s">
        <v>8</v>
      </c>
      <c r="F331">
        <v>10</v>
      </c>
    </row>
    <row r="332" spans="1:6" x14ac:dyDescent="0.25">
      <c r="A332" s="15" t="s">
        <v>726</v>
      </c>
      <c r="B332" t="s">
        <v>430</v>
      </c>
      <c r="C332">
        <v>20527197</v>
      </c>
      <c r="D332" t="s">
        <v>431</v>
      </c>
      <c r="E332" t="s">
        <v>8</v>
      </c>
      <c r="F332">
        <v>10</v>
      </c>
    </row>
    <row r="333" spans="1:6" x14ac:dyDescent="0.25">
      <c r="A333" s="15" t="s">
        <v>726</v>
      </c>
      <c r="B333">
        <v>3087463662</v>
      </c>
      <c r="C333">
        <v>20583363</v>
      </c>
      <c r="D333" t="s">
        <v>464</v>
      </c>
      <c r="E333" t="s">
        <v>8</v>
      </c>
      <c r="F333">
        <v>10</v>
      </c>
    </row>
    <row r="334" spans="1:6" x14ac:dyDescent="0.25">
      <c r="A334" s="15" t="s">
        <v>726</v>
      </c>
      <c r="B334" t="s">
        <v>501</v>
      </c>
      <c r="C334">
        <v>20527197</v>
      </c>
      <c r="D334" t="s">
        <v>502</v>
      </c>
      <c r="E334" t="s">
        <v>8</v>
      </c>
      <c r="F334">
        <v>10</v>
      </c>
    </row>
    <row r="335" spans="1:6" x14ac:dyDescent="0.25">
      <c r="A335" s="15" t="s">
        <v>726</v>
      </c>
      <c r="B335" t="s">
        <v>541</v>
      </c>
      <c r="C335">
        <v>20527180</v>
      </c>
      <c r="D335" t="s">
        <v>542</v>
      </c>
      <c r="E335" t="s">
        <v>8</v>
      </c>
      <c r="F335">
        <v>10</v>
      </c>
    </row>
    <row r="336" spans="1:6" x14ac:dyDescent="0.25">
      <c r="A336" s="15" t="s">
        <v>726</v>
      </c>
      <c r="B336" t="s">
        <v>572</v>
      </c>
      <c r="C336">
        <v>20527180</v>
      </c>
      <c r="D336" t="s">
        <v>573</v>
      </c>
      <c r="E336" t="s">
        <v>8</v>
      </c>
      <c r="F336">
        <v>10</v>
      </c>
    </row>
    <row r="337" spans="1:6" x14ac:dyDescent="0.25">
      <c r="A337" s="15" t="s">
        <v>726</v>
      </c>
      <c r="B337" t="s">
        <v>602</v>
      </c>
      <c r="C337">
        <v>20527197</v>
      </c>
      <c r="D337" t="s">
        <v>603</v>
      </c>
      <c r="E337" t="s">
        <v>8</v>
      </c>
      <c r="F337">
        <v>10</v>
      </c>
    </row>
    <row r="338" spans="1:6" x14ac:dyDescent="0.25">
      <c r="A338" s="15" t="s">
        <v>726</v>
      </c>
      <c r="B338" t="s">
        <v>649</v>
      </c>
      <c r="C338">
        <v>20527180</v>
      </c>
      <c r="D338" t="s">
        <v>650</v>
      </c>
      <c r="E338" t="s">
        <v>8</v>
      </c>
      <c r="F338">
        <v>10</v>
      </c>
    </row>
    <row r="339" spans="1:6" x14ac:dyDescent="0.25">
      <c r="A339" s="15" t="s">
        <v>726</v>
      </c>
      <c r="B339" t="s">
        <v>695</v>
      </c>
      <c r="C339">
        <v>20566545</v>
      </c>
      <c r="D339" t="s">
        <v>696</v>
      </c>
      <c r="E339" t="s">
        <v>8</v>
      </c>
      <c r="F339">
        <v>10</v>
      </c>
    </row>
    <row r="340" spans="1:6" x14ac:dyDescent="0.25">
      <c r="A340" s="15" t="s">
        <v>726</v>
      </c>
      <c r="B340" t="s">
        <v>724</v>
      </c>
      <c r="C340">
        <v>20527180</v>
      </c>
      <c r="D340" t="s">
        <v>725</v>
      </c>
      <c r="E340" t="s">
        <v>8</v>
      </c>
      <c r="F340">
        <v>10</v>
      </c>
    </row>
    <row r="341" spans="1:6" x14ac:dyDescent="0.25">
      <c r="A341" s="17" t="s">
        <v>197</v>
      </c>
      <c r="B341">
        <v>3082508031</v>
      </c>
      <c r="C341">
        <v>20583367</v>
      </c>
      <c r="D341" t="s">
        <v>173</v>
      </c>
      <c r="E341" t="s">
        <v>8</v>
      </c>
      <c r="F341">
        <v>10</v>
      </c>
    </row>
    <row r="342" spans="1:6" x14ac:dyDescent="0.25">
      <c r="A342" s="13" t="s">
        <v>50</v>
      </c>
      <c r="B342" t="s">
        <v>16</v>
      </c>
      <c r="C342">
        <v>20527169</v>
      </c>
      <c r="D342" t="s">
        <v>17</v>
      </c>
      <c r="E342" t="s">
        <v>7</v>
      </c>
      <c r="F342">
        <v>10</v>
      </c>
    </row>
    <row r="343" spans="1:6" x14ac:dyDescent="0.25">
      <c r="A343" s="13" t="s">
        <v>50</v>
      </c>
      <c r="B343" t="s">
        <v>40</v>
      </c>
      <c r="C343">
        <v>20527180</v>
      </c>
      <c r="D343" t="s">
        <v>41</v>
      </c>
      <c r="E343" t="s">
        <v>7</v>
      </c>
      <c r="F343">
        <v>10</v>
      </c>
    </row>
    <row r="344" spans="1:6" x14ac:dyDescent="0.25">
      <c r="A344" s="16" t="s">
        <v>80</v>
      </c>
      <c r="B344" t="s">
        <v>72</v>
      </c>
      <c r="C344">
        <v>20527169</v>
      </c>
      <c r="D344" t="s">
        <v>73</v>
      </c>
      <c r="E344" t="s">
        <v>7</v>
      </c>
      <c r="F344">
        <v>10</v>
      </c>
    </row>
    <row r="345" spans="1:6" x14ac:dyDescent="0.25">
      <c r="A345" s="14" t="s">
        <v>141</v>
      </c>
      <c r="B345" t="s">
        <v>109</v>
      </c>
      <c r="C345">
        <v>20527197</v>
      </c>
      <c r="D345" t="s">
        <v>110</v>
      </c>
      <c r="E345" t="s">
        <v>7</v>
      </c>
      <c r="F345">
        <v>10</v>
      </c>
    </row>
    <row r="346" spans="1:6" x14ac:dyDescent="0.25">
      <c r="A346" s="18" t="s">
        <v>371</v>
      </c>
      <c r="B346" t="s">
        <v>198</v>
      </c>
      <c r="C346">
        <v>20583367</v>
      </c>
      <c r="D346" t="s">
        <v>199</v>
      </c>
      <c r="E346" t="s">
        <v>7</v>
      </c>
      <c r="F346">
        <v>10</v>
      </c>
    </row>
    <row r="347" spans="1:6" x14ac:dyDescent="0.25">
      <c r="A347" s="18" t="s">
        <v>371</v>
      </c>
      <c r="B347" t="s">
        <v>234</v>
      </c>
      <c r="C347">
        <v>20529925</v>
      </c>
      <c r="D347" t="s">
        <v>235</v>
      </c>
      <c r="E347" t="s">
        <v>7</v>
      </c>
      <c r="F347">
        <v>10</v>
      </c>
    </row>
    <row r="348" spans="1:6" x14ac:dyDescent="0.25">
      <c r="A348" s="18" t="s">
        <v>371</v>
      </c>
      <c r="B348" t="s">
        <v>268</v>
      </c>
      <c r="C348">
        <v>20566545</v>
      </c>
      <c r="D348" t="s">
        <v>269</v>
      </c>
      <c r="E348" t="s">
        <v>7</v>
      </c>
      <c r="F348">
        <v>10</v>
      </c>
    </row>
    <row r="349" spans="1:6" x14ac:dyDescent="0.25">
      <c r="A349" s="18" t="s">
        <v>371</v>
      </c>
      <c r="B349" t="s">
        <v>301</v>
      </c>
      <c r="C349">
        <v>20527197</v>
      </c>
      <c r="D349" t="s">
        <v>302</v>
      </c>
      <c r="E349" t="s">
        <v>7</v>
      </c>
      <c r="F349">
        <v>10</v>
      </c>
    </row>
    <row r="350" spans="1:6" x14ac:dyDescent="0.25">
      <c r="A350" s="18" t="s">
        <v>371</v>
      </c>
      <c r="B350" t="s">
        <v>344</v>
      </c>
      <c r="C350">
        <v>20566545</v>
      </c>
      <c r="D350" t="s">
        <v>345</v>
      </c>
      <c r="E350" t="s">
        <v>7</v>
      </c>
      <c r="F350">
        <v>10</v>
      </c>
    </row>
    <row r="351" spans="1:6" x14ac:dyDescent="0.25">
      <c r="A351" s="15" t="s">
        <v>726</v>
      </c>
      <c r="B351" t="s">
        <v>376</v>
      </c>
      <c r="C351">
        <v>20527187</v>
      </c>
      <c r="D351" t="s">
        <v>377</v>
      </c>
      <c r="E351" t="s">
        <v>7</v>
      </c>
      <c r="F351">
        <v>10</v>
      </c>
    </row>
    <row r="352" spans="1:6" x14ac:dyDescent="0.25">
      <c r="A352" s="15" t="s">
        <v>726</v>
      </c>
      <c r="B352" t="s">
        <v>422</v>
      </c>
      <c r="C352">
        <v>20527197</v>
      </c>
      <c r="D352" t="s">
        <v>423</v>
      </c>
      <c r="E352" t="s">
        <v>7</v>
      </c>
      <c r="F352">
        <v>10</v>
      </c>
    </row>
    <row r="353" spans="1:6" x14ac:dyDescent="0.25">
      <c r="A353" s="15" t="s">
        <v>726</v>
      </c>
      <c r="B353" t="s">
        <v>477</v>
      </c>
      <c r="C353">
        <v>20527197</v>
      </c>
      <c r="D353" t="s">
        <v>478</v>
      </c>
      <c r="E353" t="s">
        <v>7</v>
      </c>
      <c r="F353">
        <v>10</v>
      </c>
    </row>
    <row r="354" spans="1:6" x14ac:dyDescent="0.25">
      <c r="A354" s="15" t="s">
        <v>726</v>
      </c>
      <c r="B354" t="s">
        <v>523</v>
      </c>
      <c r="C354">
        <v>20583363</v>
      </c>
      <c r="D354" t="s">
        <v>524</v>
      </c>
      <c r="E354" t="s">
        <v>7</v>
      </c>
      <c r="F354">
        <v>10</v>
      </c>
    </row>
    <row r="355" spans="1:6" x14ac:dyDescent="0.25">
      <c r="A355" s="15" t="s">
        <v>726</v>
      </c>
      <c r="B355" t="s">
        <v>568</v>
      </c>
      <c r="C355">
        <v>20527180</v>
      </c>
      <c r="D355" t="s">
        <v>569</v>
      </c>
      <c r="E355" t="s">
        <v>7</v>
      </c>
      <c r="F355">
        <v>10</v>
      </c>
    </row>
    <row r="356" spans="1:6" x14ac:dyDescent="0.25">
      <c r="A356" s="15" t="s">
        <v>726</v>
      </c>
      <c r="B356" t="s">
        <v>620</v>
      </c>
      <c r="C356">
        <v>20527197</v>
      </c>
      <c r="D356" t="s">
        <v>621</v>
      </c>
      <c r="E356" t="s">
        <v>7</v>
      </c>
      <c r="F356">
        <v>10</v>
      </c>
    </row>
    <row r="357" spans="1:6" x14ac:dyDescent="0.25">
      <c r="A357" s="15" t="s">
        <v>726</v>
      </c>
      <c r="B357" t="s">
        <v>647</v>
      </c>
      <c r="C357">
        <v>20527197</v>
      </c>
      <c r="D357" t="s">
        <v>648</v>
      </c>
      <c r="E357" t="s">
        <v>7</v>
      </c>
      <c r="F357">
        <v>10</v>
      </c>
    </row>
    <row r="358" spans="1:6" x14ac:dyDescent="0.25">
      <c r="A358" s="15" t="s">
        <v>726</v>
      </c>
      <c r="B358" t="s">
        <v>681</v>
      </c>
      <c r="C358">
        <v>20527180</v>
      </c>
      <c r="D358" t="s">
        <v>682</v>
      </c>
      <c r="E358" t="s">
        <v>7</v>
      </c>
      <c r="F358">
        <v>10</v>
      </c>
    </row>
    <row r="359" spans="1:6" x14ac:dyDescent="0.25">
      <c r="A359" s="17" t="s">
        <v>197</v>
      </c>
      <c r="B359" t="s">
        <v>147</v>
      </c>
      <c r="C359">
        <v>20527197</v>
      </c>
      <c r="D359" t="s">
        <v>148</v>
      </c>
      <c r="E359" t="s">
        <v>7</v>
      </c>
      <c r="F359">
        <v>10</v>
      </c>
    </row>
  </sheetData>
  <sortState xmlns:xlrd2="http://schemas.microsoft.com/office/spreadsheetml/2017/richdata2" ref="A1:F360">
    <sortCondition ref="F1:F360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I179"/>
  <sheetViews>
    <sheetView topLeftCell="T37" workbookViewId="0">
      <selection activeCell="AA14" sqref="AA14"/>
    </sheetView>
  </sheetViews>
  <sheetFormatPr defaultRowHeight="15" x14ac:dyDescent="0.25"/>
  <cols>
    <col min="2" max="3" width="11" bestFit="1" customWidth="1"/>
    <col min="4" max="4" width="32.28515625" customWidth="1"/>
    <col min="5" max="5" width="5.85546875" customWidth="1"/>
    <col min="9" max="9" width="32.85546875" bestFit="1" customWidth="1"/>
    <col min="10" max="10" width="5.85546875" customWidth="1"/>
    <col min="13" max="13" width="9" bestFit="1" customWidth="1"/>
    <col min="14" max="14" width="28.7109375" bestFit="1" customWidth="1"/>
    <col min="18" max="18" width="9" bestFit="1" customWidth="1"/>
    <col min="19" max="19" width="35.7109375" bestFit="1" customWidth="1"/>
    <col min="20" max="20" width="4" customWidth="1"/>
    <col min="24" max="24" width="35.5703125" bestFit="1" customWidth="1"/>
    <col min="29" max="29" width="32.7109375" bestFit="1" customWidth="1"/>
    <col min="34" max="34" width="40.140625" bestFit="1" customWidth="1"/>
  </cols>
  <sheetData>
    <row r="1" spans="1:35" x14ac:dyDescent="0.25">
      <c r="A1" s="13" t="s">
        <v>50</v>
      </c>
      <c r="B1" t="s">
        <v>14</v>
      </c>
      <c r="C1">
        <v>20527185</v>
      </c>
      <c r="D1" t="s">
        <v>15</v>
      </c>
      <c r="E1" t="s">
        <v>8</v>
      </c>
      <c r="F1" s="12" t="s">
        <v>61</v>
      </c>
      <c r="G1" t="s">
        <v>51</v>
      </c>
      <c r="H1">
        <v>20527197</v>
      </c>
      <c r="I1" t="s">
        <v>52</v>
      </c>
      <c r="J1" t="s">
        <v>7</v>
      </c>
      <c r="K1" s="16" t="s">
        <v>80</v>
      </c>
      <c r="L1" t="s">
        <v>62</v>
      </c>
      <c r="M1">
        <v>20527197</v>
      </c>
      <c r="N1" t="s">
        <v>63</v>
      </c>
      <c r="O1" t="s">
        <v>7</v>
      </c>
      <c r="P1" s="14" t="s">
        <v>141</v>
      </c>
      <c r="Q1" t="s">
        <v>81</v>
      </c>
      <c r="R1">
        <v>20583410</v>
      </c>
      <c r="S1" t="s">
        <v>82</v>
      </c>
      <c r="T1" t="s">
        <v>8</v>
      </c>
      <c r="U1" s="18" t="s">
        <v>371</v>
      </c>
      <c r="V1" t="s">
        <v>198</v>
      </c>
      <c r="W1">
        <v>20583367</v>
      </c>
      <c r="X1" t="s">
        <v>199</v>
      </c>
      <c r="Y1" t="s">
        <v>7</v>
      </c>
      <c r="Z1" s="17" t="s">
        <v>197</v>
      </c>
      <c r="AA1" t="s">
        <v>142</v>
      </c>
      <c r="AB1">
        <v>20527197</v>
      </c>
      <c r="AC1" t="s">
        <v>143</v>
      </c>
      <c r="AD1" t="s">
        <v>8</v>
      </c>
      <c r="AE1" s="15" t="s">
        <v>726</v>
      </c>
      <c r="AF1" t="s">
        <v>372</v>
      </c>
      <c r="AG1">
        <v>20527169</v>
      </c>
      <c r="AH1" t="s">
        <v>373</v>
      </c>
      <c r="AI1" t="s">
        <v>7</v>
      </c>
    </row>
    <row r="2" spans="1:35" x14ac:dyDescent="0.25">
      <c r="A2" s="13" t="s">
        <v>50</v>
      </c>
      <c r="B2" t="s">
        <v>16</v>
      </c>
      <c r="C2">
        <v>20527169</v>
      </c>
      <c r="D2" t="s">
        <v>17</v>
      </c>
      <c r="E2" t="s">
        <v>7</v>
      </c>
      <c r="F2" s="12" t="s">
        <v>61</v>
      </c>
      <c r="G2" t="s">
        <v>53</v>
      </c>
      <c r="H2">
        <v>20527197</v>
      </c>
      <c r="I2" t="s">
        <v>54</v>
      </c>
      <c r="J2" t="s">
        <v>7</v>
      </c>
      <c r="K2" s="16" t="s">
        <v>80</v>
      </c>
      <c r="L2" t="s">
        <v>64</v>
      </c>
      <c r="M2">
        <v>20528654</v>
      </c>
      <c r="N2" t="s">
        <v>65</v>
      </c>
      <c r="O2" t="s">
        <v>7</v>
      </c>
      <c r="P2" s="14" t="s">
        <v>141</v>
      </c>
      <c r="Q2" t="s">
        <v>83</v>
      </c>
      <c r="R2">
        <v>20527197</v>
      </c>
      <c r="S2" t="s">
        <v>84</v>
      </c>
      <c r="T2" t="s">
        <v>7</v>
      </c>
      <c r="U2" s="18" t="s">
        <v>371</v>
      </c>
      <c r="V2" t="s">
        <v>200</v>
      </c>
      <c r="W2">
        <v>20583367</v>
      </c>
      <c r="X2" t="s">
        <v>201</v>
      </c>
      <c r="Y2" t="s">
        <v>7</v>
      </c>
      <c r="Z2" s="17" t="s">
        <v>197</v>
      </c>
      <c r="AA2" t="s">
        <v>144</v>
      </c>
      <c r="AB2">
        <v>20527195</v>
      </c>
      <c r="AC2" t="s">
        <v>145</v>
      </c>
      <c r="AD2" t="s">
        <v>8</v>
      </c>
      <c r="AE2" s="15" t="s">
        <v>726</v>
      </c>
      <c r="AF2" t="s">
        <v>374</v>
      </c>
      <c r="AG2">
        <v>20527197</v>
      </c>
      <c r="AH2" t="s">
        <v>375</v>
      </c>
      <c r="AI2" t="s">
        <v>7</v>
      </c>
    </row>
    <row r="3" spans="1:35" x14ac:dyDescent="0.25">
      <c r="A3" s="13" t="s">
        <v>50</v>
      </c>
      <c r="B3" t="s">
        <v>18</v>
      </c>
      <c r="C3">
        <v>20527202</v>
      </c>
      <c r="D3" t="s">
        <v>19</v>
      </c>
      <c r="E3" t="s">
        <v>7</v>
      </c>
      <c r="F3" s="12" t="s">
        <v>61</v>
      </c>
      <c r="G3" t="s">
        <v>55</v>
      </c>
      <c r="H3">
        <v>20527180</v>
      </c>
      <c r="I3" t="s">
        <v>56</v>
      </c>
      <c r="J3" t="s">
        <v>7</v>
      </c>
      <c r="K3" s="16" t="s">
        <v>80</v>
      </c>
      <c r="L3" t="s">
        <v>66</v>
      </c>
      <c r="M3">
        <v>20566545</v>
      </c>
      <c r="N3" t="s">
        <v>67</v>
      </c>
      <c r="O3" t="s">
        <v>7</v>
      </c>
      <c r="P3" s="14" t="s">
        <v>141</v>
      </c>
      <c r="Q3" t="s">
        <v>85</v>
      </c>
      <c r="R3">
        <v>20527197</v>
      </c>
      <c r="S3" t="s">
        <v>86</v>
      </c>
      <c r="T3" t="s">
        <v>7</v>
      </c>
      <c r="U3" s="18" t="s">
        <v>371</v>
      </c>
      <c r="V3" t="s">
        <v>202</v>
      </c>
      <c r="W3">
        <v>20527197</v>
      </c>
      <c r="X3" t="s">
        <v>203</v>
      </c>
      <c r="Y3" t="s">
        <v>8</v>
      </c>
      <c r="Z3" s="17" t="s">
        <v>197</v>
      </c>
      <c r="AA3">
        <v>3080968608</v>
      </c>
      <c r="AB3">
        <v>70027854</v>
      </c>
      <c r="AC3" t="s">
        <v>146</v>
      </c>
      <c r="AD3" t="s">
        <v>8</v>
      </c>
      <c r="AE3" s="15" t="s">
        <v>726</v>
      </c>
      <c r="AF3" t="s">
        <v>376</v>
      </c>
      <c r="AG3">
        <v>20527187</v>
      </c>
      <c r="AH3" t="s">
        <v>377</v>
      </c>
      <c r="AI3" t="s">
        <v>7</v>
      </c>
    </row>
    <row r="4" spans="1:35" x14ac:dyDescent="0.25">
      <c r="A4" s="13" t="s">
        <v>50</v>
      </c>
      <c r="B4" t="s">
        <v>20</v>
      </c>
      <c r="C4">
        <v>20583410</v>
      </c>
      <c r="D4" t="s">
        <v>21</v>
      </c>
      <c r="E4" t="s">
        <v>7</v>
      </c>
      <c r="F4" s="12" t="s">
        <v>61</v>
      </c>
      <c r="G4" t="s">
        <v>57</v>
      </c>
      <c r="H4">
        <v>20527197</v>
      </c>
      <c r="I4" t="s">
        <v>58</v>
      </c>
      <c r="J4" t="s">
        <v>8</v>
      </c>
      <c r="K4" s="16" t="s">
        <v>80</v>
      </c>
      <c r="L4" t="s">
        <v>68</v>
      </c>
      <c r="M4">
        <v>60725184</v>
      </c>
      <c r="N4" t="s">
        <v>69</v>
      </c>
      <c r="O4" t="s">
        <v>8</v>
      </c>
      <c r="P4" s="14" t="s">
        <v>141</v>
      </c>
      <c r="Q4" t="s">
        <v>87</v>
      </c>
      <c r="R4">
        <v>20527197</v>
      </c>
      <c r="S4" t="s">
        <v>88</v>
      </c>
      <c r="T4" t="s">
        <v>8</v>
      </c>
      <c r="U4" s="18" t="s">
        <v>371</v>
      </c>
      <c r="V4" t="s">
        <v>204</v>
      </c>
      <c r="W4">
        <v>20527197</v>
      </c>
      <c r="X4" t="s">
        <v>205</v>
      </c>
      <c r="Y4" t="s">
        <v>7</v>
      </c>
      <c r="Z4" s="17" t="s">
        <v>197</v>
      </c>
      <c r="AA4" t="s">
        <v>147</v>
      </c>
      <c r="AB4">
        <v>20527197</v>
      </c>
      <c r="AC4" t="s">
        <v>148</v>
      </c>
      <c r="AD4" t="s">
        <v>7</v>
      </c>
      <c r="AE4" s="15" t="s">
        <v>726</v>
      </c>
      <c r="AF4" t="s">
        <v>378</v>
      </c>
      <c r="AG4">
        <v>20527180</v>
      </c>
      <c r="AH4" t="s">
        <v>379</v>
      </c>
      <c r="AI4" t="s">
        <v>8</v>
      </c>
    </row>
    <row r="5" spans="1:35" x14ac:dyDescent="0.25">
      <c r="A5" s="13" t="s">
        <v>50</v>
      </c>
      <c r="B5" t="s">
        <v>22</v>
      </c>
      <c r="C5">
        <v>20537422</v>
      </c>
      <c r="D5" t="s">
        <v>23</v>
      </c>
      <c r="E5" t="s">
        <v>8</v>
      </c>
      <c r="F5" s="12" t="s">
        <v>61</v>
      </c>
      <c r="G5" t="s">
        <v>59</v>
      </c>
      <c r="H5">
        <v>20527197</v>
      </c>
      <c r="I5" t="s">
        <v>60</v>
      </c>
      <c r="J5" t="s">
        <v>8</v>
      </c>
      <c r="K5" s="16" t="s">
        <v>80</v>
      </c>
      <c r="L5" t="s">
        <v>70</v>
      </c>
      <c r="M5">
        <v>20528625</v>
      </c>
      <c r="N5" t="s">
        <v>71</v>
      </c>
      <c r="O5" t="s">
        <v>7</v>
      </c>
      <c r="P5" s="14" t="s">
        <v>141</v>
      </c>
      <c r="Q5" t="s">
        <v>89</v>
      </c>
      <c r="R5">
        <v>20527166</v>
      </c>
      <c r="S5" t="s">
        <v>90</v>
      </c>
      <c r="T5" t="s">
        <v>8</v>
      </c>
      <c r="U5" s="18" t="s">
        <v>371</v>
      </c>
      <c r="V5" t="s">
        <v>206</v>
      </c>
      <c r="W5">
        <v>20527185</v>
      </c>
      <c r="X5" t="s">
        <v>207</v>
      </c>
      <c r="Y5" t="s">
        <v>8</v>
      </c>
      <c r="Z5" s="17" t="s">
        <v>197</v>
      </c>
      <c r="AA5" t="s">
        <v>149</v>
      </c>
      <c r="AB5">
        <v>20527195</v>
      </c>
      <c r="AC5" t="s">
        <v>150</v>
      </c>
      <c r="AD5" t="s">
        <v>8</v>
      </c>
      <c r="AE5" s="15" t="s">
        <v>726</v>
      </c>
      <c r="AF5" t="s">
        <v>380</v>
      </c>
      <c r="AG5">
        <v>20527197</v>
      </c>
      <c r="AH5" t="s">
        <v>381</v>
      </c>
      <c r="AI5" t="s">
        <v>8</v>
      </c>
    </row>
    <row r="6" spans="1:35" x14ac:dyDescent="0.25">
      <c r="A6" s="13" t="s">
        <v>50</v>
      </c>
      <c r="B6" t="s">
        <v>24</v>
      </c>
      <c r="C6">
        <v>20527202</v>
      </c>
      <c r="D6" t="s">
        <v>25</v>
      </c>
      <c r="E6" t="s">
        <v>7</v>
      </c>
      <c r="K6" s="16" t="s">
        <v>80</v>
      </c>
      <c r="L6" t="s">
        <v>72</v>
      </c>
      <c r="M6">
        <v>20527169</v>
      </c>
      <c r="N6" t="s">
        <v>73</v>
      </c>
      <c r="O6" t="s">
        <v>7</v>
      </c>
      <c r="P6" s="14" t="s">
        <v>141</v>
      </c>
      <c r="Q6" t="s">
        <v>91</v>
      </c>
      <c r="R6">
        <v>20583367</v>
      </c>
      <c r="S6" t="s">
        <v>92</v>
      </c>
      <c r="T6" t="s">
        <v>7</v>
      </c>
      <c r="U6" s="18" t="s">
        <v>371</v>
      </c>
      <c r="V6" t="s">
        <v>208</v>
      </c>
      <c r="W6">
        <v>20583367</v>
      </c>
      <c r="X6" t="s">
        <v>209</v>
      </c>
      <c r="Y6" t="s">
        <v>7</v>
      </c>
      <c r="Z6" s="17" t="s">
        <v>197</v>
      </c>
      <c r="AA6" t="s">
        <v>151</v>
      </c>
      <c r="AB6">
        <v>20527193</v>
      </c>
      <c r="AC6" t="s">
        <v>152</v>
      </c>
      <c r="AD6" t="s">
        <v>8</v>
      </c>
      <c r="AE6" s="15" t="s">
        <v>726</v>
      </c>
      <c r="AF6" t="s">
        <v>382</v>
      </c>
      <c r="AG6">
        <v>20527197</v>
      </c>
      <c r="AH6" t="s">
        <v>383</v>
      </c>
      <c r="AI6" t="s">
        <v>8</v>
      </c>
    </row>
    <row r="7" spans="1:35" x14ac:dyDescent="0.25">
      <c r="A7" s="13" t="s">
        <v>50</v>
      </c>
      <c r="B7" t="s">
        <v>26</v>
      </c>
      <c r="C7">
        <v>20527202</v>
      </c>
      <c r="D7" t="s">
        <v>27</v>
      </c>
      <c r="E7" t="s">
        <v>7</v>
      </c>
      <c r="K7" s="16" t="s">
        <v>80</v>
      </c>
      <c r="L7" t="s">
        <v>74</v>
      </c>
      <c r="M7">
        <v>20364507</v>
      </c>
      <c r="N7" t="s">
        <v>75</v>
      </c>
      <c r="O7" t="s">
        <v>7</v>
      </c>
      <c r="P7" s="14" t="s">
        <v>141</v>
      </c>
      <c r="Q7" t="s">
        <v>93</v>
      </c>
      <c r="R7">
        <v>20527180</v>
      </c>
      <c r="S7" t="s">
        <v>94</v>
      </c>
      <c r="T7" t="s">
        <v>8</v>
      </c>
      <c r="U7" s="18" t="s">
        <v>371</v>
      </c>
      <c r="V7" t="s">
        <v>210</v>
      </c>
      <c r="W7">
        <v>20583367</v>
      </c>
      <c r="X7" t="s">
        <v>211</v>
      </c>
      <c r="Y7" t="s">
        <v>8</v>
      </c>
      <c r="Z7" s="17" t="s">
        <v>197</v>
      </c>
      <c r="AA7" t="s">
        <v>153</v>
      </c>
      <c r="AB7">
        <v>20527166</v>
      </c>
      <c r="AC7" t="s">
        <v>154</v>
      </c>
      <c r="AD7" t="s">
        <v>8</v>
      </c>
      <c r="AE7" s="15" t="s">
        <v>726</v>
      </c>
      <c r="AF7" t="s">
        <v>384</v>
      </c>
      <c r="AG7">
        <v>20527193</v>
      </c>
      <c r="AH7" t="s">
        <v>385</v>
      </c>
      <c r="AI7" t="s">
        <v>8</v>
      </c>
    </row>
    <row r="8" spans="1:35" x14ac:dyDescent="0.25">
      <c r="A8" s="13" t="s">
        <v>50</v>
      </c>
      <c r="B8" t="s">
        <v>28</v>
      </c>
      <c r="C8">
        <v>20527166</v>
      </c>
      <c r="D8" t="s">
        <v>29</v>
      </c>
      <c r="E8" t="s">
        <v>7</v>
      </c>
      <c r="K8" s="16" t="s">
        <v>80</v>
      </c>
      <c r="L8" t="s">
        <v>76</v>
      </c>
      <c r="M8">
        <v>20311088</v>
      </c>
      <c r="N8" t="s">
        <v>77</v>
      </c>
      <c r="O8" t="s">
        <v>8</v>
      </c>
      <c r="P8" s="14" t="s">
        <v>141</v>
      </c>
      <c r="Q8" t="s">
        <v>95</v>
      </c>
      <c r="R8">
        <v>20583363</v>
      </c>
      <c r="S8" t="s">
        <v>96</v>
      </c>
      <c r="T8" t="s">
        <v>7</v>
      </c>
      <c r="U8" s="18" t="s">
        <v>371</v>
      </c>
      <c r="V8" t="s">
        <v>212</v>
      </c>
      <c r="W8">
        <v>20583367</v>
      </c>
      <c r="X8" t="s">
        <v>213</v>
      </c>
      <c r="Y8" t="s">
        <v>7</v>
      </c>
      <c r="Z8" s="17" t="s">
        <v>197</v>
      </c>
      <c r="AA8" t="s">
        <v>155</v>
      </c>
      <c r="AB8">
        <v>20527193</v>
      </c>
      <c r="AC8" t="s">
        <v>156</v>
      </c>
      <c r="AD8" t="s">
        <v>7</v>
      </c>
      <c r="AE8" s="15" t="s">
        <v>726</v>
      </c>
      <c r="AF8" t="s">
        <v>386</v>
      </c>
      <c r="AG8">
        <v>20527197</v>
      </c>
      <c r="AH8" t="s">
        <v>387</v>
      </c>
      <c r="AI8" t="s">
        <v>7</v>
      </c>
    </row>
    <row r="9" spans="1:35" x14ac:dyDescent="0.25">
      <c r="A9" s="13" t="s">
        <v>50</v>
      </c>
      <c r="B9" t="s">
        <v>30</v>
      </c>
      <c r="C9">
        <v>20583363</v>
      </c>
      <c r="D9" t="s">
        <v>31</v>
      </c>
      <c r="E9" t="s">
        <v>7</v>
      </c>
      <c r="K9" s="16" t="s">
        <v>80</v>
      </c>
      <c r="L9" t="s">
        <v>78</v>
      </c>
      <c r="M9">
        <v>20527197</v>
      </c>
      <c r="N9" t="s">
        <v>79</v>
      </c>
      <c r="O9" t="s">
        <v>7</v>
      </c>
      <c r="P9" s="14" t="s">
        <v>141</v>
      </c>
      <c r="Q9" t="s">
        <v>97</v>
      </c>
      <c r="R9">
        <v>20527180</v>
      </c>
      <c r="S9" t="s">
        <v>98</v>
      </c>
      <c r="T9" t="s">
        <v>7</v>
      </c>
      <c r="U9" s="18" t="s">
        <v>371</v>
      </c>
      <c r="V9" t="s">
        <v>214</v>
      </c>
      <c r="W9">
        <v>20583367</v>
      </c>
      <c r="X9" t="s">
        <v>215</v>
      </c>
      <c r="Y9" t="s">
        <v>7</v>
      </c>
      <c r="Z9" s="17" t="s">
        <v>197</v>
      </c>
      <c r="AA9" t="s">
        <v>157</v>
      </c>
      <c r="AB9">
        <v>20527180</v>
      </c>
      <c r="AC9" t="s">
        <v>158</v>
      </c>
      <c r="AD9" t="s">
        <v>7</v>
      </c>
      <c r="AE9" s="15" t="s">
        <v>726</v>
      </c>
      <c r="AF9" t="s">
        <v>388</v>
      </c>
      <c r="AG9">
        <v>20527180</v>
      </c>
      <c r="AH9" t="s">
        <v>389</v>
      </c>
      <c r="AI9" t="s">
        <v>8</v>
      </c>
    </row>
    <row r="10" spans="1:35" x14ac:dyDescent="0.25">
      <c r="A10" s="13" t="s">
        <v>50</v>
      </c>
      <c r="B10" t="s">
        <v>32</v>
      </c>
      <c r="C10">
        <v>20527182</v>
      </c>
      <c r="D10" t="s">
        <v>33</v>
      </c>
      <c r="E10" t="s">
        <v>7</v>
      </c>
      <c r="P10" s="14" t="s">
        <v>141</v>
      </c>
      <c r="Q10" t="s">
        <v>99</v>
      </c>
      <c r="R10">
        <v>20527180</v>
      </c>
      <c r="S10" t="s">
        <v>100</v>
      </c>
      <c r="T10" t="s">
        <v>8</v>
      </c>
      <c r="U10" s="18" t="s">
        <v>371</v>
      </c>
      <c r="V10" t="s">
        <v>216</v>
      </c>
      <c r="W10">
        <v>20583367</v>
      </c>
      <c r="X10" t="s">
        <v>217</v>
      </c>
      <c r="Y10" t="s">
        <v>8</v>
      </c>
      <c r="Z10" s="17" t="s">
        <v>197</v>
      </c>
      <c r="AA10" t="s">
        <v>159</v>
      </c>
      <c r="AB10">
        <v>20583363</v>
      </c>
      <c r="AC10" t="s">
        <v>160</v>
      </c>
      <c r="AD10" t="s">
        <v>7</v>
      </c>
      <c r="AE10" s="15" t="s">
        <v>726</v>
      </c>
      <c r="AF10" t="s">
        <v>390</v>
      </c>
      <c r="AG10">
        <v>20583410</v>
      </c>
      <c r="AH10" t="s">
        <v>391</v>
      </c>
      <c r="AI10" t="s">
        <v>7</v>
      </c>
    </row>
    <row r="11" spans="1:35" x14ac:dyDescent="0.25">
      <c r="A11" s="13" t="s">
        <v>50</v>
      </c>
      <c r="B11" t="s">
        <v>34</v>
      </c>
      <c r="C11">
        <v>20527197</v>
      </c>
      <c r="D11" t="s">
        <v>35</v>
      </c>
      <c r="E11" t="s">
        <v>8</v>
      </c>
      <c r="P11" s="14" t="s">
        <v>141</v>
      </c>
      <c r="Q11" t="s">
        <v>101</v>
      </c>
      <c r="R11">
        <v>20527197</v>
      </c>
      <c r="S11" t="s">
        <v>102</v>
      </c>
      <c r="T11" t="s">
        <v>8</v>
      </c>
      <c r="U11" s="18" t="s">
        <v>371</v>
      </c>
      <c r="V11" t="s">
        <v>218</v>
      </c>
      <c r="W11">
        <v>20527197</v>
      </c>
      <c r="X11" t="s">
        <v>219</v>
      </c>
      <c r="Y11" t="s">
        <v>8</v>
      </c>
      <c r="Z11" s="17" t="s">
        <v>197</v>
      </c>
      <c r="AA11" t="s">
        <v>161</v>
      </c>
      <c r="AB11">
        <v>20527180</v>
      </c>
      <c r="AC11" t="s">
        <v>162</v>
      </c>
      <c r="AD11" t="s">
        <v>8</v>
      </c>
      <c r="AE11" s="15" t="s">
        <v>726</v>
      </c>
      <c r="AF11" t="s">
        <v>392</v>
      </c>
      <c r="AG11">
        <v>20527197</v>
      </c>
      <c r="AH11" t="s">
        <v>393</v>
      </c>
      <c r="AI11" t="s">
        <v>8</v>
      </c>
    </row>
    <row r="12" spans="1:35" x14ac:dyDescent="0.25">
      <c r="A12" s="13" t="s">
        <v>50</v>
      </c>
      <c r="B12" t="s">
        <v>36</v>
      </c>
      <c r="C12">
        <v>20583410</v>
      </c>
      <c r="D12" t="s">
        <v>37</v>
      </c>
      <c r="E12" t="s">
        <v>7</v>
      </c>
      <c r="P12" s="14" t="s">
        <v>141</v>
      </c>
      <c r="Q12" t="s">
        <v>103</v>
      </c>
      <c r="R12">
        <v>20527180</v>
      </c>
      <c r="S12" t="s">
        <v>104</v>
      </c>
      <c r="T12" t="s">
        <v>8</v>
      </c>
      <c r="U12" s="18" t="s">
        <v>371</v>
      </c>
      <c r="V12" t="s">
        <v>220</v>
      </c>
      <c r="W12">
        <v>20527197</v>
      </c>
      <c r="X12" t="s">
        <v>221</v>
      </c>
      <c r="Y12" t="s">
        <v>8</v>
      </c>
      <c r="Z12" s="17" t="s">
        <v>197</v>
      </c>
      <c r="AA12" t="s">
        <v>163</v>
      </c>
      <c r="AB12">
        <v>20527197</v>
      </c>
      <c r="AC12" t="s">
        <v>164</v>
      </c>
      <c r="AD12" t="s">
        <v>7</v>
      </c>
      <c r="AE12" s="15" t="s">
        <v>726</v>
      </c>
      <c r="AF12" t="s">
        <v>394</v>
      </c>
      <c r="AG12">
        <v>20527197</v>
      </c>
      <c r="AH12" t="s">
        <v>395</v>
      </c>
      <c r="AI12" t="s">
        <v>8</v>
      </c>
    </row>
    <row r="13" spans="1:35" x14ac:dyDescent="0.25">
      <c r="A13" s="13" t="s">
        <v>50</v>
      </c>
      <c r="B13" t="s">
        <v>38</v>
      </c>
      <c r="C13">
        <v>20527197</v>
      </c>
      <c r="D13" t="s">
        <v>39</v>
      </c>
      <c r="E13" t="s">
        <v>7</v>
      </c>
      <c r="P13" s="14" t="s">
        <v>141</v>
      </c>
      <c r="Q13" t="s">
        <v>105</v>
      </c>
      <c r="R13">
        <v>20527180</v>
      </c>
      <c r="S13" t="s">
        <v>106</v>
      </c>
      <c r="T13" t="s">
        <v>7</v>
      </c>
      <c r="U13" s="18" t="s">
        <v>371</v>
      </c>
      <c r="V13" t="s">
        <v>222</v>
      </c>
      <c r="W13">
        <v>20527197</v>
      </c>
      <c r="X13" t="s">
        <v>223</v>
      </c>
      <c r="Y13" t="s">
        <v>7</v>
      </c>
      <c r="Z13" s="17" t="s">
        <v>197</v>
      </c>
      <c r="AA13" t="s">
        <v>165</v>
      </c>
      <c r="AB13">
        <v>20552108</v>
      </c>
      <c r="AC13" t="s">
        <v>166</v>
      </c>
      <c r="AD13" t="s">
        <v>8</v>
      </c>
      <c r="AE13" s="15" t="s">
        <v>726</v>
      </c>
      <c r="AF13" t="s">
        <v>396</v>
      </c>
      <c r="AG13">
        <v>20527197</v>
      </c>
      <c r="AH13" t="s">
        <v>397</v>
      </c>
      <c r="AI13" t="s">
        <v>7</v>
      </c>
    </row>
    <row r="14" spans="1:35" x14ac:dyDescent="0.25">
      <c r="A14" s="13" t="s">
        <v>50</v>
      </c>
      <c r="B14" t="s">
        <v>40</v>
      </c>
      <c r="C14">
        <v>20527180</v>
      </c>
      <c r="D14" t="s">
        <v>41</v>
      </c>
      <c r="E14" t="s">
        <v>7</v>
      </c>
      <c r="P14" s="14" t="s">
        <v>141</v>
      </c>
      <c r="Q14" t="s">
        <v>107</v>
      </c>
      <c r="R14">
        <v>20527197</v>
      </c>
      <c r="S14" t="s">
        <v>108</v>
      </c>
      <c r="T14" t="s">
        <v>7</v>
      </c>
      <c r="U14" s="18" t="s">
        <v>371</v>
      </c>
      <c r="V14" t="s">
        <v>224</v>
      </c>
      <c r="W14">
        <v>20527197</v>
      </c>
      <c r="X14" t="s">
        <v>225</v>
      </c>
      <c r="Y14" t="s">
        <v>7</v>
      </c>
      <c r="Z14" s="17" t="s">
        <v>197</v>
      </c>
      <c r="AA14" t="s">
        <v>167</v>
      </c>
      <c r="AB14">
        <v>20527180</v>
      </c>
      <c r="AC14" t="s">
        <v>168</v>
      </c>
      <c r="AD14" t="s">
        <v>8</v>
      </c>
      <c r="AE14" s="15" t="s">
        <v>726</v>
      </c>
      <c r="AF14" t="s">
        <v>398</v>
      </c>
      <c r="AG14">
        <v>69816340</v>
      </c>
      <c r="AH14" t="s">
        <v>399</v>
      </c>
      <c r="AI14" t="s">
        <v>8</v>
      </c>
    </row>
    <row r="15" spans="1:35" x14ac:dyDescent="0.25">
      <c r="A15" s="13" t="s">
        <v>50</v>
      </c>
      <c r="B15" t="s">
        <v>42</v>
      </c>
      <c r="C15">
        <v>20566545</v>
      </c>
      <c r="D15" t="s">
        <v>43</v>
      </c>
      <c r="E15" t="s">
        <v>7</v>
      </c>
      <c r="P15" s="14" t="s">
        <v>141</v>
      </c>
      <c r="Q15" t="s">
        <v>109</v>
      </c>
      <c r="R15">
        <v>20527197</v>
      </c>
      <c r="S15" t="s">
        <v>110</v>
      </c>
      <c r="T15" t="s">
        <v>7</v>
      </c>
      <c r="U15" s="18" t="s">
        <v>371</v>
      </c>
      <c r="V15" t="s">
        <v>226</v>
      </c>
      <c r="W15">
        <v>20527197</v>
      </c>
      <c r="X15" t="s">
        <v>227</v>
      </c>
      <c r="Y15" t="s">
        <v>8</v>
      </c>
      <c r="Z15" s="17" t="s">
        <v>197</v>
      </c>
      <c r="AA15" t="s">
        <v>169</v>
      </c>
      <c r="AB15">
        <v>20527197</v>
      </c>
      <c r="AC15" t="s">
        <v>170</v>
      </c>
      <c r="AD15" t="s">
        <v>7</v>
      </c>
      <c r="AE15" s="15" t="s">
        <v>726</v>
      </c>
      <c r="AF15" t="s">
        <v>400</v>
      </c>
      <c r="AG15">
        <v>20527197</v>
      </c>
      <c r="AH15" t="s">
        <v>401</v>
      </c>
      <c r="AI15" t="s">
        <v>8</v>
      </c>
    </row>
    <row r="16" spans="1:35" x14ac:dyDescent="0.25">
      <c r="A16" s="13" t="s">
        <v>50</v>
      </c>
      <c r="B16" t="s">
        <v>44</v>
      </c>
      <c r="C16">
        <v>20527166</v>
      </c>
      <c r="D16" t="s">
        <v>45</v>
      </c>
      <c r="E16" t="s">
        <v>7</v>
      </c>
      <c r="P16" s="14" t="s">
        <v>141</v>
      </c>
      <c r="Q16" t="s">
        <v>111</v>
      </c>
      <c r="R16">
        <v>20527180</v>
      </c>
      <c r="S16" t="s">
        <v>112</v>
      </c>
      <c r="T16" t="s">
        <v>8</v>
      </c>
      <c r="U16" s="18" t="s">
        <v>371</v>
      </c>
      <c r="V16" t="s">
        <v>228</v>
      </c>
      <c r="W16">
        <v>20527197</v>
      </c>
      <c r="X16" t="s">
        <v>229</v>
      </c>
      <c r="Y16" t="s">
        <v>7</v>
      </c>
      <c r="Z16" s="17" t="s">
        <v>197</v>
      </c>
      <c r="AA16" t="s">
        <v>171</v>
      </c>
      <c r="AB16">
        <v>20527193</v>
      </c>
      <c r="AC16" t="s">
        <v>172</v>
      </c>
      <c r="AD16" t="s">
        <v>7</v>
      </c>
      <c r="AE16" s="15" t="s">
        <v>726</v>
      </c>
      <c r="AF16" t="s">
        <v>402</v>
      </c>
      <c r="AG16">
        <v>20527185</v>
      </c>
      <c r="AH16" t="s">
        <v>403</v>
      </c>
      <c r="AI16" t="s">
        <v>8</v>
      </c>
    </row>
    <row r="17" spans="1:35" x14ac:dyDescent="0.25">
      <c r="A17" s="13" t="s">
        <v>50</v>
      </c>
      <c r="B17" t="s">
        <v>46</v>
      </c>
      <c r="C17">
        <v>20527166</v>
      </c>
      <c r="D17" t="s">
        <v>47</v>
      </c>
      <c r="E17" t="s">
        <v>8</v>
      </c>
      <c r="P17" s="14" t="s">
        <v>141</v>
      </c>
      <c r="Q17" t="s">
        <v>113</v>
      </c>
      <c r="R17">
        <v>20527180</v>
      </c>
      <c r="S17" t="s">
        <v>114</v>
      </c>
      <c r="T17" t="s">
        <v>7</v>
      </c>
      <c r="U17" s="18" t="s">
        <v>371</v>
      </c>
      <c r="V17" t="s">
        <v>230</v>
      </c>
      <c r="W17">
        <v>20527197</v>
      </c>
      <c r="X17" t="s">
        <v>231</v>
      </c>
      <c r="Y17" t="s">
        <v>8</v>
      </c>
      <c r="Z17" s="17" t="s">
        <v>197</v>
      </c>
      <c r="AA17">
        <v>3082508031</v>
      </c>
      <c r="AB17">
        <v>20583367</v>
      </c>
      <c r="AC17" t="s">
        <v>173</v>
      </c>
      <c r="AD17" t="s">
        <v>8</v>
      </c>
      <c r="AE17" s="15" t="s">
        <v>726</v>
      </c>
      <c r="AF17" t="s">
        <v>404</v>
      </c>
      <c r="AG17">
        <v>20527180</v>
      </c>
      <c r="AH17" t="s">
        <v>405</v>
      </c>
      <c r="AI17" t="s">
        <v>8</v>
      </c>
    </row>
    <row r="18" spans="1:35" x14ac:dyDescent="0.25">
      <c r="A18" s="13" t="s">
        <v>50</v>
      </c>
      <c r="B18" t="s">
        <v>48</v>
      </c>
      <c r="C18">
        <v>20527197</v>
      </c>
      <c r="D18" t="s">
        <v>49</v>
      </c>
      <c r="E18" t="s">
        <v>8</v>
      </c>
      <c r="P18" s="14" t="s">
        <v>141</v>
      </c>
      <c r="Q18" t="s">
        <v>115</v>
      </c>
      <c r="R18">
        <v>20527197</v>
      </c>
      <c r="S18" t="s">
        <v>116</v>
      </c>
      <c r="T18" t="s">
        <v>8</v>
      </c>
      <c r="U18" s="18" t="s">
        <v>371</v>
      </c>
      <c r="V18" t="s">
        <v>232</v>
      </c>
      <c r="W18">
        <v>20583363</v>
      </c>
      <c r="X18" t="s">
        <v>233</v>
      </c>
      <c r="Y18" t="s">
        <v>7</v>
      </c>
      <c r="Z18" s="17" t="s">
        <v>197</v>
      </c>
      <c r="AA18" t="s">
        <v>174</v>
      </c>
      <c r="AB18">
        <v>69991338</v>
      </c>
      <c r="AC18" t="s">
        <v>175</v>
      </c>
      <c r="AD18" t="s">
        <v>8</v>
      </c>
      <c r="AE18" s="15" t="s">
        <v>726</v>
      </c>
      <c r="AF18" t="s">
        <v>406</v>
      </c>
      <c r="AG18">
        <v>20527197</v>
      </c>
      <c r="AH18" t="s">
        <v>407</v>
      </c>
      <c r="AI18" t="s">
        <v>7</v>
      </c>
    </row>
    <row r="19" spans="1:35" x14ac:dyDescent="0.25">
      <c r="P19" s="14" t="s">
        <v>141</v>
      </c>
      <c r="Q19" t="s">
        <v>117</v>
      </c>
      <c r="R19">
        <v>20537422</v>
      </c>
      <c r="S19" t="s">
        <v>118</v>
      </c>
      <c r="T19" t="s">
        <v>8</v>
      </c>
      <c r="U19" s="18" t="s">
        <v>371</v>
      </c>
      <c r="V19" t="s">
        <v>234</v>
      </c>
      <c r="W19">
        <v>20529925</v>
      </c>
      <c r="X19" t="s">
        <v>235</v>
      </c>
      <c r="Y19" t="s">
        <v>7</v>
      </c>
      <c r="Z19" s="17" t="s">
        <v>197</v>
      </c>
      <c r="AA19" t="s">
        <v>176</v>
      </c>
      <c r="AB19">
        <v>20527180</v>
      </c>
      <c r="AC19" t="s">
        <v>177</v>
      </c>
      <c r="AD19" t="s">
        <v>8</v>
      </c>
      <c r="AE19" s="15" t="s">
        <v>726</v>
      </c>
      <c r="AF19" t="s">
        <v>408</v>
      </c>
      <c r="AG19">
        <v>20527190</v>
      </c>
      <c r="AH19" t="s">
        <v>409</v>
      </c>
      <c r="AI19" t="s">
        <v>8</v>
      </c>
    </row>
    <row r="20" spans="1:35" x14ac:dyDescent="0.25">
      <c r="P20" s="14" t="s">
        <v>141</v>
      </c>
      <c r="Q20" t="s">
        <v>119</v>
      </c>
      <c r="R20">
        <v>20566545</v>
      </c>
      <c r="S20" t="s">
        <v>120</v>
      </c>
      <c r="T20" t="s">
        <v>7</v>
      </c>
      <c r="U20" s="18" t="s">
        <v>371</v>
      </c>
      <c r="V20" t="s">
        <v>236</v>
      </c>
      <c r="W20">
        <v>20527197</v>
      </c>
      <c r="X20" t="s">
        <v>237</v>
      </c>
      <c r="Y20" t="s">
        <v>8</v>
      </c>
      <c r="Z20" s="17" t="s">
        <v>197</v>
      </c>
      <c r="AA20" t="s">
        <v>178</v>
      </c>
      <c r="AB20">
        <v>20527180</v>
      </c>
      <c r="AC20" t="s">
        <v>179</v>
      </c>
      <c r="AD20" t="s">
        <v>8</v>
      </c>
      <c r="AE20" s="15" t="s">
        <v>726</v>
      </c>
      <c r="AF20" t="s">
        <v>410</v>
      </c>
      <c r="AG20">
        <v>20527197</v>
      </c>
      <c r="AH20" t="s">
        <v>411</v>
      </c>
      <c r="AI20" t="s">
        <v>7</v>
      </c>
    </row>
    <row r="21" spans="1:35" x14ac:dyDescent="0.25">
      <c r="P21" s="14" t="s">
        <v>141</v>
      </c>
      <c r="Q21" t="s">
        <v>121</v>
      </c>
      <c r="R21">
        <v>20527185</v>
      </c>
      <c r="S21" t="s">
        <v>122</v>
      </c>
      <c r="T21" t="s">
        <v>7</v>
      </c>
      <c r="U21" s="18" t="s">
        <v>371</v>
      </c>
      <c r="V21" t="s">
        <v>238</v>
      </c>
      <c r="W21">
        <v>20527197</v>
      </c>
      <c r="X21" t="s">
        <v>239</v>
      </c>
      <c r="Y21" t="s">
        <v>8</v>
      </c>
      <c r="Z21" s="17" t="s">
        <v>197</v>
      </c>
      <c r="AA21" t="s">
        <v>180</v>
      </c>
      <c r="AB21">
        <v>20527169</v>
      </c>
      <c r="AC21" t="s">
        <v>181</v>
      </c>
      <c r="AD21" t="s">
        <v>8</v>
      </c>
      <c r="AE21" s="15" t="s">
        <v>726</v>
      </c>
      <c r="AF21" t="s">
        <v>412</v>
      </c>
      <c r="AG21">
        <v>20527197</v>
      </c>
      <c r="AH21" t="s">
        <v>413</v>
      </c>
      <c r="AI21" t="s">
        <v>7</v>
      </c>
    </row>
    <row r="22" spans="1:35" x14ac:dyDescent="0.25">
      <c r="P22" s="14" t="s">
        <v>141</v>
      </c>
      <c r="Q22" t="s">
        <v>123</v>
      </c>
      <c r="R22">
        <v>20529915</v>
      </c>
      <c r="S22" t="s">
        <v>124</v>
      </c>
      <c r="T22" t="s">
        <v>7</v>
      </c>
      <c r="U22" s="18" t="s">
        <v>371</v>
      </c>
      <c r="V22" t="s">
        <v>240</v>
      </c>
      <c r="W22">
        <v>20527197</v>
      </c>
      <c r="X22" t="s">
        <v>241</v>
      </c>
      <c r="Y22" t="s">
        <v>7</v>
      </c>
      <c r="Z22" s="17" t="s">
        <v>197</v>
      </c>
      <c r="AA22" t="s">
        <v>182</v>
      </c>
      <c r="AB22">
        <v>20527180</v>
      </c>
      <c r="AC22" t="s">
        <v>183</v>
      </c>
      <c r="AD22" t="s">
        <v>8</v>
      </c>
      <c r="AE22" s="15" t="s">
        <v>726</v>
      </c>
      <c r="AF22" t="s">
        <v>414</v>
      </c>
      <c r="AG22">
        <v>20583410</v>
      </c>
      <c r="AH22" t="s">
        <v>415</v>
      </c>
      <c r="AI22" t="s">
        <v>7</v>
      </c>
    </row>
    <row r="23" spans="1:35" x14ac:dyDescent="0.25">
      <c r="P23" s="14" t="s">
        <v>141</v>
      </c>
      <c r="Q23" t="s">
        <v>125</v>
      </c>
      <c r="R23">
        <v>20527185</v>
      </c>
      <c r="S23" t="s">
        <v>126</v>
      </c>
      <c r="T23" t="s">
        <v>7</v>
      </c>
      <c r="U23" s="18" t="s">
        <v>371</v>
      </c>
      <c r="V23" t="s">
        <v>242</v>
      </c>
      <c r="W23">
        <v>20527197</v>
      </c>
      <c r="X23" t="s">
        <v>243</v>
      </c>
      <c r="Y23" t="s">
        <v>7</v>
      </c>
      <c r="Z23" s="17" t="s">
        <v>197</v>
      </c>
      <c r="AA23" t="s">
        <v>184</v>
      </c>
      <c r="AB23">
        <v>20566545</v>
      </c>
      <c r="AC23" t="s">
        <v>185</v>
      </c>
      <c r="AD23" t="s">
        <v>8</v>
      </c>
      <c r="AE23" s="15" t="s">
        <v>726</v>
      </c>
      <c r="AF23" t="s">
        <v>416</v>
      </c>
      <c r="AG23">
        <v>20527197</v>
      </c>
      <c r="AH23" t="s">
        <v>417</v>
      </c>
      <c r="AI23" t="s">
        <v>8</v>
      </c>
    </row>
    <row r="24" spans="1:35" x14ac:dyDescent="0.25">
      <c r="P24" s="14" t="s">
        <v>141</v>
      </c>
      <c r="Q24" t="s">
        <v>127</v>
      </c>
      <c r="R24">
        <v>20528609</v>
      </c>
      <c r="S24" t="s">
        <v>128</v>
      </c>
      <c r="T24" t="s">
        <v>8</v>
      </c>
      <c r="U24" s="18" t="s">
        <v>371</v>
      </c>
      <c r="V24" t="s">
        <v>244</v>
      </c>
      <c r="W24">
        <v>20527197</v>
      </c>
      <c r="X24" t="s">
        <v>245</v>
      </c>
      <c r="Y24" t="s">
        <v>8</v>
      </c>
      <c r="Z24" s="17" t="s">
        <v>197</v>
      </c>
      <c r="AA24" t="s">
        <v>186</v>
      </c>
      <c r="AB24">
        <v>20537422</v>
      </c>
      <c r="AC24" t="s">
        <v>187</v>
      </c>
      <c r="AD24" t="s">
        <v>7</v>
      </c>
      <c r="AE24" s="15" t="s">
        <v>726</v>
      </c>
      <c r="AF24" t="s">
        <v>418</v>
      </c>
      <c r="AG24">
        <v>20527180</v>
      </c>
      <c r="AH24" t="s">
        <v>419</v>
      </c>
      <c r="AI24" t="s">
        <v>7</v>
      </c>
    </row>
    <row r="25" spans="1:35" x14ac:dyDescent="0.25">
      <c r="P25" s="14" t="s">
        <v>141</v>
      </c>
      <c r="Q25" t="s">
        <v>129</v>
      </c>
      <c r="R25">
        <v>20566545</v>
      </c>
      <c r="S25" t="s">
        <v>130</v>
      </c>
      <c r="T25" t="s">
        <v>8</v>
      </c>
      <c r="U25" s="18" t="s">
        <v>371</v>
      </c>
      <c r="V25" t="s">
        <v>246</v>
      </c>
      <c r="W25">
        <v>20527180</v>
      </c>
      <c r="X25" t="s">
        <v>247</v>
      </c>
      <c r="Y25" t="s">
        <v>7</v>
      </c>
      <c r="Z25" s="17" t="s">
        <v>197</v>
      </c>
      <c r="AA25" t="s">
        <v>188</v>
      </c>
      <c r="AB25">
        <v>20566545</v>
      </c>
      <c r="AC25" t="s">
        <v>189</v>
      </c>
      <c r="AD25" t="s">
        <v>8</v>
      </c>
      <c r="AE25" s="15" t="s">
        <v>726</v>
      </c>
      <c r="AF25" t="s">
        <v>420</v>
      </c>
      <c r="AG25">
        <v>20527180</v>
      </c>
      <c r="AH25" t="s">
        <v>421</v>
      </c>
      <c r="AI25" t="s">
        <v>7</v>
      </c>
    </row>
    <row r="26" spans="1:35" x14ac:dyDescent="0.25">
      <c r="P26" s="14" t="s">
        <v>141</v>
      </c>
      <c r="Q26" t="s">
        <v>131</v>
      </c>
      <c r="R26">
        <v>20527197</v>
      </c>
      <c r="S26" t="s">
        <v>132</v>
      </c>
      <c r="T26" t="s">
        <v>7</v>
      </c>
      <c r="U26" s="18" t="s">
        <v>371</v>
      </c>
      <c r="V26" t="s">
        <v>248</v>
      </c>
      <c r="W26">
        <v>20583367</v>
      </c>
      <c r="X26" t="s">
        <v>249</v>
      </c>
      <c r="Y26" t="s">
        <v>8</v>
      </c>
      <c r="Z26" s="17" t="s">
        <v>197</v>
      </c>
      <c r="AA26" t="s">
        <v>190</v>
      </c>
      <c r="AB26">
        <v>69980199</v>
      </c>
      <c r="AC26" t="s">
        <v>191</v>
      </c>
      <c r="AD26" t="s">
        <v>7</v>
      </c>
      <c r="AE26" s="15" t="s">
        <v>726</v>
      </c>
      <c r="AF26" t="s">
        <v>422</v>
      </c>
      <c r="AG26">
        <v>20527197</v>
      </c>
      <c r="AH26" t="s">
        <v>423</v>
      </c>
      <c r="AI26" t="s">
        <v>7</v>
      </c>
    </row>
    <row r="27" spans="1:35" x14ac:dyDescent="0.25">
      <c r="P27" s="14" t="s">
        <v>141</v>
      </c>
      <c r="Q27" t="s">
        <v>133</v>
      </c>
      <c r="R27">
        <v>20527197</v>
      </c>
      <c r="S27" t="s">
        <v>134</v>
      </c>
      <c r="T27" t="s">
        <v>7</v>
      </c>
      <c r="U27" s="18" t="s">
        <v>371</v>
      </c>
      <c r="V27" t="s">
        <v>250</v>
      </c>
      <c r="W27">
        <v>20527197</v>
      </c>
      <c r="X27" t="s">
        <v>251</v>
      </c>
      <c r="Y27" t="s">
        <v>8</v>
      </c>
      <c r="Z27" s="17" t="s">
        <v>197</v>
      </c>
      <c r="AA27" t="s">
        <v>192</v>
      </c>
      <c r="AB27">
        <v>20566545</v>
      </c>
      <c r="AC27" t="s">
        <v>193</v>
      </c>
      <c r="AD27" t="s">
        <v>8</v>
      </c>
      <c r="AE27" s="15" t="s">
        <v>726</v>
      </c>
      <c r="AF27" t="s">
        <v>424</v>
      </c>
      <c r="AG27">
        <v>20566545</v>
      </c>
      <c r="AH27" t="s">
        <v>425</v>
      </c>
      <c r="AI27" t="s">
        <v>8</v>
      </c>
    </row>
    <row r="28" spans="1:35" x14ac:dyDescent="0.25">
      <c r="P28" s="14" t="s">
        <v>141</v>
      </c>
      <c r="Q28" t="s">
        <v>135</v>
      </c>
      <c r="R28">
        <v>20527180</v>
      </c>
      <c r="S28" t="s">
        <v>136</v>
      </c>
      <c r="T28" t="s">
        <v>7</v>
      </c>
      <c r="U28" s="18" t="s">
        <v>371</v>
      </c>
      <c r="V28">
        <v>3099461393</v>
      </c>
      <c r="W28">
        <v>20528625</v>
      </c>
      <c r="X28" t="s">
        <v>252</v>
      </c>
      <c r="Y28" t="s">
        <v>7</v>
      </c>
      <c r="Z28" s="17" t="s">
        <v>197</v>
      </c>
      <c r="AA28">
        <v>3099859817</v>
      </c>
      <c r="AB28">
        <v>20527197</v>
      </c>
      <c r="AC28" t="s">
        <v>194</v>
      </c>
      <c r="AD28" t="s">
        <v>8</v>
      </c>
      <c r="AE28" s="15" t="s">
        <v>726</v>
      </c>
      <c r="AF28" t="s">
        <v>426</v>
      </c>
      <c r="AG28">
        <v>20527197</v>
      </c>
      <c r="AH28" t="s">
        <v>427</v>
      </c>
      <c r="AI28" t="s">
        <v>8</v>
      </c>
    </row>
    <row r="29" spans="1:35" x14ac:dyDescent="0.25">
      <c r="P29" s="14" t="s">
        <v>141</v>
      </c>
      <c r="Q29" t="s">
        <v>137</v>
      </c>
      <c r="R29">
        <v>20527195</v>
      </c>
      <c r="S29" t="s">
        <v>138</v>
      </c>
      <c r="T29" t="s">
        <v>7</v>
      </c>
      <c r="U29" s="18" t="s">
        <v>371</v>
      </c>
      <c r="V29" t="s">
        <v>253</v>
      </c>
      <c r="W29">
        <v>20527197</v>
      </c>
      <c r="X29" t="s">
        <v>254</v>
      </c>
      <c r="Y29" t="s">
        <v>7</v>
      </c>
      <c r="Z29" s="17" t="s">
        <v>197</v>
      </c>
      <c r="AA29" t="s">
        <v>195</v>
      </c>
      <c r="AB29">
        <v>20527187</v>
      </c>
      <c r="AC29" t="s">
        <v>196</v>
      </c>
      <c r="AD29" t="s">
        <v>7</v>
      </c>
      <c r="AE29" s="15" t="s">
        <v>726</v>
      </c>
      <c r="AF29" t="s">
        <v>428</v>
      </c>
      <c r="AG29">
        <v>20527197</v>
      </c>
      <c r="AH29" t="s">
        <v>429</v>
      </c>
      <c r="AI29" t="s">
        <v>8</v>
      </c>
    </row>
    <row r="30" spans="1:35" x14ac:dyDescent="0.25">
      <c r="P30" s="14" t="s">
        <v>141</v>
      </c>
      <c r="Q30" t="s">
        <v>139</v>
      </c>
      <c r="R30">
        <v>20583363</v>
      </c>
      <c r="S30" t="s">
        <v>140</v>
      </c>
      <c r="T30" t="s">
        <v>8</v>
      </c>
      <c r="U30" s="18" t="s">
        <v>371</v>
      </c>
      <c r="V30">
        <v>3097897632</v>
      </c>
      <c r="W30">
        <v>20583363</v>
      </c>
      <c r="X30" t="s">
        <v>255</v>
      </c>
      <c r="Y30" t="s">
        <v>7</v>
      </c>
      <c r="AE30" s="15" t="s">
        <v>726</v>
      </c>
      <c r="AF30" t="s">
        <v>430</v>
      </c>
      <c r="AG30">
        <v>20527197</v>
      </c>
      <c r="AH30" t="s">
        <v>431</v>
      </c>
      <c r="AI30" t="s">
        <v>8</v>
      </c>
    </row>
    <row r="31" spans="1:35" x14ac:dyDescent="0.25">
      <c r="U31" s="18" t="s">
        <v>371</v>
      </c>
      <c r="V31" t="s">
        <v>256</v>
      </c>
      <c r="W31">
        <v>20527197</v>
      </c>
      <c r="X31" t="s">
        <v>257</v>
      </c>
      <c r="Y31" t="s">
        <v>8</v>
      </c>
      <c r="AE31" s="15" t="s">
        <v>726</v>
      </c>
      <c r="AF31" t="s">
        <v>432</v>
      </c>
      <c r="AG31">
        <v>20527197</v>
      </c>
      <c r="AH31" t="s">
        <v>433</v>
      </c>
      <c r="AI31" t="s">
        <v>7</v>
      </c>
    </row>
    <row r="32" spans="1:35" x14ac:dyDescent="0.25">
      <c r="U32" s="18" t="s">
        <v>371</v>
      </c>
      <c r="V32" t="s">
        <v>258</v>
      </c>
      <c r="W32">
        <v>20527185</v>
      </c>
      <c r="X32" t="s">
        <v>259</v>
      </c>
      <c r="Y32" t="s">
        <v>7</v>
      </c>
      <c r="AE32" s="15" t="s">
        <v>726</v>
      </c>
      <c r="AF32" t="s">
        <v>434</v>
      </c>
      <c r="AG32">
        <v>20527197</v>
      </c>
      <c r="AH32" t="s">
        <v>435</v>
      </c>
      <c r="AI32" t="s">
        <v>8</v>
      </c>
    </row>
    <row r="33" spans="21:35" x14ac:dyDescent="0.25">
      <c r="U33" s="18" t="s">
        <v>371</v>
      </c>
      <c r="V33" t="s">
        <v>260</v>
      </c>
      <c r="W33">
        <v>20527197</v>
      </c>
      <c r="X33" t="s">
        <v>261</v>
      </c>
      <c r="Y33" t="s">
        <v>8</v>
      </c>
      <c r="AE33" s="15" t="s">
        <v>726</v>
      </c>
      <c r="AF33" t="s">
        <v>436</v>
      </c>
      <c r="AG33">
        <v>20527197</v>
      </c>
      <c r="AH33" t="s">
        <v>437</v>
      </c>
      <c r="AI33" t="s">
        <v>7</v>
      </c>
    </row>
    <row r="34" spans="21:35" x14ac:dyDescent="0.25">
      <c r="U34" s="18" t="s">
        <v>371</v>
      </c>
      <c r="V34" t="s">
        <v>262</v>
      </c>
      <c r="W34">
        <v>20566545</v>
      </c>
      <c r="X34" t="s">
        <v>263</v>
      </c>
      <c r="Y34" t="s">
        <v>7</v>
      </c>
      <c r="AE34" s="15" t="s">
        <v>726</v>
      </c>
      <c r="AF34" t="s">
        <v>438</v>
      </c>
      <c r="AG34">
        <v>20527180</v>
      </c>
      <c r="AH34" t="s">
        <v>439</v>
      </c>
      <c r="AI34" t="s">
        <v>7</v>
      </c>
    </row>
    <row r="35" spans="21:35" x14ac:dyDescent="0.25">
      <c r="U35" s="18" t="s">
        <v>371</v>
      </c>
      <c r="V35" t="s">
        <v>264</v>
      </c>
      <c r="W35">
        <v>20527197</v>
      </c>
      <c r="X35" t="s">
        <v>265</v>
      </c>
      <c r="Y35" t="s">
        <v>8</v>
      </c>
      <c r="AE35" s="15" t="s">
        <v>726</v>
      </c>
      <c r="AF35" t="s">
        <v>440</v>
      </c>
      <c r="AG35">
        <v>20527180</v>
      </c>
      <c r="AH35" t="s">
        <v>441</v>
      </c>
      <c r="AI35" t="s">
        <v>8</v>
      </c>
    </row>
    <row r="36" spans="21:35" x14ac:dyDescent="0.25">
      <c r="U36" s="18" t="s">
        <v>371</v>
      </c>
      <c r="V36" t="s">
        <v>266</v>
      </c>
      <c r="W36">
        <v>20528625</v>
      </c>
      <c r="X36" t="s">
        <v>267</v>
      </c>
      <c r="Y36" t="s">
        <v>7</v>
      </c>
      <c r="AE36" s="15" t="s">
        <v>726</v>
      </c>
      <c r="AF36" t="s">
        <v>442</v>
      </c>
      <c r="AG36">
        <v>20527180</v>
      </c>
      <c r="AH36" t="s">
        <v>443</v>
      </c>
      <c r="AI36" t="s">
        <v>8</v>
      </c>
    </row>
    <row r="37" spans="21:35" x14ac:dyDescent="0.25">
      <c r="U37" s="18" t="s">
        <v>371</v>
      </c>
      <c r="V37" t="s">
        <v>268</v>
      </c>
      <c r="W37">
        <v>20566545</v>
      </c>
      <c r="X37" t="s">
        <v>269</v>
      </c>
      <c r="Y37" t="s">
        <v>7</v>
      </c>
      <c r="AE37" s="15" t="s">
        <v>726</v>
      </c>
      <c r="AF37" t="s">
        <v>444</v>
      </c>
      <c r="AG37">
        <v>20527197</v>
      </c>
      <c r="AH37" t="s">
        <v>445</v>
      </c>
      <c r="AI37" t="s">
        <v>7</v>
      </c>
    </row>
    <row r="38" spans="21:35" x14ac:dyDescent="0.25">
      <c r="U38" s="18" t="s">
        <v>371</v>
      </c>
      <c r="V38" t="s">
        <v>270</v>
      </c>
      <c r="W38">
        <v>20527197</v>
      </c>
      <c r="X38" t="s">
        <v>271</v>
      </c>
      <c r="Y38" t="s">
        <v>8</v>
      </c>
      <c r="AE38" s="15" t="s">
        <v>726</v>
      </c>
      <c r="AF38" t="s">
        <v>446</v>
      </c>
      <c r="AG38">
        <v>20527180</v>
      </c>
      <c r="AH38" t="s">
        <v>447</v>
      </c>
      <c r="AI38" t="s">
        <v>7</v>
      </c>
    </row>
    <row r="39" spans="21:35" x14ac:dyDescent="0.25">
      <c r="U39" s="18" t="s">
        <v>371</v>
      </c>
      <c r="V39" t="s">
        <v>272</v>
      </c>
      <c r="W39">
        <v>20527180</v>
      </c>
      <c r="X39" t="s">
        <v>273</v>
      </c>
      <c r="Y39" t="s">
        <v>7</v>
      </c>
      <c r="AE39" s="15" t="s">
        <v>726</v>
      </c>
      <c r="AF39" t="s">
        <v>448</v>
      </c>
      <c r="AG39">
        <v>20527180</v>
      </c>
      <c r="AH39" t="s">
        <v>449</v>
      </c>
      <c r="AI39" t="s">
        <v>8</v>
      </c>
    </row>
    <row r="40" spans="21:35" x14ac:dyDescent="0.25">
      <c r="U40" s="18" t="s">
        <v>371</v>
      </c>
      <c r="V40" t="s">
        <v>274</v>
      </c>
      <c r="W40">
        <v>20583363</v>
      </c>
      <c r="X40" t="s">
        <v>275</v>
      </c>
      <c r="Y40" t="s">
        <v>8</v>
      </c>
      <c r="AE40" s="15" t="s">
        <v>726</v>
      </c>
      <c r="AF40" t="s">
        <v>450</v>
      </c>
      <c r="AG40">
        <v>20527180</v>
      </c>
      <c r="AH40" t="s">
        <v>451</v>
      </c>
      <c r="AI40" t="s">
        <v>8</v>
      </c>
    </row>
    <row r="41" spans="21:35" x14ac:dyDescent="0.25">
      <c r="U41" s="18" t="s">
        <v>371</v>
      </c>
      <c r="V41" t="s">
        <v>276</v>
      </c>
      <c r="W41">
        <v>20527180</v>
      </c>
      <c r="X41" t="s">
        <v>277</v>
      </c>
      <c r="Y41" t="s">
        <v>8</v>
      </c>
      <c r="AE41" s="15" t="s">
        <v>726</v>
      </c>
      <c r="AF41" t="s">
        <v>452</v>
      </c>
      <c r="AG41">
        <v>20527197</v>
      </c>
      <c r="AH41" t="s">
        <v>453</v>
      </c>
      <c r="AI41" t="s">
        <v>7</v>
      </c>
    </row>
    <row r="42" spans="21:35" x14ac:dyDescent="0.25">
      <c r="U42" s="18" t="s">
        <v>371</v>
      </c>
      <c r="V42" t="s">
        <v>278</v>
      </c>
      <c r="W42">
        <v>20566545</v>
      </c>
      <c r="X42" t="s">
        <v>279</v>
      </c>
      <c r="Y42" t="s">
        <v>7</v>
      </c>
      <c r="AE42" s="15" t="s">
        <v>726</v>
      </c>
      <c r="AF42" t="s">
        <v>454</v>
      </c>
      <c r="AG42">
        <v>20527193</v>
      </c>
      <c r="AH42" t="s">
        <v>455</v>
      </c>
      <c r="AI42" t="s">
        <v>7</v>
      </c>
    </row>
    <row r="43" spans="21:35" x14ac:dyDescent="0.25">
      <c r="U43" s="18" t="s">
        <v>371</v>
      </c>
      <c r="V43">
        <v>3094339612</v>
      </c>
      <c r="W43">
        <v>20566545</v>
      </c>
      <c r="X43" t="s">
        <v>280</v>
      </c>
      <c r="Y43" t="s">
        <v>7</v>
      </c>
      <c r="AE43" s="15" t="s">
        <v>726</v>
      </c>
      <c r="AF43" t="s">
        <v>456</v>
      </c>
      <c r="AG43">
        <v>20527180</v>
      </c>
      <c r="AH43" t="s">
        <v>457</v>
      </c>
      <c r="AI43" t="s">
        <v>8</v>
      </c>
    </row>
    <row r="44" spans="21:35" x14ac:dyDescent="0.25">
      <c r="U44" s="18" t="s">
        <v>371</v>
      </c>
      <c r="V44" t="s">
        <v>281</v>
      </c>
      <c r="W44">
        <v>20527197</v>
      </c>
      <c r="X44" t="s">
        <v>282</v>
      </c>
      <c r="Y44" t="s">
        <v>7</v>
      </c>
      <c r="AE44" s="15" t="s">
        <v>726</v>
      </c>
      <c r="AF44" t="s">
        <v>458</v>
      </c>
      <c r="AG44">
        <v>20527180</v>
      </c>
      <c r="AH44" t="s">
        <v>459</v>
      </c>
      <c r="AI44" t="s">
        <v>8</v>
      </c>
    </row>
    <row r="45" spans="21:35" x14ac:dyDescent="0.25">
      <c r="U45" s="18" t="s">
        <v>371</v>
      </c>
      <c r="V45" t="s">
        <v>283</v>
      </c>
      <c r="W45">
        <v>20527197</v>
      </c>
      <c r="X45" t="s">
        <v>284</v>
      </c>
      <c r="Y45" t="s">
        <v>7</v>
      </c>
      <c r="AE45" s="15" t="s">
        <v>726</v>
      </c>
      <c r="AF45" t="s">
        <v>460</v>
      </c>
      <c r="AG45">
        <v>20527180</v>
      </c>
      <c r="AH45" t="s">
        <v>461</v>
      </c>
      <c r="AI45" t="s">
        <v>8</v>
      </c>
    </row>
    <row r="46" spans="21:35" x14ac:dyDescent="0.25">
      <c r="U46" s="18" t="s">
        <v>371</v>
      </c>
      <c r="V46" t="s">
        <v>285</v>
      </c>
      <c r="W46">
        <v>20583363</v>
      </c>
      <c r="X46" t="s">
        <v>286</v>
      </c>
      <c r="Y46" t="s">
        <v>8</v>
      </c>
      <c r="AE46" s="15" t="s">
        <v>726</v>
      </c>
      <c r="AF46" t="s">
        <v>462</v>
      </c>
      <c r="AG46">
        <v>20527197</v>
      </c>
      <c r="AH46" t="s">
        <v>463</v>
      </c>
      <c r="AI46" t="s">
        <v>8</v>
      </c>
    </row>
    <row r="47" spans="21:35" x14ac:dyDescent="0.25">
      <c r="U47" s="18" t="s">
        <v>371</v>
      </c>
      <c r="V47" t="s">
        <v>287</v>
      </c>
      <c r="W47">
        <v>20527197</v>
      </c>
      <c r="X47" t="s">
        <v>288</v>
      </c>
      <c r="Y47" t="s">
        <v>8</v>
      </c>
      <c r="AE47" s="15" t="s">
        <v>726</v>
      </c>
      <c r="AF47">
        <v>3087463662</v>
      </c>
      <c r="AG47">
        <v>20583363</v>
      </c>
      <c r="AH47" t="s">
        <v>464</v>
      </c>
      <c r="AI47" t="s">
        <v>8</v>
      </c>
    </row>
    <row r="48" spans="21:35" x14ac:dyDescent="0.25">
      <c r="U48" s="18" t="s">
        <v>371</v>
      </c>
      <c r="V48" t="s">
        <v>289</v>
      </c>
      <c r="W48">
        <v>20527197</v>
      </c>
      <c r="X48" t="s">
        <v>290</v>
      </c>
      <c r="Y48" t="s">
        <v>7</v>
      </c>
      <c r="AE48" s="15" t="s">
        <v>726</v>
      </c>
      <c r="AF48" t="s">
        <v>465</v>
      </c>
      <c r="AG48">
        <v>20527197</v>
      </c>
      <c r="AH48" t="s">
        <v>466</v>
      </c>
      <c r="AI48" t="s">
        <v>8</v>
      </c>
    </row>
    <row r="49" spans="21:35" x14ac:dyDescent="0.25">
      <c r="U49" s="18" t="s">
        <v>371</v>
      </c>
      <c r="V49" t="s">
        <v>291</v>
      </c>
      <c r="W49">
        <v>20527197</v>
      </c>
      <c r="X49" t="s">
        <v>292</v>
      </c>
      <c r="Y49" t="s">
        <v>8</v>
      </c>
      <c r="AE49" s="15" t="s">
        <v>726</v>
      </c>
      <c r="AF49" t="s">
        <v>467</v>
      </c>
      <c r="AG49">
        <v>20528654</v>
      </c>
      <c r="AH49" t="s">
        <v>468</v>
      </c>
      <c r="AI49" t="s">
        <v>7</v>
      </c>
    </row>
    <row r="50" spans="21:35" x14ac:dyDescent="0.25">
      <c r="U50" s="18" t="s">
        <v>371</v>
      </c>
      <c r="V50" t="s">
        <v>293</v>
      </c>
      <c r="W50">
        <v>20527197</v>
      </c>
      <c r="X50" t="s">
        <v>294</v>
      </c>
      <c r="Y50" t="s">
        <v>8</v>
      </c>
      <c r="AE50" s="15" t="s">
        <v>726</v>
      </c>
      <c r="AF50" t="s">
        <v>469</v>
      </c>
      <c r="AG50">
        <v>20527197</v>
      </c>
      <c r="AH50" t="s">
        <v>470</v>
      </c>
    </row>
    <row r="51" spans="21:35" x14ac:dyDescent="0.25">
      <c r="U51" s="18" t="s">
        <v>371</v>
      </c>
      <c r="V51" t="s">
        <v>295</v>
      </c>
      <c r="W51">
        <v>20527180</v>
      </c>
      <c r="X51" t="s">
        <v>296</v>
      </c>
      <c r="Y51" t="s">
        <v>7</v>
      </c>
      <c r="AE51" s="15" t="s">
        <v>726</v>
      </c>
      <c r="AF51" t="s">
        <v>471</v>
      </c>
      <c r="AG51">
        <v>20527180</v>
      </c>
      <c r="AH51" t="s">
        <v>472</v>
      </c>
      <c r="AI51" t="s">
        <v>8</v>
      </c>
    </row>
    <row r="52" spans="21:35" x14ac:dyDescent="0.25">
      <c r="U52" s="18" t="s">
        <v>371</v>
      </c>
      <c r="V52" t="s">
        <v>297</v>
      </c>
      <c r="W52">
        <v>20532770</v>
      </c>
      <c r="X52" t="s">
        <v>298</v>
      </c>
      <c r="Y52" t="s">
        <v>7</v>
      </c>
      <c r="AE52" s="15" t="s">
        <v>726</v>
      </c>
      <c r="AF52" t="s">
        <v>473</v>
      </c>
      <c r="AG52">
        <v>20527197</v>
      </c>
      <c r="AH52" t="s">
        <v>474</v>
      </c>
      <c r="AI52" t="s">
        <v>8</v>
      </c>
    </row>
    <row r="53" spans="21:35" x14ac:dyDescent="0.25">
      <c r="U53" s="18" t="s">
        <v>371</v>
      </c>
      <c r="V53" t="s">
        <v>299</v>
      </c>
      <c r="W53">
        <v>20527197</v>
      </c>
      <c r="X53" t="s">
        <v>300</v>
      </c>
      <c r="Y53" t="s">
        <v>7</v>
      </c>
      <c r="AE53" s="15" t="s">
        <v>726</v>
      </c>
      <c r="AF53" t="s">
        <v>475</v>
      </c>
      <c r="AG53">
        <v>20527197</v>
      </c>
      <c r="AH53" t="s">
        <v>476</v>
      </c>
      <c r="AI53" t="s">
        <v>7</v>
      </c>
    </row>
    <row r="54" spans="21:35" x14ac:dyDescent="0.25">
      <c r="U54" s="18" t="s">
        <v>371</v>
      </c>
      <c r="V54" t="s">
        <v>301</v>
      </c>
      <c r="W54">
        <v>20527197</v>
      </c>
      <c r="X54" t="s">
        <v>302</v>
      </c>
      <c r="Y54" t="s">
        <v>7</v>
      </c>
      <c r="AE54" s="15" t="s">
        <v>726</v>
      </c>
      <c r="AF54" t="s">
        <v>477</v>
      </c>
      <c r="AG54">
        <v>20527197</v>
      </c>
      <c r="AH54" t="s">
        <v>478</v>
      </c>
      <c r="AI54" t="s">
        <v>7</v>
      </c>
    </row>
    <row r="55" spans="21:35" x14ac:dyDescent="0.25">
      <c r="U55" s="18" t="s">
        <v>371</v>
      </c>
      <c r="V55" t="s">
        <v>303</v>
      </c>
      <c r="W55">
        <v>20527197</v>
      </c>
      <c r="X55" t="s">
        <v>304</v>
      </c>
      <c r="Y55" t="s">
        <v>8</v>
      </c>
      <c r="AE55" s="15" t="s">
        <v>726</v>
      </c>
      <c r="AF55" t="s">
        <v>479</v>
      </c>
      <c r="AG55">
        <v>20527197</v>
      </c>
      <c r="AH55" t="s">
        <v>480</v>
      </c>
      <c r="AI55" t="s">
        <v>8</v>
      </c>
    </row>
    <row r="56" spans="21:35" x14ac:dyDescent="0.25">
      <c r="U56" s="18" t="s">
        <v>371</v>
      </c>
      <c r="V56" t="s">
        <v>305</v>
      </c>
      <c r="W56">
        <v>20527197</v>
      </c>
      <c r="X56" t="s">
        <v>306</v>
      </c>
      <c r="Y56" t="s">
        <v>7</v>
      </c>
      <c r="AE56" s="15" t="s">
        <v>726</v>
      </c>
      <c r="AF56" t="s">
        <v>481</v>
      </c>
      <c r="AG56">
        <v>20527180</v>
      </c>
      <c r="AH56" t="s">
        <v>482</v>
      </c>
      <c r="AI56" t="s">
        <v>7</v>
      </c>
    </row>
    <row r="57" spans="21:35" x14ac:dyDescent="0.25">
      <c r="U57" s="18" t="s">
        <v>371</v>
      </c>
      <c r="V57" t="s">
        <v>307</v>
      </c>
      <c r="W57">
        <v>20527197</v>
      </c>
      <c r="X57" t="s">
        <v>308</v>
      </c>
      <c r="Y57" t="s">
        <v>7</v>
      </c>
      <c r="AE57" s="15" t="s">
        <v>726</v>
      </c>
      <c r="AF57" t="s">
        <v>483</v>
      </c>
      <c r="AG57">
        <v>20527197</v>
      </c>
      <c r="AH57" t="s">
        <v>484</v>
      </c>
      <c r="AI57" t="s">
        <v>8</v>
      </c>
    </row>
    <row r="58" spans="21:35" x14ac:dyDescent="0.25">
      <c r="U58" s="18" t="s">
        <v>371</v>
      </c>
      <c r="V58" t="s">
        <v>309</v>
      </c>
      <c r="W58">
        <v>20531242</v>
      </c>
      <c r="X58" t="s">
        <v>310</v>
      </c>
      <c r="Y58" t="s">
        <v>7</v>
      </c>
      <c r="AE58" s="15" t="s">
        <v>726</v>
      </c>
      <c r="AF58" t="s">
        <v>485</v>
      </c>
      <c r="AG58">
        <v>20527180</v>
      </c>
      <c r="AH58" t="s">
        <v>486</v>
      </c>
      <c r="AI58" t="s">
        <v>8</v>
      </c>
    </row>
    <row r="59" spans="21:35" x14ac:dyDescent="0.25">
      <c r="U59" s="18" t="s">
        <v>371</v>
      </c>
      <c r="V59" t="s">
        <v>311</v>
      </c>
      <c r="W59">
        <v>20529897</v>
      </c>
      <c r="X59" t="s">
        <v>312</v>
      </c>
      <c r="Y59" t="s">
        <v>8</v>
      </c>
      <c r="AE59" s="15" t="s">
        <v>726</v>
      </c>
      <c r="AF59" t="s">
        <v>487</v>
      </c>
      <c r="AG59">
        <v>20527197</v>
      </c>
      <c r="AH59" t="s">
        <v>488</v>
      </c>
      <c r="AI59" t="s">
        <v>8</v>
      </c>
    </row>
    <row r="60" spans="21:35" x14ac:dyDescent="0.25">
      <c r="U60" s="18" t="s">
        <v>371</v>
      </c>
      <c r="V60" t="s">
        <v>313</v>
      </c>
      <c r="W60">
        <v>20527197</v>
      </c>
      <c r="X60" t="s">
        <v>314</v>
      </c>
      <c r="Y60" t="s">
        <v>7</v>
      </c>
      <c r="AE60" s="15" t="s">
        <v>726</v>
      </c>
      <c r="AF60" t="s">
        <v>489</v>
      </c>
      <c r="AG60">
        <v>20527197</v>
      </c>
      <c r="AH60" t="s">
        <v>490</v>
      </c>
      <c r="AI60" t="s">
        <v>8</v>
      </c>
    </row>
    <row r="61" spans="21:35" x14ac:dyDescent="0.25">
      <c r="U61" s="18" t="s">
        <v>371</v>
      </c>
      <c r="V61" t="s">
        <v>315</v>
      </c>
      <c r="W61">
        <v>20500505</v>
      </c>
      <c r="X61" t="s">
        <v>316</v>
      </c>
      <c r="Y61" t="s">
        <v>7</v>
      </c>
      <c r="AE61" s="15" t="s">
        <v>726</v>
      </c>
      <c r="AF61" t="s">
        <v>491</v>
      </c>
      <c r="AG61">
        <v>20527197</v>
      </c>
      <c r="AH61" t="s">
        <v>492</v>
      </c>
      <c r="AI61" t="s">
        <v>7</v>
      </c>
    </row>
    <row r="62" spans="21:35" x14ac:dyDescent="0.25">
      <c r="U62" s="18" t="s">
        <v>371</v>
      </c>
      <c r="V62" t="s">
        <v>317</v>
      </c>
      <c r="W62">
        <v>20583367</v>
      </c>
      <c r="X62" t="s">
        <v>318</v>
      </c>
      <c r="Y62" t="s">
        <v>8</v>
      </c>
      <c r="AE62" s="15" t="s">
        <v>726</v>
      </c>
      <c r="AF62" t="s">
        <v>493</v>
      </c>
      <c r="AG62">
        <v>20527197</v>
      </c>
      <c r="AH62" t="s">
        <v>494</v>
      </c>
      <c r="AI62" t="s">
        <v>7</v>
      </c>
    </row>
    <row r="63" spans="21:35" x14ac:dyDescent="0.25">
      <c r="U63" s="18" t="s">
        <v>371</v>
      </c>
      <c r="V63" t="s">
        <v>319</v>
      </c>
      <c r="W63">
        <v>20583363</v>
      </c>
      <c r="X63" t="s">
        <v>320</v>
      </c>
      <c r="Y63" t="s">
        <v>8</v>
      </c>
      <c r="AE63" s="15" t="s">
        <v>726</v>
      </c>
      <c r="AF63" t="s">
        <v>495</v>
      </c>
      <c r="AG63">
        <v>20583367</v>
      </c>
      <c r="AH63" t="s">
        <v>496</v>
      </c>
      <c r="AI63" t="s">
        <v>7</v>
      </c>
    </row>
    <row r="64" spans="21:35" x14ac:dyDescent="0.25">
      <c r="U64" s="18" t="s">
        <v>371</v>
      </c>
      <c r="V64" t="s">
        <v>321</v>
      </c>
      <c r="W64">
        <v>20527180</v>
      </c>
      <c r="X64" t="s">
        <v>322</v>
      </c>
      <c r="Y64" t="s">
        <v>8</v>
      </c>
      <c r="AE64" s="15" t="s">
        <v>726</v>
      </c>
      <c r="AF64" t="s">
        <v>497</v>
      </c>
      <c r="AG64">
        <v>20527180</v>
      </c>
      <c r="AH64" t="s">
        <v>498</v>
      </c>
      <c r="AI64" t="s">
        <v>7</v>
      </c>
    </row>
    <row r="65" spans="21:35" x14ac:dyDescent="0.25">
      <c r="U65" s="18" t="s">
        <v>371</v>
      </c>
      <c r="V65" t="s">
        <v>323</v>
      </c>
      <c r="W65">
        <v>20528625</v>
      </c>
      <c r="X65" t="s">
        <v>324</v>
      </c>
      <c r="Y65" t="s">
        <v>8</v>
      </c>
      <c r="AE65" s="15" t="s">
        <v>726</v>
      </c>
      <c r="AF65" t="s">
        <v>499</v>
      </c>
      <c r="AG65">
        <v>20527197</v>
      </c>
      <c r="AH65" t="s">
        <v>500</v>
      </c>
      <c r="AI65" t="s">
        <v>8</v>
      </c>
    </row>
    <row r="66" spans="21:35" x14ac:dyDescent="0.25">
      <c r="U66" s="18" t="s">
        <v>371</v>
      </c>
      <c r="V66" t="s">
        <v>325</v>
      </c>
      <c r="W66">
        <v>20527197</v>
      </c>
      <c r="X66" t="s">
        <v>326</v>
      </c>
      <c r="Y66" t="s">
        <v>7</v>
      </c>
      <c r="AE66" s="15" t="s">
        <v>726</v>
      </c>
      <c r="AF66" t="s">
        <v>501</v>
      </c>
      <c r="AG66">
        <v>20527197</v>
      </c>
      <c r="AH66" t="s">
        <v>502</v>
      </c>
      <c r="AI66" t="s">
        <v>8</v>
      </c>
    </row>
    <row r="67" spans="21:35" x14ac:dyDescent="0.25">
      <c r="U67" s="18" t="s">
        <v>371</v>
      </c>
      <c r="V67" t="s">
        <v>327</v>
      </c>
      <c r="W67">
        <v>20527197</v>
      </c>
      <c r="X67" t="s">
        <v>328</v>
      </c>
      <c r="Y67" t="s">
        <v>8</v>
      </c>
      <c r="AE67" s="15" t="s">
        <v>726</v>
      </c>
      <c r="AF67" t="s">
        <v>503</v>
      </c>
      <c r="AG67">
        <v>20527180</v>
      </c>
      <c r="AH67" t="s">
        <v>504</v>
      </c>
      <c r="AI67" t="s">
        <v>7</v>
      </c>
    </row>
    <row r="68" spans="21:35" x14ac:dyDescent="0.25">
      <c r="U68" s="18" t="s">
        <v>371</v>
      </c>
      <c r="V68" t="s">
        <v>329</v>
      </c>
      <c r="W68">
        <v>20527197</v>
      </c>
      <c r="X68" t="s">
        <v>330</v>
      </c>
      <c r="Y68" t="s">
        <v>7</v>
      </c>
      <c r="AE68" s="15" t="s">
        <v>726</v>
      </c>
      <c r="AF68" t="s">
        <v>505</v>
      </c>
      <c r="AG68">
        <v>20527180</v>
      </c>
      <c r="AH68" t="s">
        <v>506</v>
      </c>
      <c r="AI68" t="s">
        <v>8</v>
      </c>
    </row>
    <row r="69" spans="21:35" x14ac:dyDescent="0.25">
      <c r="U69" s="18" t="s">
        <v>371</v>
      </c>
      <c r="V69">
        <v>3082973214</v>
      </c>
      <c r="W69">
        <v>20528625</v>
      </c>
      <c r="X69" t="s">
        <v>331</v>
      </c>
      <c r="Y69" t="s">
        <v>8</v>
      </c>
      <c r="AE69" s="15" t="s">
        <v>726</v>
      </c>
      <c r="AF69" t="s">
        <v>507</v>
      </c>
      <c r="AG69">
        <v>20527180</v>
      </c>
      <c r="AH69" t="s">
        <v>508</v>
      </c>
      <c r="AI69" t="s">
        <v>8</v>
      </c>
    </row>
    <row r="70" spans="21:35" x14ac:dyDescent="0.25">
      <c r="U70" s="18" t="s">
        <v>371</v>
      </c>
      <c r="V70" t="s">
        <v>332</v>
      </c>
      <c r="W70">
        <v>20528625</v>
      </c>
      <c r="X70" t="s">
        <v>333</v>
      </c>
      <c r="Y70" t="s">
        <v>8</v>
      </c>
      <c r="AE70" s="15" t="s">
        <v>726</v>
      </c>
      <c r="AF70" t="s">
        <v>509</v>
      </c>
      <c r="AG70">
        <v>20527197</v>
      </c>
      <c r="AH70" t="s">
        <v>510</v>
      </c>
      <c r="AI70" t="s">
        <v>8</v>
      </c>
    </row>
    <row r="71" spans="21:35" x14ac:dyDescent="0.25">
      <c r="U71" s="18" t="s">
        <v>371</v>
      </c>
      <c r="V71" t="s">
        <v>334</v>
      </c>
      <c r="W71">
        <v>20529909</v>
      </c>
      <c r="X71" t="s">
        <v>335</v>
      </c>
      <c r="Y71" t="s">
        <v>8</v>
      </c>
      <c r="AE71" s="15" t="s">
        <v>726</v>
      </c>
      <c r="AF71" t="s">
        <v>511</v>
      </c>
      <c r="AG71">
        <v>20566545</v>
      </c>
      <c r="AH71" t="s">
        <v>512</v>
      </c>
      <c r="AI71" t="s">
        <v>8</v>
      </c>
    </row>
    <row r="72" spans="21:35" x14ac:dyDescent="0.25">
      <c r="U72" s="18" t="s">
        <v>371</v>
      </c>
      <c r="V72" t="s">
        <v>336</v>
      </c>
      <c r="W72">
        <v>20527197</v>
      </c>
      <c r="X72" t="s">
        <v>337</v>
      </c>
      <c r="Y72" t="s">
        <v>7</v>
      </c>
      <c r="AE72" s="15" t="s">
        <v>726</v>
      </c>
      <c r="AF72" t="s">
        <v>513</v>
      </c>
      <c r="AG72">
        <v>20527197</v>
      </c>
      <c r="AH72" t="s">
        <v>514</v>
      </c>
      <c r="AI72" t="s">
        <v>7</v>
      </c>
    </row>
    <row r="73" spans="21:35" x14ac:dyDescent="0.25">
      <c r="U73" s="18" t="s">
        <v>371</v>
      </c>
      <c r="V73" t="s">
        <v>338</v>
      </c>
      <c r="W73">
        <v>69867917</v>
      </c>
      <c r="X73" t="s">
        <v>339</v>
      </c>
      <c r="Y73" t="s">
        <v>7</v>
      </c>
      <c r="AE73" s="15" t="s">
        <v>726</v>
      </c>
      <c r="AF73" t="s">
        <v>515</v>
      </c>
      <c r="AG73">
        <v>20527180</v>
      </c>
      <c r="AH73" t="s">
        <v>516</v>
      </c>
      <c r="AI73" t="s">
        <v>7</v>
      </c>
    </row>
    <row r="74" spans="21:35" x14ac:dyDescent="0.25">
      <c r="U74" s="18" t="s">
        <v>371</v>
      </c>
      <c r="V74" t="s">
        <v>340</v>
      </c>
      <c r="W74">
        <v>20527185</v>
      </c>
      <c r="X74" t="s">
        <v>341</v>
      </c>
      <c r="Y74" t="s">
        <v>8</v>
      </c>
      <c r="AE74" s="15" t="s">
        <v>726</v>
      </c>
      <c r="AF74" t="s">
        <v>517</v>
      </c>
      <c r="AG74">
        <v>20527180</v>
      </c>
      <c r="AH74" t="s">
        <v>518</v>
      </c>
      <c r="AI74" t="s">
        <v>8</v>
      </c>
    </row>
    <row r="75" spans="21:35" x14ac:dyDescent="0.25">
      <c r="U75" s="18" t="s">
        <v>371</v>
      </c>
      <c r="V75" t="s">
        <v>342</v>
      </c>
      <c r="W75">
        <v>20528625</v>
      </c>
      <c r="X75" t="s">
        <v>343</v>
      </c>
      <c r="Y75" t="s">
        <v>8</v>
      </c>
      <c r="AE75" s="15" t="s">
        <v>726</v>
      </c>
      <c r="AF75" t="s">
        <v>519</v>
      </c>
      <c r="AG75">
        <v>20527197</v>
      </c>
      <c r="AH75" t="s">
        <v>520</v>
      </c>
      <c r="AI75" t="s">
        <v>7</v>
      </c>
    </row>
    <row r="76" spans="21:35" x14ac:dyDescent="0.25">
      <c r="U76" s="18" t="s">
        <v>371</v>
      </c>
      <c r="V76" t="s">
        <v>344</v>
      </c>
      <c r="W76">
        <v>20566545</v>
      </c>
      <c r="X76" t="s">
        <v>345</v>
      </c>
      <c r="Y76" t="s">
        <v>7</v>
      </c>
      <c r="AE76" s="15" t="s">
        <v>726</v>
      </c>
      <c r="AF76" t="s">
        <v>521</v>
      </c>
      <c r="AG76">
        <v>20566545</v>
      </c>
      <c r="AH76" t="s">
        <v>522</v>
      </c>
      <c r="AI76" t="s">
        <v>8</v>
      </c>
    </row>
    <row r="77" spans="21:35" x14ac:dyDescent="0.25">
      <c r="U77" s="18" t="s">
        <v>371</v>
      </c>
      <c r="V77">
        <v>3081834782</v>
      </c>
      <c r="W77">
        <v>20528625</v>
      </c>
      <c r="X77" t="s">
        <v>346</v>
      </c>
      <c r="Y77" t="s">
        <v>7</v>
      </c>
      <c r="AE77" s="15" t="s">
        <v>726</v>
      </c>
      <c r="AF77" t="s">
        <v>523</v>
      </c>
      <c r="AG77">
        <v>20583363</v>
      </c>
      <c r="AH77" t="s">
        <v>524</v>
      </c>
      <c r="AI77" t="s">
        <v>7</v>
      </c>
    </row>
    <row r="78" spans="21:35" x14ac:dyDescent="0.25">
      <c r="U78" s="18" t="s">
        <v>371</v>
      </c>
      <c r="V78" t="s">
        <v>347</v>
      </c>
      <c r="W78">
        <v>20527197</v>
      </c>
      <c r="X78" t="s">
        <v>348</v>
      </c>
      <c r="Y78" t="s">
        <v>7</v>
      </c>
      <c r="AE78" s="15" t="s">
        <v>726</v>
      </c>
      <c r="AF78" t="s">
        <v>525</v>
      </c>
      <c r="AG78">
        <v>20527180</v>
      </c>
      <c r="AH78" t="s">
        <v>526</v>
      </c>
      <c r="AI78" t="s">
        <v>8</v>
      </c>
    </row>
    <row r="79" spans="21:35" x14ac:dyDescent="0.25">
      <c r="U79" s="18" t="s">
        <v>371</v>
      </c>
      <c r="V79" t="s">
        <v>349</v>
      </c>
      <c r="W79">
        <v>20527197</v>
      </c>
      <c r="X79" t="s">
        <v>350</v>
      </c>
      <c r="Y79" t="s">
        <v>7</v>
      </c>
      <c r="AE79" s="15" t="s">
        <v>726</v>
      </c>
      <c r="AF79" t="s">
        <v>527</v>
      </c>
      <c r="AG79">
        <v>20527180</v>
      </c>
      <c r="AH79" t="s">
        <v>528</v>
      </c>
      <c r="AI79" t="s">
        <v>7</v>
      </c>
    </row>
    <row r="80" spans="21:35" x14ac:dyDescent="0.25">
      <c r="U80" s="18" t="s">
        <v>371</v>
      </c>
      <c r="V80" t="s">
        <v>351</v>
      </c>
      <c r="W80">
        <v>20573043</v>
      </c>
      <c r="X80" t="s">
        <v>352</v>
      </c>
      <c r="Y80" t="s">
        <v>8</v>
      </c>
      <c r="AE80" s="15" t="s">
        <v>726</v>
      </c>
      <c r="AF80" t="s">
        <v>529</v>
      </c>
      <c r="AG80">
        <v>20527197</v>
      </c>
      <c r="AH80" t="s">
        <v>530</v>
      </c>
      <c r="AI80" t="s">
        <v>7</v>
      </c>
    </row>
    <row r="81" spans="21:35" x14ac:dyDescent="0.25">
      <c r="U81" s="18" t="s">
        <v>371</v>
      </c>
      <c r="V81" t="s">
        <v>353</v>
      </c>
      <c r="W81">
        <v>20527197</v>
      </c>
      <c r="X81" t="s">
        <v>354</v>
      </c>
      <c r="Y81" t="s">
        <v>7</v>
      </c>
      <c r="AE81" s="15" t="s">
        <v>726</v>
      </c>
      <c r="AF81" t="s">
        <v>531</v>
      </c>
      <c r="AG81">
        <v>20527169</v>
      </c>
      <c r="AH81" t="s">
        <v>532</v>
      </c>
      <c r="AI81" t="s">
        <v>7</v>
      </c>
    </row>
    <row r="82" spans="21:35" x14ac:dyDescent="0.25">
      <c r="U82" s="18" t="s">
        <v>371</v>
      </c>
      <c r="V82" t="s">
        <v>355</v>
      </c>
      <c r="W82">
        <v>20527197</v>
      </c>
      <c r="X82" t="s">
        <v>356</v>
      </c>
      <c r="Y82" t="s">
        <v>7</v>
      </c>
      <c r="AE82" s="15" t="s">
        <v>726</v>
      </c>
      <c r="AF82" t="s">
        <v>533</v>
      </c>
      <c r="AG82">
        <v>20213948</v>
      </c>
      <c r="AH82" t="s">
        <v>534</v>
      </c>
      <c r="AI82" t="s">
        <v>8</v>
      </c>
    </row>
    <row r="83" spans="21:35" x14ac:dyDescent="0.25">
      <c r="U83" s="18" t="s">
        <v>371</v>
      </c>
      <c r="V83" t="s">
        <v>357</v>
      </c>
      <c r="W83">
        <v>20527197</v>
      </c>
      <c r="X83" t="s">
        <v>358</v>
      </c>
      <c r="Y83" t="s">
        <v>8</v>
      </c>
      <c r="AE83" s="15" t="s">
        <v>726</v>
      </c>
      <c r="AF83" t="s">
        <v>535</v>
      </c>
      <c r="AG83">
        <v>20527197</v>
      </c>
      <c r="AH83" t="s">
        <v>536</v>
      </c>
      <c r="AI83" t="s">
        <v>8</v>
      </c>
    </row>
    <row r="84" spans="21:35" x14ac:dyDescent="0.25">
      <c r="U84" s="18" t="s">
        <v>371</v>
      </c>
      <c r="V84" t="s">
        <v>359</v>
      </c>
      <c r="W84">
        <v>20527197</v>
      </c>
      <c r="X84" t="s">
        <v>360</v>
      </c>
      <c r="Y84" t="s">
        <v>8</v>
      </c>
      <c r="AE84" s="15" t="s">
        <v>726</v>
      </c>
      <c r="AF84" t="s">
        <v>537</v>
      </c>
      <c r="AG84">
        <v>20527180</v>
      </c>
      <c r="AH84" t="s">
        <v>538</v>
      </c>
      <c r="AI84" t="s">
        <v>7</v>
      </c>
    </row>
    <row r="85" spans="21:35" x14ac:dyDescent="0.25">
      <c r="U85" s="18" t="s">
        <v>371</v>
      </c>
      <c r="V85" t="s">
        <v>361</v>
      </c>
      <c r="W85">
        <v>20527193</v>
      </c>
      <c r="X85" t="s">
        <v>362</v>
      </c>
      <c r="Y85" t="s">
        <v>8</v>
      </c>
      <c r="AE85" s="15" t="s">
        <v>726</v>
      </c>
      <c r="AF85" t="s">
        <v>539</v>
      </c>
      <c r="AG85">
        <v>20583410</v>
      </c>
      <c r="AH85" t="s">
        <v>540</v>
      </c>
      <c r="AI85" t="s">
        <v>7</v>
      </c>
    </row>
    <row r="86" spans="21:35" x14ac:dyDescent="0.25">
      <c r="U86" s="18" t="s">
        <v>371</v>
      </c>
      <c r="V86" t="s">
        <v>363</v>
      </c>
      <c r="W86">
        <v>20527197</v>
      </c>
      <c r="X86" t="s">
        <v>364</v>
      </c>
      <c r="Y86" t="s">
        <v>8</v>
      </c>
      <c r="AE86" s="15" t="s">
        <v>726</v>
      </c>
      <c r="AF86" t="s">
        <v>541</v>
      </c>
      <c r="AG86">
        <v>20527180</v>
      </c>
      <c r="AH86" t="s">
        <v>542</v>
      </c>
      <c r="AI86" t="s">
        <v>8</v>
      </c>
    </row>
    <row r="87" spans="21:35" x14ac:dyDescent="0.25">
      <c r="U87" s="18" t="s">
        <v>371</v>
      </c>
      <c r="V87" t="s">
        <v>365</v>
      </c>
      <c r="W87">
        <v>20566545</v>
      </c>
      <c r="X87" t="s">
        <v>366</v>
      </c>
      <c r="Y87" t="s">
        <v>7</v>
      </c>
      <c r="AE87" s="15" t="s">
        <v>726</v>
      </c>
      <c r="AF87" t="s">
        <v>543</v>
      </c>
      <c r="AG87">
        <v>20527180</v>
      </c>
      <c r="AH87" t="s">
        <v>544</v>
      </c>
      <c r="AI87" t="s">
        <v>8</v>
      </c>
    </row>
    <row r="88" spans="21:35" x14ac:dyDescent="0.25">
      <c r="U88" s="18" t="s">
        <v>371</v>
      </c>
      <c r="V88" t="s">
        <v>367</v>
      </c>
      <c r="W88">
        <v>20527197</v>
      </c>
      <c r="X88" t="s">
        <v>368</v>
      </c>
      <c r="Y88" t="s">
        <v>8</v>
      </c>
      <c r="AE88" s="15" t="s">
        <v>726</v>
      </c>
      <c r="AF88" t="s">
        <v>545</v>
      </c>
      <c r="AG88">
        <v>20527197</v>
      </c>
      <c r="AH88" t="s">
        <v>546</v>
      </c>
      <c r="AI88" t="s">
        <v>8</v>
      </c>
    </row>
    <row r="89" spans="21:35" x14ac:dyDescent="0.25">
      <c r="U89" s="18" t="s">
        <v>371</v>
      </c>
      <c r="V89" t="s">
        <v>369</v>
      </c>
      <c r="W89">
        <v>20527197</v>
      </c>
      <c r="X89" t="s">
        <v>370</v>
      </c>
      <c r="Y89" t="s">
        <v>7</v>
      </c>
      <c r="AE89" s="15" t="s">
        <v>726</v>
      </c>
      <c r="AF89" t="s">
        <v>547</v>
      </c>
      <c r="AG89">
        <v>20527197</v>
      </c>
      <c r="AH89" t="s">
        <v>548</v>
      </c>
      <c r="AI89" t="s">
        <v>8</v>
      </c>
    </row>
    <row r="90" spans="21:35" x14ac:dyDescent="0.25">
      <c r="AE90" s="15" t="s">
        <v>726</v>
      </c>
      <c r="AF90" t="s">
        <v>549</v>
      </c>
      <c r="AG90">
        <v>20527197</v>
      </c>
      <c r="AH90" t="s">
        <v>550</v>
      </c>
      <c r="AI90" t="s">
        <v>8</v>
      </c>
    </row>
    <row r="91" spans="21:35" x14ac:dyDescent="0.25">
      <c r="AE91" s="15" t="s">
        <v>726</v>
      </c>
      <c r="AF91" t="s">
        <v>551</v>
      </c>
      <c r="AG91">
        <v>20527180</v>
      </c>
      <c r="AH91" t="s">
        <v>552</v>
      </c>
      <c r="AI91" t="s">
        <v>8</v>
      </c>
    </row>
    <row r="92" spans="21:35" x14ac:dyDescent="0.25">
      <c r="AE92" s="15" t="s">
        <v>726</v>
      </c>
      <c r="AF92" t="s">
        <v>553</v>
      </c>
      <c r="AG92">
        <v>20527197</v>
      </c>
      <c r="AH92" t="s">
        <v>554</v>
      </c>
      <c r="AI92" t="s">
        <v>8</v>
      </c>
    </row>
    <row r="93" spans="21:35" x14ac:dyDescent="0.25">
      <c r="AE93" s="15" t="s">
        <v>726</v>
      </c>
      <c r="AF93" t="s">
        <v>555</v>
      </c>
      <c r="AG93">
        <v>20579418</v>
      </c>
      <c r="AH93" t="s">
        <v>556</v>
      </c>
      <c r="AI93" t="s">
        <v>8</v>
      </c>
    </row>
    <row r="94" spans="21:35" x14ac:dyDescent="0.25">
      <c r="AE94" s="15" t="s">
        <v>726</v>
      </c>
      <c r="AF94" t="s">
        <v>557</v>
      </c>
      <c r="AG94">
        <v>20527197</v>
      </c>
      <c r="AH94" t="s">
        <v>558</v>
      </c>
      <c r="AI94" t="s">
        <v>7</v>
      </c>
    </row>
    <row r="95" spans="21:35" x14ac:dyDescent="0.25">
      <c r="AE95" s="15" t="s">
        <v>726</v>
      </c>
      <c r="AF95" t="s">
        <v>559</v>
      </c>
      <c r="AG95">
        <v>20527180</v>
      </c>
      <c r="AH95" t="s">
        <v>560</v>
      </c>
      <c r="AI95" t="s">
        <v>7</v>
      </c>
    </row>
    <row r="96" spans="21:35" x14ac:dyDescent="0.25">
      <c r="AE96" s="15" t="s">
        <v>726</v>
      </c>
      <c r="AF96" t="s">
        <v>561</v>
      </c>
      <c r="AG96">
        <v>20527197</v>
      </c>
      <c r="AH96" t="s">
        <v>562</v>
      </c>
      <c r="AI96" t="s">
        <v>7</v>
      </c>
    </row>
    <row r="97" spans="31:35" x14ac:dyDescent="0.25">
      <c r="AE97" s="15" t="s">
        <v>726</v>
      </c>
      <c r="AF97">
        <v>3086768292</v>
      </c>
      <c r="AG97">
        <v>20527202</v>
      </c>
      <c r="AH97" t="s">
        <v>563</v>
      </c>
      <c r="AI97" t="s">
        <v>7</v>
      </c>
    </row>
    <row r="98" spans="31:35" x14ac:dyDescent="0.25">
      <c r="AE98" s="15" t="s">
        <v>726</v>
      </c>
      <c r="AF98" t="s">
        <v>564</v>
      </c>
      <c r="AG98">
        <v>20527197</v>
      </c>
      <c r="AH98" t="s">
        <v>565</v>
      </c>
      <c r="AI98" t="s">
        <v>8</v>
      </c>
    </row>
    <row r="99" spans="31:35" x14ac:dyDescent="0.25">
      <c r="AE99" s="15" t="s">
        <v>726</v>
      </c>
      <c r="AF99" t="s">
        <v>566</v>
      </c>
      <c r="AG99">
        <v>20527197</v>
      </c>
      <c r="AH99" t="s">
        <v>567</v>
      </c>
      <c r="AI99" t="s">
        <v>8</v>
      </c>
    </row>
    <row r="100" spans="31:35" x14ac:dyDescent="0.25">
      <c r="AE100" s="15" t="s">
        <v>726</v>
      </c>
      <c r="AF100" t="s">
        <v>568</v>
      </c>
      <c r="AG100">
        <v>20527180</v>
      </c>
      <c r="AH100" t="s">
        <v>569</v>
      </c>
      <c r="AI100" t="s">
        <v>7</v>
      </c>
    </row>
    <row r="101" spans="31:35" x14ac:dyDescent="0.25">
      <c r="AE101" s="15" t="s">
        <v>726</v>
      </c>
      <c r="AF101" t="s">
        <v>570</v>
      </c>
      <c r="AG101">
        <v>20583363</v>
      </c>
      <c r="AH101" t="s">
        <v>571</v>
      </c>
      <c r="AI101" t="s">
        <v>7</v>
      </c>
    </row>
    <row r="102" spans="31:35" x14ac:dyDescent="0.25">
      <c r="AE102" s="15" t="s">
        <v>726</v>
      </c>
      <c r="AF102" t="s">
        <v>572</v>
      </c>
      <c r="AG102">
        <v>20527180</v>
      </c>
      <c r="AH102" t="s">
        <v>573</v>
      </c>
      <c r="AI102" t="s">
        <v>8</v>
      </c>
    </row>
    <row r="103" spans="31:35" x14ac:dyDescent="0.25">
      <c r="AE103" s="15" t="s">
        <v>726</v>
      </c>
      <c r="AF103" t="s">
        <v>574</v>
      </c>
      <c r="AG103">
        <v>20527197</v>
      </c>
      <c r="AH103" t="s">
        <v>575</v>
      </c>
      <c r="AI103" t="s">
        <v>7</v>
      </c>
    </row>
    <row r="104" spans="31:35" x14ac:dyDescent="0.25">
      <c r="AE104" s="15" t="s">
        <v>726</v>
      </c>
      <c r="AF104" t="s">
        <v>576</v>
      </c>
      <c r="AG104">
        <v>20583411</v>
      </c>
      <c r="AH104" t="s">
        <v>577</v>
      </c>
      <c r="AI104" t="s">
        <v>7</v>
      </c>
    </row>
    <row r="105" spans="31:35" x14ac:dyDescent="0.25">
      <c r="AE105" s="15" t="s">
        <v>726</v>
      </c>
      <c r="AF105" t="s">
        <v>578</v>
      </c>
      <c r="AG105">
        <v>20527180</v>
      </c>
      <c r="AH105" t="s">
        <v>579</v>
      </c>
      <c r="AI105" t="s">
        <v>7</v>
      </c>
    </row>
    <row r="106" spans="31:35" x14ac:dyDescent="0.25">
      <c r="AE106" s="15" t="s">
        <v>726</v>
      </c>
      <c r="AF106" t="s">
        <v>580</v>
      </c>
      <c r="AG106">
        <v>20527197</v>
      </c>
      <c r="AH106" t="s">
        <v>581</v>
      </c>
      <c r="AI106" t="s">
        <v>8</v>
      </c>
    </row>
    <row r="107" spans="31:35" x14ac:dyDescent="0.25">
      <c r="AE107" s="15" t="s">
        <v>726</v>
      </c>
      <c r="AF107" t="s">
        <v>582</v>
      </c>
      <c r="AG107">
        <v>20527197</v>
      </c>
      <c r="AH107" t="s">
        <v>583</v>
      </c>
      <c r="AI107" t="s">
        <v>8</v>
      </c>
    </row>
    <row r="108" spans="31:35" x14ac:dyDescent="0.25">
      <c r="AE108" s="15" t="s">
        <v>726</v>
      </c>
      <c r="AF108" t="s">
        <v>584</v>
      </c>
      <c r="AG108">
        <v>20527197</v>
      </c>
      <c r="AH108" t="s">
        <v>585</v>
      </c>
      <c r="AI108" t="s">
        <v>7</v>
      </c>
    </row>
    <row r="109" spans="31:35" x14ac:dyDescent="0.25">
      <c r="AE109" s="15" t="s">
        <v>726</v>
      </c>
      <c r="AF109" t="s">
        <v>586</v>
      </c>
      <c r="AG109">
        <v>20527180</v>
      </c>
      <c r="AH109" t="s">
        <v>587</v>
      </c>
      <c r="AI109" t="s">
        <v>8</v>
      </c>
    </row>
    <row r="110" spans="31:35" x14ac:dyDescent="0.25">
      <c r="AE110" s="15" t="s">
        <v>726</v>
      </c>
      <c r="AF110" t="s">
        <v>588</v>
      </c>
      <c r="AG110">
        <v>20527197</v>
      </c>
      <c r="AH110" t="s">
        <v>589</v>
      </c>
      <c r="AI110" t="s">
        <v>8</v>
      </c>
    </row>
    <row r="111" spans="31:35" x14ac:dyDescent="0.25">
      <c r="AE111" s="15" t="s">
        <v>726</v>
      </c>
      <c r="AF111" t="s">
        <v>590</v>
      </c>
      <c r="AG111">
        <v>20566545</v>
      </c>
      <c r="AH111" t="s">
        <v>591</v>
      </c>
      <c r="AI111" t="s">
        <v>8</v>
      </c>
    </row>
    <row r="112" spans="31:35" x14ac:dyDescent="0.25">
      <c r="AE112" s="15" t="s">
        <v>726</v>
      </c>
      <c r="AF112" t="s">
        <v>592</v>
      </c>
      <c r="AG112">
        <v>20527197</v>
      </c>
      <c r="AH112" t="s">
        <v>593</v>
      </c>
      <c r="AI112" t="s">
        <v>8</v>
      </c>
    </row>
    <row r="113" spans="31:35" x14ac:dyDescent="0.25">
      <c r="AE113" s="15" t="s">
        <v>726</v>
      </c>
      <c r="AF113" t="s">
        <v>594</v>
      </c>
      <c r="AG113">
        <v>20527197</v>
      </c>
      <c r="AH113" t="s">
        <v>595</v>
      </c>
      <c r="AI113" t="s">
        <v>8</v>
      </c>
    </row>
    <row r="114" spans="31:35" x14ac:dyDescent="0.25">
      <c r="AE114" s="15" t="s">
        <v>726</v>
      </c>
      <c r="AF114" t="s">
        <v>596</v>
      </c>
      <c r="AG114">
        <v>20527197</v>
      </c>
      <c r="AH114" t="s">
        <v>597</v>
      </c>
      <c r="AI114" t="s">
        <v>8</v>
      </c>
    </row>
    <row r="115" spans="31:35" x14ac:dyDescent="0.25">
      <c r="AE115" s="15" t="s">
        <v>726</v>
      </c>
      <c r="AF115" t="s">
        <v>598</v>
      </c>
      <c r="AG115">
        <v>20527197</v>
      </c>
      <c r="AH115" t="s">
        <v>599</v>
      </c>
      <c r="AI115" t="s">
        <v>8</v>
      </c>
    </row>
    <row r="116" spans="31:35" x14ac:dyDescent="0.25">
      <c r="AE116" s="15" t="s">
        <v>726</v>
      </c>
      <c r="AF116" t="s">
        <v>600</v>
      </c>
      <c r="AG116">
        <v>20527197</v>
      </c>
      <c r="AH116" t="s">
        <v>601</v>
      </c>
      <c r="AI116" t="s">
        <v>7</v>
      </c>
    </row>
    <row r="117" spans="31:35" x14ac:dyDescent="0.25">
      <c r="AE117" s="15" t="s">
        <v>726</v>
      </c>
      <c r="AF117" t="s">
        <v>602</v>
      </c>
      <c r="AG117">
        <v>20527197</v>
      </c>
      <c r="AH117" t="s">
        <v>603</v>
      </c>
      <c r="AI117" t="s">
        <v>8</v>
      </c>
    </row>
    <row r="118" spans="31:35" x14ac:dyDescent="0.25">
      <c r="AE118" s="15" t="s">
        <v>726</v>
      </c>
      <c r="AF118" t="s">
        <v>604</v>
      </c>
      <c r="AG118">
        <v>20527197</v>
      </c>
      <c r="AH118" t="s">
        <v>605</v>
      </c>
      <c r="AI118" t="s">
        <v>8</v>
      </c>
    </row>
    <row r="119" spans="31:35" x14ac:dyDescent="0.25">
      <c r="AE119" s="15" t="s">
        <v>726</v>
      </c>
      <c r="AF119" t="s">
        <v>606</v>
      </c>
      <c r="AG119">
        <v>20527197</v>
      </c>
      <c r="AH119" t="s">
        <v>607</v>
      </c>
      <c r="AI119" t="s">
        <v>8</v>
      </c>
    </row>
    <row r="120" spans="31:35" x14ac:dyDescent="0.25">
      <c r="AE120" s="15" t="s">
        <v>726</v>
      </c>
      <c r="AF120" t="s">
        <v>608</v>
      </c>
      <c r="AG120">
        <v>20527197</v>
      </c>
      <c r="AH120" t="s">
        <v>609</v>
      </c>
      <c r="AI120" t="s">
        <v>7</v>
      </c>
    </row>
    <row r="121" spans="31:35" x14ac:dyDescent="0.25">
      <c r="AE121" s="15" t="s">
        <v>726</v>
      </c>
      <c r="AF121" t="s">
        <v>610</v>
      </c>
      <c r="AG121">
        <v>20527197</v>
      </c>
      <c r="AH121" t="s">
        <v>611</v>
      </c>
      <c r="AI121" t="s">
        <v>7</v>
      </c>
    </row>
    <row r="122" spans="31:35" x14ac:dyDescent="0.25">
      <c r="AE122" s="15" t="s">
        <v>726</v>
      </c>
      <c r="AF122" t="s">
        <v>612</v>
      </c>
      <c r="AG122">
        <v>20527197</v>
      </c>
      <c r="AH122" t="s">
        <v>613</v>
      </c>
      <c r="AI122" t="s">
        <v>7</v>
      </c>
    </row>
    <row r="123" spans="31:35" x14ac:dyDescent="0.25">
      <c r="AE123" s="15" t="s">
        <v>726</v>
      </c>
      <c r="AF123" t="s">
        <v>614</v>
      </c>
      <c r="AG123">
        <v>60729406</v>
      </c>
      <c r="AH123" t="s">
        <v>615</v>
      </c>
      <c r="AI123" t="s">
        <v>8</v>
      </c>
    </row>
    <row r="124" spans="31:35" x14ac:dyDescent="0.25">
      <c r="AE124" s="15" t="s">
        <v>726</v>
      </c>
      <c r="AF124" t="s">
        <v>616</v>
      </c>
      <c r="AG124">
        <v>20579418</v>
      </c>
      <c r="AH124" t="s">
        <v>617</v>
      </c>
      <c r="AI124" t="s">
        <v>8</v>
      </c>
    </row>
    <row r="125" spans="31:35" x14ac:dyDescent="0.25">
      <c r="AE125" s="15" t="s">
        <v>726</v>
      </c>
      <c r="AF125" t="s">
        <v>618</v>
      </c>
      <c r="AG125">
        <v>20527197</v>
      </c>
      <c r="AH125" t="s">
        <v>619</v>
      </c>
      <c r="AI125" t="s">
        <v>8</v>
      </c>
    </row>
    <row r="126" spans="31:35" x14ac:dyDescent="0.25">
      <c r="AE126" s="15" t="s">
        <v>726</v>
      </c>
      <c r="AF126" t="s">
        <v>620</v>
      </c>
      <c r="AG126">
        <v>20527197</v>
      </c>
      <c r="AH126" t="s">
        <v>621</v>
      </c>
      <c r="AI126" t="s">
        <v>7</v>
      </c>
    </row>
    <row r="127" spans="31:35" x14ac:dyDescent="0.25">
      <c r="AE127" s="15" t="s">
        <v>726</v>
      </c>
      <c r="AF127" t="s">
        <v>622</v>
      </c>
      <c r="AG127">
        <v>20527197</v>
      </c>
      <c r="AH127" t="s">
        <v>623</v>
      </c>
      <c r="AI127" t="s">
        <v>7</v>
      </c>
    </row>
    <row r="128" spans="31:35" x14ac:dyDescent="0.25">
      <c r="AE128" s="15" t="s">
        <v>726</v>
      </c>
      <c r="AF128" t="s">
        <v>624</v>
      </c>
      <c r="AG128">
        <v>20527180</v>
      </c>
      <c r="AH128" t="s">
        <v>625</v>
      </c>
      <c r="AI128" t="s">
        <v>7</v>
      </c>
    </row>
    <row r="129" spans="31:35" x14ac:dyDescent="0.25">
      <c r="AE129" s="15" t="s">
        <v>726</v>
      </c>
      <c r="AF129" t="s">
        <v>626</v>
      </c>
      <c r="AG129">
        <v>20566545</v>
      </c>
      <c r="AH129" t="s">
        <v>627</v>
      </c>
      <c r="AI129" t="s">
        <v>8</v>
      </c>
    </row>
    <row r="130" spans="31:35" x14ac:dyDescent="0.25">
      <c r="AE130" s="15" t="s">
        <v>726</v>
      </c>
      <c r="AF130" t="s">
        <v>628</v>
      </c>
      <c r="AG130">
        <v>20527197</v>
      </c>
      <c r="AH130" t="s">
        <v>629</v>
      </c>
      <c r="AI130" t="s">
        <v>8</v>
      </c>
    </row>
    <row r="131" spans="31:35" x14ac:dyDescent="0.25">
      <c r="AE131" s="15" t="s">
        <v>726</v>
      </c>
      <c r="AF131" t="s">
        <v>630</v>
      </c>
      <c r="AG131">
        <v>20527197</v>
      </c>
      <c r="AH131" t="s">
        <v>631</v>
      </c>
      <c r="AI131" t="s">
        <v>7</v>
      </c>
    </row>
    <row r="132" spans="31:35" x14ac:dyDescent="0.25">
      <c r="AE132" s="15" t="s">
        <v>726</v>
      </c>
      <c r="AF132" t="s">
        <v>632</v>
      </c>
      <c r="AG132">
        <v>20527197</v>
      </c>
      <c r="AH132" t="s">
        <v>633</v>
      </c>
      <c r="AI132" t="s">
        <v>8</v>
      </c>
    </row>
    <row r="133" spans="31:35" x14ac:dyDescent="0.25">
      <c r="AE133" s="15" t="s">
        <v>726</v>
      </c>
      <c r="AF133" t="s">
        <v>634</v>
      </c>
      <c r="AG133">
        <v>20527197</v>
      </c>
      <c r="AH133" t="s">
        <v>635</v>
      </c>
      <c r="AI133" t="s">
        <v>7</v>
      </c>
    </row>
    <row r="134" spans="31:35" x14ac:dyDescent="0.25">
      <c r="AE134" s="15" t="s">
        <v>726</v>
      </c>
      <c r="AF134" t="s">
        <v>636</v>
      </c>
      <c r="AG134">
        <v>20527180</v>
      </c>
      <c r="AH134" t="s">
        <v>637</v>
      </c>
      <c r="AI134" t="s">
        <v>7</v>
      </c>
    </row>
    <row r="135" spans="31:35" x14ac:dyDescent="0.25">
      <c r="AE135" s="15" t="s">
        <v>726</v>
      </c>
      <c r="AF135" t="s">
        <v>638</v>
      </c>
      <c r="AG135">
        <v>20527180</v>
      </c>
      <c r="AH135" t="s">
        <v>639</v>
      </c>
      <c r="AI135" t="s">
        <v>7</v>
      </c>
    </row>
    <row r="136" spans="31:35" x14ac:dyDescent="0.25">
      <c r="AE136" s="15" t="s">
        <v>726</v>
      </c>
      <c r="AF136">
        <v>3082095795</v>
      </c>
      <c r="AG136">
        <v>20566545</v>
      </c>
      <c r="AH136" t="s">
        <v>640</v>
      </c>
      <c r="AI136" t="s">
        <v>8</v>
      </c>
    </row>
    <row r="137" spans="31:35" x14ac:dyDescent="0.25">
      <c r="AE137" s="15" t="s">
        <v>726</v>
      </c>
      <c r="AF137" t="s">
        <v>641</v>
      </c>
      <c r="AG137">
        <v>20527197</v>
      </c>
      <c r="AH137" t="s">
        <v>642</v>
      </c>
      <c r="AI137" t="s">
        <v>7</v>
      </c>
    </row>
    <row r="138" spans="31:35" x14ac:dyDescent="0.25">
      <c r="AE138" s="15" t="s">
        <v>726</v>
      </c>
      <c r="AF138" t="s">
        <v>643</v>
      </c>
      <c r="AG138">
        <v>20527180</v>
      </c>
      <c r="AH138" t="s">
        <v>644</v>
      </c>
      <c r="AI138" t="s">
        <v>7</v>
      </c>
    </row>
    <row r="139" spans="31:35" x14ac:dyDescent="0.25">
      <c r="AE139" s="15" t="s">
        <v>726</v>
      </c>
      <c r="AF139" t="s">
        <v>645</v>
      </c>
      <c r="AG139">
        <v>20527197</v>
      </c>
      <c r="AH139" t="s">
        <v>646</v>
      </c>
      <c r="AI139" t="s">
        <v>7</v>
      </c>
    </row>
    <row r="140" spans="31:35" x14ac:dyDescent="0.25">
      <c r="AE140" s="15" t="s">
        <v>726</v>
      </c>
      <c r="AF140" t="s">
        <v>647</v>
      </c>
      <c r="AG140">
        <v>20527197</v>
      </c>
      <c r="AH140" t="s">
        <v>648</v>
      </c>
      <c r="AI140" t="s">
        <v>7</v>
      </c>
    </row>
    <row r="141" spans="31:35" x14ac:dyDescent="0.25">
      <c r="AE141" s="15" t="s">
        <v>726</v>
      </c>
      <c r="AF141" t="s">
        <v>649</v>
      </c>
      <c r="AG141">
        <v>20527180</v>
      </c>
      <c r="AH141" t="s">
        <v>650</v>
      </c>
      <c r="AI141" t="s">
        <v>8</v>
      </c>
    </row>
    <row r="142" spans="31:35" x14ac:dyDescent="0.25">
      <c r="AE142" s="15" t="s">
        <v>726</v>
      </c>
      <c r="AF142" t="s">
        <v>651</v>
      </c>
      <c r="AG142">
        <v>20527197</v>
      </c>
      <c r="AH142" t="s">
        <v>652</v>
      </c>
      <c r="AI142" t="s">
        <v>8</v>
      </c>
    </row>
    <row r="143" spans="31:35" x14ac:dyDescent="0.25">
      <c r="AE143" s="15" t="s">
        <v>726</v>
      </c>
      <c r="AF143" t="s">
        <v>653</v>
      </c>
      <c r="AG143">
        <v>20527197</v>
      </c>
      <c r="AH143" t="s">
        <v>654</v>
      </c>
      <c r="AI143" t="s">
        <v>8</v>
      </c>
    </row>
    <row r="144" spans="31:35" x14ac:dyDescent="0.25">
      <c r="AE144" s="15" t="s">
        <v>726</v>
      </c>
      <c r="AF144" t="s">
        <v>655</v>
      </c>
      <c r="AG144">
        <v>20527193</v>
      </c>
      <c r="AH144" t="s">
        <v>656</v>
      </c>
      <c r="AI144" t="s">
        <v>7</v>
      </c>
    </row>
    <row r="145" spans="31:35" x14ac:dyDescent="0.25">
      <c r="AE145" s="15" t="s">
        <v>726</v>
      </c>
      <c r="AF145" t="s">
        <v>657</v>
      </c>
      <c r="AG145">
        <v>20527180</v>
      </c>
      <c r="AH145" t="s">
        <v>658</v>
      </c>
      <c r="AI145" t="s">
        <v>7</v>
      </c>
    </row>
    <row r="146" spans="31:35" x14ac:dyDescent="0.25">
      <c r="AE146" s="15" t="s">
        <v>726</v>
      </c>
      <c r="AF146" t="s">
        <v>659</v>
      </c>
      <c r="AG146">
        <v>20527180</v>
      </c>
      <c r="AH146" t="s">
        <v>660</v>
      </c>
      <c r="AI146" t="s">
        <v>7</v>
      </c>
    </row>
    <row r="147" spans="31:35" x14ac:dyDescent="0.25">
      <c r="AE147" s="15" t="s">
        <v>726</v>
      </c>
      <c r="AF147" t="s">
        <v>661</v>
      </c>
      <c r="AG147">
        <v>20566545</v>
      </c>
      <c r="AH147" t="s">
        <v>662</v>
      </c>
      <c r="AI147" t="s">
        <v>7</v>
      </c>
    </row>
    <row r="148" spans="31:35" x14ac:dyDescent="0.25">
      <c r="AE148" s="15" t="s">
        <v>726</v>
      </c>
      <c r="AF148" t="s">
        <v>663</v>
      </c>
      <c r="AG148">
        <v>20566545</v>
      </c>
      <c r="AH148" t="s">
        <v>664</v>
      </c>
      <c r="AI148" t="s">
        <v>7</v>
      </c>
    </row>
    <row r="149" spans="31:35" x14ac:dyDescent="0.25">
      <c r="AE149" s="15" t="s">
        <v>726</v>
      </c>
      <c r="AF149" t="s">
        <v>665</v>
      </c>
      <c r="AG149">
        <v>20583685</v>
      </c>
      <c r="AH149" t="s">
        <v>666</v>
      </c>
      <c r="AI149" t="s">
        <v>7</v>
      </c>
    </row>
    <row r="150" spans="31:35" x14ac:dyDescent="0.25">
      <c r="AE150" s="15" t="s">
        <v>726</v>
      </c>
      <c r="AF150" t="s">
        <v>667</v>
      </c>
      <c r="AG150">
        <v>20527197</v>
      </c>
      <c r="AH150" t="s">
        <v>668</v>
      </c>
      <c r="AI150" t="s">
        <v>7</v>
      </c>
    </row>
    <row r="151" spans="31:35" x14ac:dyDescent="0.25">
      <c r="AE151" s="15" t="s">
        <v>726</v>
      </c>
      <c r="AF151" t="s">
        <v>669</v>
      </c>
      <c r="AG151">
        <v>20566545</v>
      </c>
      <c r="AH151" t="s">
        <v>670</v>
      </c>
      <c r="AI151" t="s">
        <v>7</v>
      </c>
    </row>
    <row r="152" spans="31:35" x14ac:dyDescent="0.25">
      <c r="AE152" s="15" t="s">
        <v>726</v>
      </c>
      <c r="AF152" t="s">
        <v>671</v>
      </c>
      <c r="AG152">
        <v>20527193</v>
      </c>
      <c r="AH152" t="s">
        <v>672</v>
      </c>
      <c r="AI152" t="s">
        <v>8</v>
      </c>
    </row>
    <row r="153" spans="31:35" x14ac:dyDescent="0.25">
      <c r="AE153" s="15" t="s">
        <v>726</v>
      </c>
      <c r="AF153" t="s">
        <v>673</v>
      </c>
      <c r="AG153">
        <v>20566545</v>
      </c>
      <c r="AH153" t="s">
        <v>674</v>
      </c>
      <c r="AI153" t="s">
        <v>7</v>
      </c>
    </row>
    <row r="154" spans="31:35" x14ac:dyDescent="0.25">
      <c r="AE154" s="15" t="s">
        <v>726</v>
      </c>
      <c r="AF154" t="s">
        <v>675</v>
      </c>
      <c r="AG154">
        <v>20566545</v>
      </c>
      <c r="AH154" t="s">
        <v>676</v>
      </c>
      <c r="AI154" t="s">
        <v>8</v>
      </c>
    </row>
    <row r="155" spans="31:35" x14ac:dyDescent="0.25">
      <c r="AE155" s="15" t="s">
        <v>726</v>
      </c>
      <c r="AF155" t="s">
        <v>677</v>
      </c>
      <c r="AG155">
        <v>20527203</v>
      </c>
      <c r="AH155" t="s">
        <v>678</v>
      </c>
      <c r="AI155" t="s">
        <v>8</v>
      </c>
    </row>
    <row r="156" spans="31:35" x14ac:dyDescent="0.25">
      <c r="AE156" s="15" t="s">
        <v>726</v>
      </c>
      <c r="AF156" t="s">
        <v>679</v>
      </c>
      <c r="AG156">
        <v>20527193</v>
      </c>
      <c r="AH156" t="s">
        <v>680</v>
      </c>
      <c r="AI156" t="s">
        <v>8</v>
      </c>
    </row>
    <row r="157" spans="31:35" x14ac:dyDescent="0.25">
      <c r="AE157" s="15" t="s">
        <v>726</v>
      </c>
      <c r="AF157" t="s">
        <v>681</v>
      </c>
      <c r="AG157">
        <v>20527180</v>
      </c>
      <c r="AH157" t="s">
        <v>682</v>
      </c>
      <c r="AI157" t="s">
        <v>7</v>
      </c>
    </row>
    <row r="158" spans="31:35" x14ac:dyDescent="0.25">
      <c r="AE158" s="15" t="s">
        <v>726</v>
      </c>
      <c r="AF158" t="s">
        <v>683</v>
      </c>
      <c r="AG158">
        <v>20566545</v>
      </c>
      <c r="AH158" t="s">
        <v>684</v>
      </c>
      <c r="AI158" t="s">
        <v>8</v>
      </c>
    </row>
    <row r="159" spans="31:35" x14ac:dyDescent="0.25">
      <c r="AE159" s="15" t="s">
        <v>726</v>
      </c>
      <c r="AF159" t="s">
        <v>685</v>
      </c>
      <c r="AG159">
        <v>20527197</v>
      </c>
      <c r="AH159" t="s">
        <v>686</v>
      </c>
      <c r="AI159" t="s">
        <v>8</v>
      </c>
    </row>
    <row r="160" spans="31:35" x14ac:dyDescent="0.25">
      <c r="AE160" s="15" t="s">
        <v>726</v>
      </c>
      <c r="AF160" t="s">
        <v>687</v>
      </c>
      <c r="AG160">
        <v>20527180</v>
      </c>
      <c r="AH160" t="s">
        <v>688</v>
      </c>
      <c r="AI160" t="s">
        <v>7</v>
      </c>
    </row>
    <row r="161" spans="31:35" x14ac:dyDescent="0.25">
      <c r="AE161" s="15" t="s">
        <v>726</v>
      </c>
      <c r="AF161" t="s">
        <v>689</v>
      </c>
      <c r="AG161">
        <v>20527180</v>
      </c>
      <c r="AH161" t="s">
        <v>690</v>
      </c>
      <c r="AI161" t="s">
        <v>7</v>
      </c>
    </row>
    <row r="162" spans="31:35" x14ac:dyDescent="0.25">
      <c r="AE162" s="15" t="s">
        <v>726</v>
      </c>
      <c r="AF162" t="s">
        <v>691</v>
      </c>
      <c r="AG162">
        <v>69980589</v>
      </c>
      <c r="AH162" t="s">
        <v>692</v>
      </c>
      <c r="AI162" t="s">
        <v>7</v>
      </c>
    </row>
    <row r="163" spans="31:35" x14ac:dyDescent="0.25">
      <c r="AE163" s="15" t="s">
        <v>726</v>
      </c>
      <c r="AF163" t="s">
        <v>693</v>
      </c>
      <c r="AG163">
        <v>20527197</v>
      </c>
      <c r="AH163" t="s">
        <v>694</v>
      </c>
      <c r="AI163" t="s">
        <v>8</v>
      </c>
    </row>
    <row r="164" spans="31:35" x14ac:dyDescent="0.25">
      <c r="AE164" s="15" t="s">
        <v>726</v>
      </c>
      <c r="AF164" t="s">
        <v>695</v>
      </c>
      <c r="AG164">
        <v>20566545</v>
      </c>
      <c r="AH164" t="s">
        <v>696</v>
      </c>
      <c r="AI164" t="s">
        <v>8</v>
      </c>
    </row>
    <row r="165" spans="31:35" x14ac:dyDescent="0.25">
      <c r="AE165" s="15" t="s">
        <v>726</v>
      </c>
      <c r="AF165" t="s">
        <v>697</v>
      </c>
      <c r="AG165">
        <v>20527202</v>
      </c>
      <c r="AH165" t="s">
        <v>698</v>
      </c>
      <c r="AI165" t="s">
        <v>8</v>
      </c>
    </row>
    <row r="166" spans="31:35" x14ac:dyDescent="0.25">
      <c r="AE166" s="15" t="s">
        <v>726</v>
      </c>
      <c r="AF166" t="s">
        <v>699</v>
      </c>
      <c r="AG166">
        <v>20527197</v>
      </c>
      <c r="AH166" t="s">
        <v>700</v>
      </c>
      <c r="AI166" t="s">
        <v>8</v>
      </c>
    </row>
    <row r="167" spans="31:35" x14ac:dyDescent="0.25">
      <c r="AE167" s="15" t="s">
        <v>726</v>
      </c>
      <c r="AF167">
        <v>3089324280</v>
      </c>
      <c r="AG167">
        <v>20566545</v>
      </c>
      <c r="AH167" t="s">
        <v>701</v>
      </c>
      <c r="AI167" t="s">
        <v>7</v>
      </c>
    </row>
    <row r="168" spans="31:35" x14ac:dyDescent="0.25">
      <c r="AE168" s="15" t="s">
        <v>726</v>
      </c>
      <c r="AF168" t="s">
        <v>702</v>
      </c>
      <c r="AG168">
        <v>20527180</v>
      </c>
      <c r="AH168" t="s">
        <v>703</v>
      </c>
      <c r="AI168" t="s">
        <v>8</v>
      </c>
    </row>
    <row r="169" spans="31:35" x14ac:dyDescent="0.25">
      <c r="AE169" s="15" t="s">
        <v>726</v>
      </c>
      <c r="AF169" t="s">
        <v>704</v>
      </c>
      <c r="AG169">
        <v>20527197</v>
      </c>
      <c r="AH169" t="s">
        <v>705</v>
      </c>
      <c r="AI169" t="s">
        <v>7</v>
      </c>
    </row>
    <row r="170" spans="31:35" x14ac:dyDescent="0.25">
      <c r="AE170" s="15" t="s">
        <v>726</v>
      </c>
      <c r="AF170" t="s">
        <v>706</v>
      </c>
      <c r="AG170">
        <v>20527180</v>
      </c>
      <c r="AH170" t="s">
        <v>707</v>
      </c>
      <c r="AI170" t="s">
        <v>8</v>
      </c>
    </row>
    <row r="171" spans="31:35" x14ac:dyDescent="0.25">
      <c r="AE171" s="15" t="s">
        <v>726</v>
      </c>
      <c r="AF171" t="s">
        <v>708</v>
      </c>
      <c r="AG171">
        <v>69759022</v>
      </c>
      <c r="AH171" t="s">
        <v>709</v>
      </c>
      <c r="AI171" t="s">
        <v>7</v>
      </c>
    </row>
    <row r="172" spans="31:35" x14ac:dyDescent="0.25">
      <c r="AE172" s="15" t="s">
        <v>726</v>
      </c>
      <c r="AF172" t="s">
        <v>710</v>
      </c>
      <c r="AG172">
        <v>20566545</v>
      </c>
      <c r="AH172" t="s">
        <v>711</v>
      </c>
      <c r="AI172" t="s">
        <v>8</v>
      </c>
    </row>
    <row r="173" spans="31:35" x14ac:dyDescent="0.25">
      <c r="AE173" s="15" t="s">
        <v>726</v>
      </c>
      <c r="AF173" t="s">
        <v>712</v>
      </c>
      <c r="AG173">
        <v>20527180</v>
      </c>
      <c r="AH173" t="s">
        <v>713</v>
      </c>
      <c r="AI173" t="s">
        <v>8</v>
      </c>
    </row>
    <row r="174" spans="31:35" x14ac:dyDescent="0.25">
      <c r="AE174" s="15" t="s">
        <v>726</v>
      </c>
      <c r="AF174" t="s">
        <v>714</v>
      </c>
      <c r="AG174">
        <v>20527180</v>
      </c>
      <c r="AH174" t="s">
        <v>715</v>
      </c>
      <c r="AI174" t="s">
        <v>8</v>
      </c>
    </row>
    <row r="175" spans="31:35" x14ac:dyDescent="0.25">
      <c r="AE175" s="15" t="s">
        <v>726</v>
      </c>
      <c r="AF175" t="s">
        <v>716</v>
      </c>
      <c r="AG175">
        <v>20527180</v>
      </c>
      <c r="AH175" t="s">
        <v>717</v>
      </c>
      <c r="AI175" t="s">
        <v>8</v>
      </c>
    </row>
    <row r="176" spans="31:35" x14ac:dyDescent="0.25">
      <c r="AE176" s="15" t="s">
        <v>726</v>
      </c>
      <c r="AF176" t="s">
        <v>718</v>
      </c>
      <c r="AG176">
        <v>20566545</v>
      </c>
      <c r="AH176" t="s">
        <v>719</v>
      </c>
      <c r="AI176" t="s">
        <v>7</v>
      </c>
    </row>
    <row r="177" spans="31:35" x14ac:dyDescent="0.25">
      <c r="AE177" s="15" t="s">
        <v>726</v>
      </c>
      <c r="AF177" t="s">
        <v>720</v>
      </c>
      <c r="AG177">
        <v>20527201</v>
      </c>
      <c r="AH177" t="s">
        <v>721</v>
      </c>
      <c r="AI177" t="s">
        <v>7</v>
      </c>
    </row>
    <row r="178" spans="31:35" x14ac:dyDescent="0.25">
      <c r="AE178" s="15" t="s">
        <v>726</v>
      </c>
      <c r="AF178" t="s">
        <v>722</v>
      </c>
      <c r="AG178">
        <v>20527180</v>
      </c>
      <c r="AH178" t="s">
        <v>723</v>
      </c>
      <c r="AI178" t="s">
        <v>8</v>
      </c>
    </row>
    <row r="179" spans="31:35" x14ac:dyDescent="0.25">
      <c r="AE179" s="15" t="s">
        <v>726</v>
      </c>
      <c r="AF179" t="s">
        <v>724</v>
      </c>
      <c r="AG179">
        <v>20527180</v>
      </c>
      <c r="AH179" t="s">
        <v>725</v>
      </c>
      <c r="AI179" t="s">
        <v>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E12"/>
  <sheetViews>
    <sheetView workbookViewId="0">
      <selection activeCell="F21" sqref="F21"/>
    </sheetView>
  </sheetViews>
  <sheetFormatPr defaultRowHeight="15" x14ac:dyDescent="0.25"/>
  <cols>
    <col min="2" max="2" width="3" bestFit="1" customWidth="1"/>
    <col min="3" max="3" width="31.85546875" bestFit="1" customWidth="1"/>
  </cols>
  <sheetData>
    <row r="2" spans="2:5" ht="15.75" x14ac:dyDescent="0.25">
      <c r="B2" s="5">
        <v>1</v>
      </c>
      <c r="C2" s="6" t="s">
        <v>562</v>
      </c>
      <c r="D2" s="7" t="s">
        <v>7</v>
      </c>
      <c r="E2" s="4" t="s">
        <v>778</v>
      </c>
    </row>
    <row r="3" spans="2:5" ht="15.75" x14ac:dyDescent="0.25">
      <c r="B3" s="5">
        <v>2</v>
      </c>
      <c r="C3" s="6" t="s">
        <v>292</v>
      </c>
      <c r="D3" s="7" t="s">
        <v>8</v>
      </c>
      <c r="E3" s="4" t="s">
        <v>778</v>
      </c>
    </row>
    <row r="4" spans="2:5" ht="15.75" x14ac:dyDescent="0.25">
      <c r="B4" s="5">
        <v>3</v>
      </c>
      <c r="C4" s="6" t="s">
        <v>650</v>
      </c>
      <c r="D4" s="7" t="s">
        <v>8</v>
      </c>
      <c r="E4" s="4" t="s">
        <v>779</v>
      </c>
    </row>
    <row r="5" spans="2:5" ht="15.75" x14ac:dyDescent="0.25">
      <c r="B5" s="5">
        <v>4</v>
      </c>
      <c r="C5" s="6" t="s">
        <v>98</v>
      </c>
      <c r="D5" s="7" t="s">
        <v>7</v>
      </c>
      <c r="E5" s="4" t="s">
        <v>779</v>
      </c>
    </row>
    <row r="6" spans="2:5" ht="15.75" x14ac:dyDescent="0.25">
      <c r="B6" s="5">
        <v>5</v>
      </c>
      <c r="C6" s="6" t="s">
        <v>441</v>
      </c>
      <c r="D6" s="7" t="s">
        <v>8</v>
      </c>
      <c r="E6" s="4" t="s">
        <v>780</v>
      </c>
    </row>
    <row r="7" spans="2:5" ht="15.75" x14ac:dyDescent="0.25">
      <c r="B7" s="5">
        <v>6</v>
      </c>
      <c r="C7" s="6" t="s">
        <v>756</v>
      </c>
      <c r="D7" s="7" t="s">
        <v>7</v>
      </c>
      <c r="E7" s="4" t="s">
        <v>780</v>
      </c>
    </row>
    <row r="8" spans="2:5" ht="15.75" x14ac:dyDescent="0.25">
      <c r="B8" s="5">
        <v>7</v>
      </c>
      <c r="C8" s="6" t="s">
        <v>577</v>
      </c>
      <c r="D8" s="7" t="s">
        <v>7</v>
      </c>
      <c r="E8" s="4" t="s">
        <v>781</v>
      </c>
    </row>
    <row r="9" spans="2:5" ht="15.75" x14ac:dyDescent="0.25">
      <c r="B9" s="5">
        <v>8</v>
      </c>
      <c r="C9" s="6" t="s">
        <v>150</v>
      </c>
      <c r="D9" s="7" t="s">
        <v>8</v>
      </c>
      <c r="E9" s="4" t="s">
        <v>782</v>
      </c>
    </row>
    <row r="10" spans="2:5" ht="15.75" x14ac:dyDescent="0.25">
      <c r="B10" s="5">
        <v>9</v>
      </c>
      <c r="C10" s="6" t="s">
        <v>542</v>
      </c>
      <c r="D10" s="7" t="s">
        <v>8</v>
      </c>
      <c r="E10" s="4" t="s">
        <v>783</v>
      </c>
    </row>
    <row r="11" spans="2:5" ht="15.75" x14ac:dyDescent="0.25">
      <c r="B11" s="5">
        <v>10</v>
      </c>
      <c r="C11" s="6" t="s">
        <v>298</v>
      </c>
      <c r="D11" s="7" t="s">
        <v>7</v>
      </c>
      <c r="E11" s="4" t="s">
        <v>783</v>
      </c>
    </row>
    <row r="12" spans="2:5" ht="15.75" x14ac:dyDescent="0.25">
      <c r="B12" s="5">
        <v>11</v>
      </c>
      <c r="C12" s="6" t="s">
        <v>49</v>
      </c>
      <c r="D12" s="7" t="s">
        <v>8</v>
      </c>
      <c r="E12" s="4" t="s">
        <v>784</v>
      </c>
    </row>
  </sheetData>
  <conditionalFormatting sqref="C2">
    <cfRule type="colorScale" priority="21">
      <colorScale>
        <cfvo type="min"/>
        <cfvo type="max"/>
        <color rgb="FFFCFCFF"/>
        <color rgb="FF63BE7B"/>
      </colorScale>
    </cfRule>
    <cfRule type="duplicateValues" dxfId="11" priority="22"/>
  </conditionalFormatting>
  <conditionalFormatting sqref="C3">
    <cfRule type="colorScale" priority="19">
      <colorScale>
        <cfvo type="min"/>
        <cfvo type="max"/>
        <color rgb="FFFCFCFF"/>
        <color rgb="FF63BE7B"/>
      </colorScale>
    </cfRule>
    <cfRule type="duplicateValues" dxfId="10" priority="20"/>
  </conditionalFormatting>
  <conditionalFormatting sqref="C4">
    <cfRule type="colorScale" priority="17">
      <colorScale>
        <cfvo type="min"/>
        <cfvo type="max"/>
        <color rgb="FFFCFCFF"/>
        <color rgb="FF63BE7B"/>
      </colorScale>
    </cfRule>
    <cfRule type="duplicateValues" dxfId="9" priority="18"/>
  </conditionalFormatting>
  <conditionalFormatting sqref="C5">
    <cfRule type="colorScale" priority="15">
      <colorScale>
        <cfvo type="min"/>
        <cfvo type="max"/>
        <color rgb="FFFCFCFF"/>
        <color rgb="FF63BE7B"/>
      </colorScale>
    </cfRule>
    <cfRule type="duplicateValues" dxfId="8" priority="16"/>
  </conditionalFormatting>
  <conditionalFormatting sqref="C6">
    <cfRule type="colorScale" priority="13">
      <colorScale>
        <cfvo type="min"/>
        <cfvo type="max"/>
        <color rgb="FFFCFCFF"/>
        <color rgb="FF63BE7B"/>
      </colorScale>
    </cfRule>
    <cfRule type="duplicateValues" dxfId="7" priority="14"/>
  </conditionalFormatting>
  <conditionalFormatting sqref="C7">
    <cfRule type="colorScale" priority="11">
      <colorScale>
        <cfvo type="min"/>
        <cfvo type="max"/>
        <color rgb="FFFCFCFF"/>
        <color rgb="FF63BE7B"/>
      </colorScale>
    </cfRule>
    <cfRule type="duplicateValues" dxfId="6" priority="12"/>
  </conditionalFormatting>
  <conditionalFormatting sqref="C8">
    <cfRule type="colorScale" priority="9">
      <colorScale>
        <cfvo type="min"/>
        <cfvo type="max"/>
        <color rgb="FFFCFCFF"/>
        <color rgb="FF63BE7B"/>
      </colorScale>
    </cfRule>
    <cfRule type="duplicateValues" dxfId="5" priority="10"/>
  </conditionalFormatting>
  <conditionalFormatting sqref="C9">
    <cfRule type="colorScale" priority="7">
      <colorScale>
        <cfvo type="min"/>
        <cfvo type="max"/>
        <color rgb="FFFCFCFF"/>
        <color rgb="FF63BE7B"/>
      </colorScale>
    </cfRule>
    <cfRule type="duplicateValues" dxfId="4" priority="8"/>
  </conditionalFormatting>
  <conditionalFormatting sqref="C10">
    <cfRule type="colorScale" priority="5">
      <colorScale>
        <cfvo type="min"/>
        <cfvo type="max"/>
        <color rgb="FFFCFCFF"/>
        <color rgb="FF63BE7B"/>
      </colorScale>
    </cfRule>
    <cfRule type="duplicateValues" dxfId="3" priority="6"/>
  </conditionalFormatting>
  <conditionalFormatting sqref="C11">
    <cfRule type="colorScale" priority="3">
      <colorScale>
        <cfvo type="min"/>
        <cfvo type="max"/>
        <color rgb="FFFCFCFF"/>
        <color rgb="FF63BE7B"/>
      </colorScale>
    </cfRule>
    <cfRule type="duplicateValues" dxfId="2" priority="4"/>
  </conditionalFormatting>
  <conditionalFormatting sqref="C12">
    <cfRule type="colorScale" priority="1">
      <colorScale>
        <cfvo type="min"/>
        <cfvo type="max"/>
        <color rgb="FFFCFCFF"/>
        <color rgb="FF63BE7B"/>
      </colorScale>
    </cfRule>
    <cfRule type="duplicateValues" dxfId="1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semua kls</vt:lpstr>
      <vt:lpstr>KELAS</vt:lpstr>
      <vt:lpstr>no-induk</vt:lpstr>
      <vt:lpstr>XII-A-1</vt:lpstr>
      <vt:lpstr>XII-A-2</vt:lpstr>
      <vt:lpstr>XII-A-3</vt:lpstr>
      <vt:lpstr>XII-A-4</vt:lpstr>
      <vt:lpstr>XII-A-5</vt:lpstr>
      <vt:lpstr>XII-A-6</vt:lpstr>
      <vt:lpstr>XII-A-7</vt:lpstr>
      <vt:lpstr>XII-B-1</vt:lpstr>
      <vt:lpstr>XII-B-2</vt:lpstr>
      <vt:lpstr>XII-B-3</vt:lpstr>
      <vt:lpstr>Sheet2 (2)</vt:lpstr>
      <vt:lpstr>Sheet2</vt:lpstr>
      <vt:lpstr>Sheet1</vt:lpstr>
      <vt:lpstr>KELAS!Print_Area</vt:lpstr>
      <vt:lpstr>'no-induk'!Print_Area</vt:lpstr>
      <vt:lpstr>'semua kls'!Print_Area</vt:lpstr>
      <vt:lpstr>'XII-A-1'!Print_Area</vt:lpstr>
      <vt:lpstr>'XII-B-1'!Print_Area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PENK</dc:creator>
  <cp:lastModifiedBy>Lenovo</cp:lastModifiedBy>
  <cp:lastPrinted>2026-07-12T12:51:37Z</cp:lastPrinted>
  <dcterms:created xsi:type="dcterms:W3CDTF">2024-07-03T23:40:51Z</dcterms:created>
  <dcterms:modified xsi:type="dcterms:W3CDTF">2026-07-12T12:51:42Z</dcterms:modified>
</cp:coreProperties>
</file>